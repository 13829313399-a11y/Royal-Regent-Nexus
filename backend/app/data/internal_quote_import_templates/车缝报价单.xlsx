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1"/>
  </bookViews>
  <sheets>
    <sheet name="总表260707" sheetId="3" r:id="rId1"/>
    <sheet name="明细260707" sheetId="4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710A33BC55744988811B9D0D1C5D100C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88315" y="4129405"/>
          <a:ext cx="394970" cy="32893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<sst xmlns="http://schemas.openxmlformats.org/spreadsheetml/2006/main" count="295" uniqueCount="105">
  <si>
    <t>东莞华登塑胶制品有限公司</t>
  </si>
  <si>
    <t>香港地址：九龙尖沙咀科学馆道1号康宏广场南座12字楼</t>
  </si>
  <si>
    <t>电话：00852-24250720        传真：00852-24243407</t>
  </si>
  <si>
    <t>国内地址：东莞市清溪上元银坑路10号1-2楼</t>
  </si>
  <si>
    <t>电话：0769-82018318   传真：0769-82189923</t>
  </si>
  <si>
    <t>报价单</t>
  </si>
  <si>
    <t>TO:熊彩云/蒋丽慧</t>
  </si>
  <si>
    <t>FM:小龙</t>
  </si>
  <si>
    <t>客人：Spin Master</t>
  </si>
  <si>
    <t>货号：30096</t>
  </si>
  <si>
    <t>DATE:2026/7/3</t>
  </si>
  <si>
    <t>图片</t>
  </si>
  <si>
    <t>货名</t>
  </si>
  <si>
    <t>不含税货价</t>
  </si>
  <si>
    <t>10%含税合计</t>
  </si>
  <si>
    <t>内容</t>
  </si>
  <si>
    <t>备注</t>
  </si>
  <si>
    <t>8寸紫色土豆蝙蝠</t>
  </si>
  <si>
    <t>（此报价不含整形挑形的价钱）</t>
  </si>
  <si>
    <t>1.如原料升幅超过5%或人民币升幅超过2%，本司保留加价权。</t>
  </si>
  <si>
    <t>10寸紫色小狗</t>
  </si>
  <si>
    <t>2.客户负责来板的法律责任.包括知识产权。</t>
  </si>
  <si>
    <t>10寸红色独角兽</t>
  </si>
  <si>
    <t>3.除非产品价格全数清还.本公司扔拥有产品拥有权。</t>
  </si>
  <si>
    <t>8寸绿色青蛙</t>
  </si>
  <si>
    <t>4,本司只负责车缝来样部分报价，其它不含。</t>
  </si>
  <si>
    <t>10寸绿色土豆恐龙</t>
  </si>
  <si>
    <r>
      <rPr>
        <b/>
        <sz val="12"/>
        <color theme="1"/>
        <rFont val="等线"/>
        <charset val="134"/>
      </rPr>
      <t>5.</t>
    </r>
    <r>
      <rPr>
        <b/>
        <sz val="12"/>
        <color indexed="8"/>
        <rFont val="等线"/>
        <charset val="134"/>
      </rPr>
      <t>本报价为人民币报价（含税）</t>
    </r>
  </si>
  <si>
    <t>8寸红色凯蒂猫</t>
  </si>
  <si>
    <t>6，货物散装货运送兴信厂。</t>
  </si>
  <si>
    <t>合计</t>
  </si>
  <si>
    <t>7，此报价为按样报价，最终报价以客人确定样板为准。</t>
  </si>
  <si>
    <r>
      <rPr>
        <b/>
        <sz val="12"/>
        <color theme="1"/>
        <rFont val="等线"/>
        <charset val="134"/>
      </rPr>
      <t>8,MOQ</t>
    </r>
    <r>
      <rPr>
        <b/>
        <sz val="12"/>
        <color indexed="8"/>
        <rFont val="等线"/>
        <charset val="134"/>
      </rPr>
      <t>生产数须每次每款</t>
    </r>
    <r>
      <rPr>
        <b/>
        <sz val="12"/>
        <color theme="1"/>
        <rFont val="等线"/>
        <charset val="134"/>
      </rPr>
      <t>10</t>
    </r>
    <r>
      <rPr>
        <b/>
        <sz val="12"/>
        <color indexed="8"/>
        <rFont val="等线"/>
        <charset val="134"/>
      </rPr>
      <t>万套起</t>
    </r>
    <r>
      <rPr>
        <b/>
        <sz val="12"/>
        <color theme="1"/>
        <rFont val="等线"/>
        <charset val="134"/>
      </rPr>
      <t>.</t>
    </r>
    <r>
      <rPr>
        <b/>
        <sz val="12"/>
        <color indexed="8"/>
        <rFont val="等线"/>
        <charset val="134"/>
      </rPr>
      <t>不够</t>
    </r>
    <r>
      <rPr>
        <b/>
        <sz val="12"/>
        <color theme="1"/>
        <rFont val="等线"/>
        <charset val="134"/>
      </rPr>
      <t>MOQ</t>
    </r>
    <r>
      <rPr>
        <b/>
        <sz val="12"/>
        <color indexed="8"/>
        <rFont val="等线"/>
        <charset val="134"/>
      </rPr>
      <t>则重新报价。</t>
    </r>
  </si>
  <si>
    <t>报价:袁金瑛</t>
  </si>
  <si>
    <t>審核:小龙</t>
  </si>
  <si>
    <t>物料名称</t>
  </si>
  <si>
    <t>裁片部位</t>
  </si>
  <si>
    <t>供应商</t>
  </si>
  <si>
    <t>布料MOQ/Y</t>
  </si>
  <si>
    <t>低于MOQ/每色产生费用</t>
  </si>
  <si>
    <t>用量/码</t>
  </si>
  <si>
    <t>单价</t>
  </si>
  <si>
    <t>成本</t>
  </si>
  <si>
    <t>码点</t>
  </si>
  <si>
    <t>价钱</t>
  </si>
  <si>
    <t>58"270G白色莱卡布，感温变色涂层</t>
  </si>
  <si>
    <t>前身</t>
  </si>
  <si>
    <t>恒欣</t>
  </si>
  <si>
    <t>后身</t>
  </si>
  <si>
    <t>底部</t>
  </si>
  <si>
    <t>58"270G紫色莱卡布(无温变)</t>
  </si>
  <si>
    <t>前朵</t>
  </si>
  <si>
    <t>后耳</t>
  </si>
  <si>
    <t>翅膀</t>
  </si>
  <si>
    <t>脚</t>
  </si>
  <si>
    <t>脚底</t>
  </si>
  <si>
    <t>56/58"220g/m² 370g/y 100%Poly 1*1 涤纶罗纹白色数码印</t>
  </si>
  <si>
    <t>袜身</t>
  </si>
  <si>
    <t>68"370g100%涤纶1x1白色罗纹针织</t>
  </si>
  <si>
    <t>左袜底</t>
  </si>
  <si>
    <t>右袜底</t>
  </si>
  <si>
    <t>54" 0.8mm  黑色漆皮PU（温变）</t>
  </si>
  <si>
    <t>脚底贴布</t>
  </si>
  <si>
    <t>永裕丰</t>
  </si>
  <si>
    <t>54" 0.8mm  黑色漆皮PU</t>
  </si>
  <si>
    <t>眼贴布</t>
  </si>
  <si>
    <t>商标1</t>
  </si>
  <si>
    <t>604#配色强力线(广全)</t>
  </si>
  <si>
    <t>6MM普通棉带</t>
  </si>
  <si>
    <t>3D*32MM hollow fiber100%再生棉</t>
  </si>
  <si>
    <t xml:space="preserve">前耳 密绣粉色 </t>
  </si>
  <si>
    <t xml:space="preserve">耳朵 匹绣车缝止口线   </t>
  </si>
  <si>
    <t xml:space="preserve">前身 贴布绣眼片/密绣眉毛/鼻子  </t>
  </si>
  <si>
    <t>左袜底 贴布绣字母</t>
  </si>
  <si>
    <t>胶件/包装由总部报价</t>
  </si>
  <si>
    <t>裁床</t>
  </si>
  <si>
    <t>车缝</t>
  </si>
  <si>
    <t>人工</t>
  </si>
  <si>
    <t>58"270G粉色莱卡布(无温变)</t>
  </si>
  <si>
    <t>左前朵</t>
  </si>
  <si>
    <t>左后耳</t>
  </si>
  <si>
    <t>右前耳</t>
  </si>
  <si>
    <t>右后耳</t>
  </si>
  <si>
    <t>手</t>
  </si>
  <si>
    <t>54" 0.8mm  黑色漆皮PU(温变）</t>
  </si>
  <si>
    <t>60"25-35MM粉色长毛绒/防阻燃（PMS 2583C）</t>
  </si>
  <si>
    <t>尾巴</t>
  </si>
  <si>
    <t>本厂</t>
  </si>
  <si>
    <t>前耳 密绣粉色 3.25"X2.5"</t>
  </si>
  <si>
    <t>前身 贴布绣眼片/密绣眉毛/鼻子  13.25"X12.375"</t>
  </si>
  <si>
    <t>左袜底 贴布绣字母 2.5"X2.875"</t>
  </si>
  <si>
    <t>58"270G红色莱卡布(无温变)</t>
  </si>
  <si>
    <t>56英寸，50D涤纶经编布200g/码，满版Fiol印花;复合70g金葱金
属膜+无纺布底</t>
  </si>
  <si>
    <t>头角</t>
  </si>
  <si>
    <t>袜子</t>
  </si>
  <si>
    <t>60"25-35mm毛高粉色长毛绒</t>
  </si>
  <si>
    <t>头发</t>
  </si>
  <si>
    <t>前耳 密绣粉色 2.625"X2"</t>
  </si>
  <si>
    <t>58"270G绿莱卡布(无温变)</t>
  </si>
  <si>
    <t>25 mm黄色纽扣（兴信提供）</t>
  </si>
  <si>
    <t>25mm扣子贴纸</t>
  </si>
  <si>
    <t>58"270G黄色莱卡布（PMS2583C）(无温变)</t>
  </si>
  <si>
    <t>背翅</t>
  </si>
  <si>
    <t>前身 贴布绣眼片/密绣眉毛/鼻子  13.25"X12.25"</t>
  </si>
  <si>
    <t xml:space="preserve">前身 贴布绣眼片/密绣眉毛/鼻子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</si>
</sst>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_ "/>
    <numFmt numFmtId="177" formatCode="0_ "/>
    <numFmt numFmtId="178" formatCode="0.000_ "/>
    <numFmt numFmtId="179" formatCode="0.00_ "/>
    <numFmt numFmtId="180" formatCode="0.0000_ "/>
    <numFmt numFmtId="181" formatCode="&quot;￥&quot;#,##0.00_);[Red]\(&quot;￥&quot;#,##0.00\)"/>
    <numFmt numFmtId="182" formatCode="&quot;￥&quot;#,##0.000_);[Red]\(&quot;￥&quot;#,##0.000\)"/>
  </numFmts>
  <fonts count="31">
    <font>
      <sz val="11"/>
      <color theme="1"/>
      <name val="宋体"/>
      <charset val="134"/>
      <scheme val="minor"/>
    </font>
    <font>
      <sz val="16"/>
      <color theme="1"/>
      <name val="黑体"/>
      <charset val="134"/>
    </font>
    <font>
      <sz val="14"/>
      <name val="微软雅黑"/>
      <charset val="134"/>
    </font>
    <font>
      <sz val="16"/>
      <name val="黑体"/>
      <charset val="134"/>
    </font>
    <font>
      <sz val="14"/>
      <name val="黑体"/>
      <charset val="134"/>
    </font>
    <font>
      <sz val="14"/>
      <color theme="1"/>
      <name val="微软雅黑"/>
      <charset val="134"/>
    </font>
    <font>
      <sz val="16"/>
      <color rgb="FFFF0000"/>
      <name val="黑体"/>
      <charset val="134"/>
    </font>
    <font>
      <sz val="12"/>
      <name val="宋体"/>
      <charset val="134"/>
    </font>
    <font>
      <b/>
      <sz val="12"/>
      <name val="等线"/>
      <charset val="134"/>
    </font>
    <font>
      <b/>
      <sz val="12"/>
      <color theme="1"/>
      <name val="等线"/>
      <charset val="134"/>
    </font>
    <font>
      <b/>
      <sz val="12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indexed="8"/>
      <name val="等线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6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17">
      <alignment vertical="center"/>
    </xf>
    <xf numFmtId="0" fontId="17" fillId="0" borderId="17">
      <alignment vertical="center"/>
    </xf>
    <xf numFmtId="0" fontId="18" fillId="0" borderId="18">
      <alignment vertical="center"/>
    </xf>
    <xf numFmtId="0" fontId="18" fillId="0" borderId="0">
      <alignment vertical="center"/>
    </xf>
    <xf numFmtId="0" fontId="19" fillId="8" borderId="19">
      <alignment vertical="center"/>
    </xf>
    <xf numFmtId="0" fontId="20" fillId="9" borderId="20">
      <alignment vertical="center"/>
    </xf>
    <xf numFmtId="0" fontId="21" fillId="9" borderId="19">
      <alignment vertical="center"/>
    </xf>
    <xf numFmtId="0" fontId="22" fillId="10" borderId="21">
      <alignment vertical="center"/>
    </xf>
    <xf numFmtId="0" fontId="23" fillId="0" borderId="22">
      <alignment vertical="center"/>
    </xf>
    <xf numFmtId="0" fontId="24" fillId="0" borderId="23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3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28" fillId="32" borderId="0">
      <alignment vertical="center"/>
    </xf>
    <xf numFmtId="0" fontId="28" fillId="33" borderId="0">
      <alignment vertical="center"/>
    </xf>
    <xf numFmtId="0" fontId="29" fillId="34" borderId="0">
      <alignment vertical="center"/>
    </xf>
    <xf numFmtId="0" fontId="29" fillId="35" borderId="0">
      <alignment vertical="center"/>
    </xf>
    <xf numFmtId="0" fontId="28" fillId="36" borderId="0">
      <alignment vertical="center"/>
    </xf>
  </cellStyleXfs>
  <cellXfs count="140">
    <xf numFmtId="0" fontId="0" fillId="0" borderId="0" xfId="0" applyAlignment="1">
      <alignment vertical="center"/>
    </xf>
    <xf numFmtId="176" fontId="1" fillId="2" borderId="0" xfId="0" applyNumberFormat="1" applyFont="1" applyFill="1" applyBorder="1" applyAlignment="1">
      <alignment horizontal="left" vertical="center"/>
    </xf>
    <xf numFmtId="176" fontId="1" fillId="0" borderId="0" xfId="0" applyNumberFormat="1" applyFont="1" applyFill="1" applyBorder="1" applyAlignment="1">
      <alignment horizontal="left" vertical="center"/>
    </xf>
    <xf numFmtId="176" fontId="1" fillId="3" borderId="0" xfId="0" applyNumberFormat="1" applyFont="1" applyFill="1" applyBorder="1" applyAlignment="1">
      <alignment horizontal="left" vertical="center"/>
    </xf>
    <xf numFmtId="176" fontId="1" fillId="0" borderId="0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Border="1" applyAlignment="1">
      <alignment horizontal="left" vertical="center"/>
    </xf>
    <xf numFmtId="178" fontId="1" fillId="0" borderId="0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left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178" fontId="1" fillId="2" borderId="1" xfId="0" applyNumberFormat="1" applyFont="1" applyFill="1" applyBorder="1" applyAlignment="1">
      <alignment horizontal="center" vertical="center" wrapText="1"/>
    </xf>
    <xf numFmtId="179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179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horizontal="left" vertical="center" wrapText="1"/>
    </xf>
    <xf numFmtId="178" fontId="1" fillId="5" borderId="1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 wrapText="1"/>
    </xf>
    <xf numFmtId="177" fontId="1" fillId="0" borderId="1" xfId="0" applyNumberFormat="1" applyFont="1" applyFill="1" applyBorder="1" applyAlignment="1">
      <alignment horizontal="left" vertical="center" wrapText="1"/>
    </xf>
    <xf numFmtId="0" fontId="5" fillId="0" borderId="1" xfId="0" applyNumberFormat="1" applyFont="1" applyFill="1" applyBorder="1" applyAlignment="1">
      <alignment horizontal="left" vertical="center" wrapText="1"/>
    </xf>
    <xf numFmtId="177" fontId="1" fillId="0" borderId="1" xfId="0" applyNumberFormat="1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 wrapText="1"/>
    </xf>
    <xf numFmtId="177" fontId="1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 applyProtection="1">
      <alignment horizontal="left" vertical="center"/>
      <protection locked="0"/>
    </xf>
    <xf numFmtId="178" fontId="1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180" fontId="5" fillId="0" borderId="1" xfId="0" applyNumberFormat="1" applyFont="1" applyFill="1" applyBorder="1" applyAlignment="1">
      <alignment horizontal="center" vertical="center" wrapText="1"/>
    </xf>
    <xf numFmtId="179" fontId="1" fillId="0" borderId="0" xfId="0" applyNumberFormat="1" applyFont="1" applyFill="1" applyBorder="1" applyAlignment="1">
      <alignment horizontal="left" vertical="center" wrapText="1"/>
    </xf>
    <xf numFmtId="180" fontId="5" fillId="0" borderId="1" xfId="0" applyNumberFormat="1" applyFont="1" applyFill="1" applyBorder="1" applyAlignment="1">
      <alignment horizontal="left" vertical="center" wrapText="1"/>
    </xf>
    <xf numFmtId="0" fontId="1" fillId="0" borderId="2" xfId="0" applyFont="1" applyFill="1" applyBorder="1" applyAlignment="1">
      <alignment horizontal="left" vertical="center" wrapText="1"/>
    </xf>
    <xf numFmtId="176" fontId="1" fillId="0" borderId="1" xfId="0" applyNumberFormat="1" applyFont="1" applyFill="1" applyBorder="1" applyAlignment="1">
      <alignment horizontal="center" vertical="center"/>
    </xf>
    <xf numFmtId="176" fontId="1" fillId="5" borderId="1" xfId="0" applyNumberFormat="1" applyFont="1" applyFill="1" applyBorder="1" applyAlignment="1">
      <alignment horizontal="center" vertical="center"/>
    </xf>
    <xf numFmtId="179" fontId="6" fillId="5" borderId="1" xfId="0" applyNumberFormat="1" applyFont="1" applyFill="1" applyBorder="1" applyAlignment="1">
      <alignment horizontal="center" vertical="center"/>
    </xf>
    <xf numFmtId="176" fontId="1" fillId="4" borderId="3" xfId="0" applyNumberFormat="1" applyFont="1" applyFill="1" applyBorder="1" applyAlignment="1">
      <alignment horizontal="left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left" vertical="center" wrapText="1"/>
    </xf>
    <xf numFmtId="177" fontId="1" fillId="4" borderId="4" xfId="0" applyNumberFormat="1" applyFont="1" applyFill="1" applyBorder="1" applyAlignment="1">
      <alignment horizontal="left" vertical="center" wrapText="1"/>
    </xf>
    <xf numFmtId="178" fontId="1" fillId="4" borderId="4" xfId="0" applyNumberFormat="1" applyFont="1" applyFill="1" applyBorder="1" applyAlignment="1">
      <alignment horizontal="center" vertical="center" wrapText="1"/>
    </xf>
    <xf numFmtId="179" fontId="1" fillId="4" borderId="4" xfId="0" applyNumberFormat="1" applyFont="1" applyFill="1" applyBorder="1" applyAlignment="1">
      <alignment horizontal="center" vertical="center" wrapText="1"/>
    </xf>
    <xf numFmtId="176" fontId="1" fillId="4" borderId="5" xfId="0" applyNumberFormat="1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 wrapText="1"/>
    </xf>
    <xf numFmtId="176" fontId="1" fillId="0" borderId="3" xfId="0" applyNumberFormat="1" applyFont="1" applyFill="1" applyBorder="1" applyAlignment="1">
      <alignment horizontal="left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1" fillId="0" borderId="5" xfId="0" applyNumberFormat="1" applyFont="1" applyFill="1" applyBorder="1" applyAlignment="1">
      <alignment horizontal="center" vertical="center" wrapText="1"/>
    </xf>
    <xf numFmtId="177" fontId="1" fillId="0" borderId="6" xfId="0" applyNumberFormat="1" applyFont="1" applyFill="1" applyBorder="1" applyAlignment="1">
      <alignment horizontal="left" vertical="center"/>
    </xf>
    <xf numFmtId="176" fontId="1" fillId="0" borderId="6" xfId="0" applyNumberFormat="1" applyFont="1" applyFill="1" applyBorder="1" applyAlignment="1">
      <alignment horizontal="left" vertical="center"/>
    </xf>
    <xf numFmtId="178" fontId="1" fillId="0" borderId="7" xfId="0" applyNumberFormat="1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179" fontId="1" fillId="5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176" fontId="1" fillId="4" borderId="8" xfId="0" applyNumberFormat="1" applyFont="1" applyFill="1" applyBorder="1" applyAlignment="1">
      <alignment horizontal="left" vertical="center"/>
    </xf>
    <xf numFmtId="176" fontId="1" fillId="4" borderId="9" xfId="0" applyNumberFormat="1" applyFont="1" applyFill="1" applyBorder="1" applyAlignment="1">
      <alignment horizontal="center" vertical="center"/>
    </xf>
    <xf numFmtId="176" fontId="1" fillId="4" borderId="9" xfId="0" applyNumberFormat="1" applyFont="1" applyFill="1" applyBorder="1" applyAlignment="1">
      <alignment horizontal="left" vertical="center"/>
    </xf>
    <xf numFmtId="177" fontId="1" fillId="4" borderId="9" xfId="0" applyNumberFormat="1" applyFont="1" applyFill="1" applyBorder="1" applyAlignment="1">
      <alignment horizontal="left" vertical="center"/>
    </xf>
    <xf numFmtId="178" fontId="1" fillId="4" borderId="9" xfId="0" applyNumberFormat="1" applyFont="1" applyFill="1" applyBorder="1" applyAlignment="1">
      <alignment horizontal="center" vertical="center"/>
    </xf>
    <xf numFmtId="179" fontId="1" fillId="4" borderId="9" xfId="0" applyNumberFormat="1" applyFont="1" applyFill="1" applyBorder="1" applyAlignment="1">
      <alignment horizontal="center" vertical="center"/>
    </xf>
    <xf numFmtId="176" fontId="1" fillId="4" borderId="10" xfId="0" applyNumberFormat="1" applyFont="1" applyFill="1" applyBorder="1" applyAlignment="1">
      <alignment horizontal="left" vertical="center"/>
    </xf>
    <xf numFmtId="178" fontId="3" fillId="5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178" fontId="1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/>
    </xf>
    <xf numFmtId="176" fontId="1" fillId="4" borderId="1" xfId="0" applyNumberFormat="1" applyFont="1" applyFill="1" applyBorder="1" applyAlignment="1">
      <alignment horizontal="left" vertical="center"/>
    </xf>
    <xf numFmtId="176" fontId="1" fillId="4" borderId="1" xfId="0" applyNumberFormat="1" applyFont="1" applyFill="1" applyBorder="1" applyAlignment="1">
      <alignment horizontal="center" vertical="center"/>
    </xf>
    <xf numFmtId="177" fontId="1" fillId="4" borderId="1" xfId="0" applyNumberFormat="1" applyFont="1" applyFill="1" applyBorder="1" applyAlignment="1">
      <alignment horizontal="left" vertical="center"/>
    </xf>
    <xf numFmtId="178" fontId="1" fillId="4" borderId="1" xfId="0" applyNumberFormat="1" applyFont="1" applyFill="1" applyBorder="1" applyAlignment="1">
      <alignment horizontal="center"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vertical="center" wrapText="1"/>
    </xf>
    <xf numFmtId="0" fontId="5" fillId="0" borderId="3" xfId="0" applyNumberFormat="1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horizontal="left" vertical="center"/>
    </xf>
    <xf numFmtId="177" fontId="1" fillId="3" borderId="1" xfId="0" applyNumberFormat="1" applyFont="1" applyFill="1" applyBorder="1" applyAlignment="1">
      <alignment horizontal="left" vertical="center"/>
    </xf>
    <xf numFmtId="180" fontId="5" fillId="3" borderId="1" xfId="0" applyNumberFormat="1" applyFont="1" applyFill="1" applyBorder="1" applyAlignment="1">
      <alignment horizontal="center" vertical="center" wrapText="1"/>
    </xf>
    <xf numFmtId="179" fontId="1" fillId="3" borderId="1" xfId="0" applyNumberFormat="1" applyFont="1" applyFill="1" applyBorder="1" applyAlignment="1">
      <alignment horizontal="center" vertical="center"/>
    </xf>
    <xf numFmtId="176" fontId="1" fillId="3" borderId="6" xfId="0" applyNumberFormat="1" applyFont="1" applyFill="1" applyBorder="1" applyAlignment="1">
      <alignment horizontal="left" vertical="center"/>
    </xf>
    <xf numFmtId="180" fontId="5" fillId="0" borderId="1" xfId="0" applyNumberFormat="1" applyFont="1" applyFill="1" applyBorder="1" applyAlignment="1">
      <alignment vertical="center" wrapText="1"/>
    </xf>
    <xf numFmtId="178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180" fontId="5" fillId="0" borderId="13" xfId="0" applyNumberFormat="1" applyFont="1" applyFill="1" applyBorder="1" applyAlignment="1">
      <alignment vertical="center" wrapText="1"/>
    </xf>
    <xf numFmtId="0" fontId="8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181" fontId="8" fillId="0" borderId="0" xfId="0" applyNumberFormat="1" applyFont="1" applyFill="1" applyBorder="1" applyAlignment="1">
      <alignment horizontal="center" vertical="center"/>
    </xf>
    <xf numFmtId="181" fontId="8" fillId="0" borderId="0" xfId="0" applyNumberFormat="1" applyFont="1" applyFill="1" applyBorder="1" applyAlignment="1">
      <alignment vertical="center"/>
    </xf>
    <xf numFmtId="179" fontId="8" fillId="0" borderId="0" xfId="0" applyNumberFormat="1" applyFont="1" applyFill="1" applyBorder="1" applyAlignment="1">
      <alignment vertical="center"/>
    </xf>
    <xf numFmtId="49" fontId="8" fillId="0" borderId="1" xfId="0" applyNumberFormat="1" applyFont="1" applyFill="1" applyBorder="1" applyAlignment="1">
      <alignment horizontal="center" vertical="center"/>
    </xf>
    <xf numFmtId="181" fontId="8" fillId="0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vertical="center"/>
    </xf>
    <xf numFmtId="181" fontId="8" fillId="0" borderId="1" xfId="0" applyNumberFormat="1" applyFont="1" applyFill="1" applyBorder="1" applyAlignment="1">
      <alignment vertical="center"/>
    </xf>
    <xf numFmtId="181" fontId="8" fillId="0" borderId="1" xfId="0" applyNumberFormat="1" applyFont="1" applyFill="1" applyBorder="1" applyAlignment="1">
      <alignment horizontal="left" vertical="center"/>
    </xf>
    <xf numFmtId="49" fontId="8" fillId="0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181" fontId="8" fillId="6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vertical="center"/>
    </xf>
    <xf numFmtId="0" fontId="8" fillId="0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/>
    </xf>
    <xf numFmtId="0" fontId="8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shrinkToFit="1"/>
    </xf>
    <xf numFmtId="181" fontId="10" fillId="0" borderId="1" xfId="0" applyNumberFormat="1" applyFont="1" applyFill="1" applyBorder="1" applyAlignment="1">
      <alignment horizontal="center" vertical="center" shrinkToFit="1"/>
    </xf>
    <xf numFmtId="0" fontId="10" fillId="5" borderId="1" xfId="0" applyFont="1" applyFill="1" applyBorder="1" applyAlignment="1">
      <alignment horizontal="center" vertical="center" shrinkToFit="1"/>
    </xf>
    <xf numFmtId="0" fontId="9" fillId="0" borderId="1" xfId="0" applyFont="1" applyFill="1" applyBorder="1" applyAlignment="1">
      <alignment horizontal="center" vertical="center" shrinkToFit="1"/>
    </xf>
    <xf numFmtId="179" fontId="9" fillId="0" borderId="0" xfId="0" applyNumberFormat="1" applyFont="1" applyFill="1" applyBorder="1" applyAlignment="1">
      <alignment vertical="center"/>
    </xf>
    <xf numFmtId="0" fontId="8" fillId="0" borderId="6" xfId="0" applyFont="1" applyFill="1" applyBorder="1" applyAlignment="1">
      <alignment horizontal="center" vertical="center"/>
    </xf>
    <xf numFmtId="181" fontId="8" fillId="2" borderId="6" xfId="0" applyNumberFormat="1" applyFont="1" applyFill="1" applyBorder="1" applyAlignment="1">
      <alignment horizontal="center" vertical="center"/>
    </xf>
    <xf numFmtId="181" fontId="9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82" fontId="9" fillId="0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vertical="center"/>
    </xf>
    <xf numFmtId="0" fontId="8" fillId="0" borderId="3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181" fontId="8" fillId="2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 wrapText="1"/>
    </xf>
    <xf numFmtId="182" fontId="9" fillId="0" borderId="5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0" fillId="0" borderId="15" xfId="0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vertical="center"/>
    </xf>
    <xf numFmtId="0" fontId="8" fillId="5" borderId="7" xfId="0" applyFont="1" applyFill="1" applyBorder="1" applyAlignment="1">
      <alignment horizontal="center" vertical="center" wrapText="1"/>
    </xf>
    <xf numFmtId="181" fontId="8" fillId="5" borderId="7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181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horizontal="left" vertical="center" shrinkToFi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6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442595</xdr:colOff>
      <xdr:row>10</xdr:row>
      <xdr:rowOff>176530</xdr:rowOff>
    </xdr:from>
    <xdr:to>
      <xdr:col>0</xdr:col>
      <xdr:colOff>654685</xdr:colOff>
      <xdr:row>10</xdr:row>
      <xdr:rowOff>440690</xdr:rowOff>
    </xdr:to>
    <xdr:pic>
      <xdr:nvPicPr>
        <xdr:cNvPr id="2" name="ID_9AA95F513168447D891AB3FB64BDFC7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42595" y="4796155"/>
          <a:ext cx="212090" cy="264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398780</xdr:colOff>
      <xdr:row>11</xdr:row>
      <xdr:rowOff>145415</xdr:rowOff>
    </xdr:from>
    <xdr:to>
      <xdr:col>0</xdr:col>
      <xdr:colOff>697865</xdr:colOff>
      <xdr:row>11</xdr:row>
      <xdr:rowOff>471805</xdr:rowOff>
    </xdr:to>
    <xdr:pic>
      <xdr:nvPicPr>
        <xdr:cNvPr id="3" name="ID_7BB8E6EAA5294C3DBA20297B095413C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98780" y="5374640"/>
          <a:ext cx="299085" cy="326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386080</xdr:colOff>
      <xdr:row>12</xdr:row>
      <xdr:rowOff>167005</xdr:rowOff>
    </xdr:from>
    <xdr:to>
      <xdr:col>0</xdr:col>
      <xdr:colOff>710565</xdr:colOff>
      <xdr:row>12</xdr:row>
      <xdr:rowOff>450215</xdr:rowOff>
    </xdr:to>
    <xdr:pic>
      <xdr:nvPicPr>
        <xdr:cNvPr id="4" name="ID_D20A2739F87649AF9059441AB6DEA88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86080" y="6005830"/>
          <a:ext cx="324485" cy="2832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385445</xdr:colOff>
      <xdr:row>13</xdr:row>
      <xdr:rowOff>135890</xdr:rowOff>
    </xdr:from>
    <xdr:to>
      <xdr:col>0</xdr:col>
      <xdr:colOff>710565</xdr:colOff>
      <xdr:row>13</xdr:row>
      <xdr:rowOff>481330</xdr:rowOff>
    </xdr:to>
    <xdr:pic>
      <xdr:nvPicPr>
        <xdr:cNvPr id="5" name="ID_D1F4F7DC49124E46A98EC8396E3F0B3E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385445" y="6584315"/>
          <a:ext cx="325120" cy="3454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362585</xdr:colOff>
      <xdr:row>14</xdr:row>
      <xdr:rowOff>135890</xdr:rowOff>
    </xdr:from>
    <xdr:to>
      <xdr:col>0</xdr:col>
      <xdr:colOff>733425</xdr:colOff>
      <xdr:row>14</xdr:row>
      <xdr:rowOff>481330</xdr:rowOff>
    </xdr:to>
    <xdr:pic>
      <xdr:nvPicPr>
        <xdr:cNvPr id="6" name="ID_D5105A8210CA49ECAF2F05EAB2B943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62585" y="7193915"/>
          <a:ext cx="370840" cy="345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1513205</xdr:colOff>
      <xdr:row>3</xdr:row>
      <xdr:rowOff>458470</xdr:rowOff>
    </xdr:from>
    <xdr:to>
      <xdr:col>14</xdr:col>
      <xdr:colOff>305435</xdr:colOff>
      <xdr:row>7</xdr:row>
      <xdr:rowOff>352425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638385" y="1944370"/>
          <a:ext cx="2686050" cy="18751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30</xdr:row>
      <xdr:rowOff>88900</xdr:rowOff>
    </xdr:from>
    <xdr:to>
      <xdr:col>11</xdr:col>
      <xdr:colOff>2167255</xdr:colOff>
      <xdr:row>35</xdr:row>
      <xdr:rowOff>309880</xdr:rowOff>
    </xdr:to>
    <xdr:pic>
      <xdr:nvPicPr>
        <xdr:cNvPr id="3" name="图片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1125180" y="14947900"/>
          <a:ext cx="2167255" cy="26974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212725</xdr:colOff>
      <xdr:row>59</xdr:row>
      <xdr:rowOff>253365</xdr:rowOff>
    </xdr:from>
    <xdr:to>
      <xdr:col>11</xdr:col>
      <xdr:colOff>568960</xdr:colOff>
      <xdr:row>64</xdr:row>
      <xdr:rowOff>280670</xdr:rowOff>
    </xdr:to>
    <xdr:pic>
      <xdr:nvPicPr>
        <xdr:cNvPr id="4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177635" y="29476065"/>
          <a:ext cx="2516505" cy="25038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1842135</xdr:colOff>
      <xdr:row>112</xdr:row>
      <xdr:rowOff>50165</xdr:rowOff>
    </xdr:from>
    <xdr:to>
      <xdr:col>11</xdr:col>
      <xdr:colOff>2103755</xdr:colOff>
      <xdr:row>116</xdr:row>
      <xdr:rowOff>408305</xdr:rowOff>
    </xdr:to>
    <xdr:pic>
      <xdr:nvPicPr>
        <xdr:cNvPr id="5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0807045" y="55523765"/>
          <a:ext cx="2421890" cy="2339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822325</xdr:colOff>
      <xdr:row>138</xdr:row>
      <xdr:rowOff>481965</xdr:rowOff>
    </xdr:from>
    <xdr:to>
      <xdr:col>11</xdr:col>
      <xdr:colOff>1565910</xdr:colOff>
      <xdr:row>144</xdr:row>
      <xdr:rowOff>5715</xdr:rowOff>
    </xdr:to>
    <xdr:pic>
      <xdr:nvPicPr>
        <xdr:cNvPr id="6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9787235" y="68833365"/>
          <a:ext cx="2903855" cy="24955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1513205</xdr:colOff>
      <xdr:row>3</xdr:row>
      <xdr:rowOff>458470</xdr:rowOff>
    </xdr:from>
    <xdr:to>
      <xdr:col>14</xdr:col>
      <xdr:colOff>305435</xdr:colOff>
      <xdr:row>7</xdr:row>
      <xdr:rowOff>352425</xdr:rowOff>
    </xdr:to>
    <xdr:pic>
      <xdr:nvPicPr>
        <xdr:cNvPr id="7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638385" y="1944370"/>
          <a:ext cx="2686050" cy="18751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30</xdr:row>
      <xdr:rowOff>88900</xdr:rowOff>
    </xdr:from>
    <xdr:to>
      <xdr:col>11</xdr:col>
      <xdr:colOff>2167255</xdr:colOff>
      <xdr:row>35</xdr:row>
      <xdr:rowOff>309880</xdr:rowOff>
    </xdr:to>
    <xdr:pic>
      <xdr:nvPicPr>
        <xdr:cNvPr id="8" name="图片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1125180" y="14947900"/>
          <a:ext cx="2167255" cy="26974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212725</xdr:colOff>
      <xdr:row>59</xdr:row>
      <xdr:rowOff>253365</xdr:rowOff>
    </xdr:from>
    <xdr:to>
      <xdr:col>11</xdr:col>
      <xdr:colOff>568960</xdr:colOff>
      <xdr:row>64</xdr:row>
      <xdr:rowOff>280670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9177635" y="29476065"/>
          <a:ext cx="2516505" cy="25038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1842135</xdr:colOff>
      <xdr:row>112</xdr:row>
      <xdr:rowOff>50165</xdr:rowOff>
    </xdr:from>
    <xdr:to>
      <xdr:col>11</xdr:col>
      <xdr:colOff>2103755</xdr:colOff>
      <xdr:row>116</xdr:row>
      <xdr:rowOff>408305</xdr:rowOff>
    </xdr:to>
    <xdr:pic>
      <xdr:nvPicPr>
        <xdr:cNvPr id="10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0807045" y="55523765"/>
          <a:ext cx="2421890" cy="2339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822325</xdr:colOff>
      <xdr:row>138</xdr:row>
      <xdr:rowOff>481965</xdr:rowOff>
    </xdr:from>
    <xdr:to>
      <xdr:col>11</xdr:col>
      <xdr:colOff>1565910</xdr:colOff>
      <xdr:row>144</xdr:row>
      <xdr:rowOff>5715</xdr:rowOff>
    </xdr:to>
    <xdr:pic>
      <xdr:nvPicPr>
        <xdr:cNvPr id="11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9787235" y="68833365"/>
          <a:ext cx="2903855" cy="2495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8201;&#21464;&#27611;&#32466;&#20844;&#20180;6&#27454;&#20154;&#24037;&#25253;&#20215;&#26126;&#32454;&#34920;&#26032;26070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汇总 260707"/>
      <sheetName val="用量 260707"/>
      <sheetName val="明细260707"/>
      <sheetName val="报价单260707"/>
      <sheetName val="人工 260707"/>
      <sheetName val="汇总"/>
      <sheetName val="用量"/>
      <sheetName val="单价"/>
      <sheetName val="明细"/>
      <sheetName val="人工"/>
      <sheetName val="报价单"/>
      <sheetName val="Fabric BOM-Puppy"/>
      <sheetName val="Fabric BOM-Dino"/>
      <sheetName val="Fabric BOM-Frog"/>
      <sheetName val="Fabric BOM-Kitty"/>
      <sheetName val="Fabric BOM-Bat"/>
      <sheetName val="Fabric BOM-Unicorn"/>
    </sheetNames>
    <sheetDataSet>
      <sheetData sheetId="0"/>
      <sheetData sheetId="1"/>
      <sheetData sheetId="2">
        <row r="28">
          <cell r="J28">
            <v>35.6151281904456</v>
          </cell>
        </row>
        <row r="57">
          <cell r="J57">
            <v>34.264288377143</v>
          </cell>
        </row>
        <row r="86">
          <cell r="J86">
            <v>35.035684465243</v>
          </cell>
        </row>
        <row r="111">
          <cell r="J111">
            <v>33.679617809343</v>
          </cell>
        </row>
        <row r="137">
          <cell r="J137">
            <v>34.234676269343</v>
          </cell>
        </row>
        <row r="165">
          <cell r="J165">
            <v>35.285218924043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" sqref="$A1:$XFD1048576"/>
    </sheetView>
  </sheetViews>
  <sheetFormatPr defaultColWidth="10" defaultRowHeight="15.75" outlineLevelCol="7"/>
  <cols>
    <col min="1" max="1" width="15.8916666666667" style="93" customWidth="1"/>
    <col min="2" max="2" width="30.775" style="93" customWidth="1"/>
    <col min="3" max="3" width="15.1583333333333" style="95" customWidth="1"/>
    <col min="4" max="4" width="15.9333333333333" style="96" customWidth="1"/>
    <col min="5" max="5" width="18.95" style="96" customWidth="1"/>
    <col min="6" max="6" width="19.4416666666667" style="93" customWidth="1"/>
    <col min="7" max="7" width="33.9916666666667" style="93" customWidth="1"/>
    <col min="8" max="8" width="28.1083333333333" style="97" customWidth="1"/>
    <col min="9" max="9" width="13.1" style="93"/>
    <col min="10" max="16384" width="10" style="93"/>
  </cols>
  <sheetData>
    <row r="1" s="93" customFormat="1" spans="1:8">
      <c r="A1" s="98" t="s">
        <v>0</v>
      </c>
      <c r="B1" s="98"/>
      <c r="C1" s="99"/>
      <c r="D1" s="99"/>
      <c r="E1" s="99"/>
      <c r="F1" s="98"/>
      <c r="G1" s="98"/>
      <c r="H1" s="97"/>
    </row>
    <row r="2" s="93" customFormat="1" ht="26" customHeight="1" spans="1:8">
      <c r="A2" s="100" t="s">
        <v>1</v>
      </c>
      <c r="B2" s="100"/>
      <c r="C2" s="99"/>
      <c r="D2" s="101"/>
      <c r="E2" s="101"/>
      <c r="F2" s="100"/>
      <c r="G2" s="100"/>
      <c r="H2" s="97"/>
    </row>
    <row r="3" s="93" customFormat="1" ht="26" customHeight="1" spans="1:8">
      <c r="A3" s="100" t="s">
        <v>2</v>
      </c>
      <c r="B3" s="100"/>
      <c r="C3" s="99"/>
      <c r="D3" s="101"/>
      <c r="E3" s="101"/>
      <c r="F3" s="100"/>
      <c r="G3" s="100"/>
      <c r="H3" s="97"/>
    </row>
    <row r="4" s="93" customFormat="1" ht="26" customHeight="1" spans="1:8">
      <c r="A4" s="100" t="s">
        <v>3</v>
      </c>
      <c r="B4" s="100"/>
      <c r="C4" s="99"/>
      <c r="D4" s="102"/>
      <c r="E4" s="102"/>
      <c r="F4" s="103"/>
      <c r="G4" s="103"/>
      <c r="H4" s="97"/>
    </row>
    <row r="5" s="93" customFormat="1" ht="26" customHeight="1" spans="1:8">
      <c r="A5" s="103" t="s">
        <v>4</v>
      </c>
      <c r="B5" s="103"/>
      <c r="C5" s="99"/>
      <c r="D5" s="102"/>
      <c r="E5" s="102"/>
      <c r="F5" s="103"/>
      <c r="G5" s="103"/>
      <c r="H5" s="97"/>
    </row>
    <row r="6" s="93" customFormat="1" ht="37" customHeight="1" spans="1:8">
      <c r="A6" s="104" t="s">
        <v>5</v>
      </c>
      <c r="B6" s="104"/>
      <c r="C6" s="99"/>
      <c r="D6" s="99"/>
      <c r="E6" s="105"/>
      <c r="F6" s="104"/>
      <c r="G6" s="104"/>
      <c r="H6" s="97"/>
    </row>
    <row r="7" s="93" customFormat="1" ht="53" customHeight="1" spans="1:8">
      <c r="A7" s="106" t="s">
        <v>6</v>
      </c>
      <c r="B7" s="106"/>
      <c r="C7" s="99"/>
      <c r="D7" s="102"/>
      <c r="E7" s="102"/>
      <c r="F7" s="106"/>
      <c r="G7" s="107" t="s">
        <v>7</v>
      </c>
      <c r="H7" s="97"/>
    </row>
    <row r="8" s="93" customFormat="1" ht="53" customHeight="1" spans="1:8">
      <c r="A8" s="108" t="s">
        <v>8</v>
      </c>
      <c r="B8" s="109" t="s">
        <v>9</v>
      </c>
      <c r="C8" s="99"/>
      <c r="D8" s="101"/>
      <c r="E8" s="101"/>
      <c r="F8" s="107"/>
      <c r="G8" s="110" t="s">
        <v>10</v>
      </c>
      <c r="H8" s="97"/>
    </row>
    <row r="9" s="94" customFormat="1" ht="53" customHeight="1" spans="1:8">
      <c r="A9" s="111" t="s">
        <v>11</v>
      </c>
      <c r="B9" s="112" t="s">
        <v>12</v>
      </c>
      <c r="C9" s="113" t="s">
        <v>13</v>
      </c>
      <c r="D9" s="112" t="s">
        <v>14</v>
      </c>
      <c r="E9" s="114" t="s">
        <v>15</v>
      </c>
      <c r="F9" s="115" t="s">
        <v>16</v>
      </c>
      <c r="G9" s="111" t="s">
        <v>16</v>
      </c>
      <c r="H9" s="116"/>
    </row>
    <row r="10" s="93" customFormat="1" ht="48" customHeight="1" spans="1:8">
      <c r="A10" s="107" t="str">
        <f>_xlfn.DISPIMG("ID_710A33BC55744988811B9D0D1C5D100C",1)</f>
        <v>=DISPIMG("ID_710A33BC55744988811B9D0D1C5D100C",1)</v>
      </c>
      <c r="B10" s="117" t="s">
        <v>17</v>
      </c>
      <c r="C10" s="118">
        <f>[1]明细260707!J28</f>
        <v>35.6151281904456</v>
      </c>
      <c r="D10" s="119">
        <f t="shared" ref="D10:D15" si="0">C10*1.1</f>
        <v>39.1766410094901</v>
      </c>
      <c r="E10" s="120"/>
      <c r="F10" s="121" t="s">
        <v>18</v>
      </c>
      <c r="G10" s="122" t="s">
        <v>19</v>
      </c>
      <c r="H10" s="97"/>
    </row>
    <row r="11" s="93" customFormat="1" ht="48" customHeight="1" spans="1:8">
      <c r="A11" s="123"/>
      <c r="B11" s="124" t="s">
        <v>20</v>
      </c>
      <c r="C11" s="118">
        <f>[1]明细260707!J57</f>
        <v>34.264288377143</v>
      </c>
      <c r="D11" s="119">
        <f t="shared" si="0"/>
        <v>37.6907172148573</v>
      </c>
      <c r="E11" s="120"/>
      <c r="F11" s="121"/>
      <c r="G11" s="122" t="s">
        <v>21</v>
      </c>
      <c r="H11" s="97"/>
    </row>
    <row r="12" s="93" customFormat="1" ht="48" customHeight="1" spans="1:8">
      <c r="A12" s="107"/>
      <c r="B12" s="125" t="s">
        <v>22</v>
      </c>
      <c r="C12" s="99">
        <f>[1]明细260707!J86</f>
        <v>35.035684465243</v>
      </c>
      <c r="D12" s="119">
        <f t="shared" si="0"/>
        <v>38.5392529117673</v>
      </c>
      <c r="E12" s="126"/>
      <c r="F12" s="121"/>
      <c r="G12" s="122" t="s">
        <v>23</v>
      </c>
      <c r="H12" s="97"/>
    </row>
    <row r="13" s="93" customFormat="1" ht="48" customHeight="1" spans="1:8">
      <c r="A13" s="123"/>
      <c r="B13" s="124" t="s">
        <v>24</v>
      </c>
      <c r="C13" s="127">
        <f>[1]明细260707!J111</f>
        <v>33.679617809343</v>
      </c>
      <c r="D13" s="119">
        <f t="shared" si="0"/>
        <v>37.0475795902773</v>
      </c>
      <c r="E13" s="128"/>
      <c r="F13" s="129"/>
      <c r="G13" s="130" t="s">
        <v>25</v>
      </c>
      <c r="H13" s="97"/>
    </row>
    <row r="14" s="93" customFormat="1" ht="48" customHeight="1" spans="1:8">
      <c r="A14" s="107"/>
      <c r="B14" s="131" t="s">
        <v>26</v>
      </c>
      <c r="C14" s="118">
        <f>[1]明细260707!J137</f>
        <v>34.234676269343</v>
      </c>
      <c r="D14" s="119">
        <f t="shared" si="0"/>
        <v>37.6581438962773</v>
      </c>
      <c r="E14" s="132"/>
      <c r="F14" s="121"/>
      <c r="G14" s="130" t="s">
        <v>27</v>
      </c>
      <c r="H14" s="97"/>
    </row>
    <row r="15" s="93" customFormat="1" ht="48" customHeight="1" spans="1:8">
      <c r="A15" s="107"/>
      <c r="B15" s="111" t="s">
        <v>28</v>
      </c>
      <c r="C15" s="99">
        <f>[1]明细260707!J165</f>
        <v>35.285218924043</v>
      </c>
      <c r="D15" s="119">
        <f t="shared" si="0"/>
        <v>38.8137408164473</v>
      </c>
      <c r="E15" s="107"/>
      <c r="F15" s="121"/>
      <c r="G15" s="130" t="s">
        <v>29</v>
      </c>
      <c r="H15" s="97"/>
    </row>
    <row r="16" s="93" customFormat="1" ht="48" customHeight="1" spans="1:8">
      <c r="B16" s="133" t="s">
        <v>30</v>
      </c>
      <c r="C16" s="134">
        <f>AVERAGE(C10:C14)</f>
        <v>34.5658790223035</v>
      </c>
      <c r="D16" s="134">
        <f>AVERAGE(D10:D14)</f>
        <v>38.0224669245339</v>
      </c>
      <c r="E16" s="99"/>
      <c r="F16" s="121"/>
      <c r="G16" s="135" t="s">
        <v>31</v>
      </c>
      <c r="H16" s="97"/>
    </row>
    <row r="17" s="93" customFormat="1" ht="48" customHeight="1" spans="1:8">
      <c r="A17" s="107"/>
      <c r="B17" s="136"/>
      <c r="C17" s="127"/>
      <c r="D17" s="127"/>
      <c r="E17" s="137"/>
      <c r="F17" s="121"/>
      <c r="G17" s="130" t="s">
        <v>32</v>
      </c>
      <c r="H17" s="97"/>
    </row>
    <row r="18" s="93" customFormat="1" ht="49" customHeight="1" spans="1:8">
      <c r="A18" s="111" t="s">
        <v>33</v>
      </c>
      <c r="B18" s="111"/>
      <c r="C18" s="99"/>
      <c r="D18" s="101"/>
      <c r="E18" s="138"/>
      <c r="F18" s="107"/>
      <c r="G18" s="139" t="s">
        <v>34</v>
      </c>
      <c r="H18" s="97"/>
    </row>
  </sheetData>
  <mergeCells count="3">
    <mergeCell ref="A1:G1"/>
    <mergeCell ref="A6:G6"/>
    <mergeCell ref="F10:F17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5"/>
  <sheetViews>
    <sheetView tabSelected="1" zoomScale="40" zoomScaleNormal="40" workbookViewId="0">
      <selection activeCell="L16" sqref="L16"/>
    </sheetView>
  </sheetViews>
  <sheetFormatPr defaultColWidth="9" defaultRowHeight="20.25"/>
  <cols>
    <col min="1" max="1" width="104.441666666667" style="2" customWidth="1"/>
    <col min="2" max="2" width="21.2583333333333" style="4" customWidth="1"/>
    <col min="3" max="3" width="12.6416666666667" style="2" customWidth="1"/>
    <col min="4" max="4" width="20.1083333333333" style="5"/>
    <col min="5" max="5" width="9" style="2"/>
    <col min="6" max="6" width="21.225" style="6"/>
    <col min="7" max="7" width="17.5583333333333" style="7"/>
    <col min="8" max="8" width="13.7666666666667" style="7" customWidth="1"/>
    <col min="9" max="9" width="15.775" style="4"/>
    <col min="10" max="10" width="13.1083333333333" style="7"/>
    <col min="11" max="11" width="28.35" style="2" customWidth="1"/>
    <col min="12" max="12" width="32.6583333333333" style="2" customWidth="1"/>
    <col min="13" max="13" width="9.44166666666667" style="2"/>
    <col min="14" max="16384" width="9" style="2"/>
  </cols>
  <sheetData>
    <row r="1" s="1" customFormat="1" ht="39" customHeight="1" spans="1:11">
      <c r="A1" s="8" t="s">
        <v>35</v>
      </c>
      <c r="B1" s="9" t="s">
        <v>36</v>
      </c>
      <c r="C1" s="9" t="s">
        <v>37</v>
      </c>
      <c r="D1" s="10" t="s">
        <v>38</v>
      </c>
      <c r="E1" s="9" t="s">
        <v>39</v>
      </c>
      <c r="F1" s="11" t="s">
        <v>40</v>
      </c>
      <c r="G1" s="12" t="s">
        <v>41</v>
      </c>
      <c r="H1" s="12" t="s">
        <v>42</v>
      </c>
      <c r="I1" s="13" t="s">
        <v>43</v>
      </c>
      <c r="J1" s="12" t="s">
        <v>44</v>
      </c>
      <c r="K1" s="9" t="s">
        <v>16</v>
      </c>
    </row>
    <row r="2" s="1" customFormat="1" ht="39" customHeight="1" spans="1:11">
      <c r="A2" s="14" t="s">
        <v>17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s="2" customFormat="1" ht="39" customHeight="1" spans="1:11">
      <c r="A3" s="15" t="s">
        <v>45</v>
      </c>
      <c r="B3" s="16" t="s">
        <v>46</v>
      </c>
      <c r="C3" s="17" t="s">
        <v>47</v>
      </c>
      <c r="D3" s="18">
        <v>500</v>
      </c>
      <c r="E3" s="19"/>
      <c r="F3" s="20">
        <v>0.08446</v>
      </c>
      <c r="G3" s="21">
        <v>93.2</v>
      </c>
      <c r="H3" s="22">
        <f t="shared" ref="H3:H27" si="0">F3*G3</f>
        <v>7.871672</v>
      </c>
      <c r="I3" s="22">
        <v>1.1</v>
      </c>
      <c r="J3" s="22">
        <f t="shared" ref="J3:J27" si="1">H3*I3</f>
        <v>8.6588392</v>
      </c>
      <c r="K3" s="23"/>
    </row>
    <row r="4" s="2" customFormat="1" ht="39" customHeight="1" spans="1:11">
      <c r="A4" s="24"/>
      <c r="B4" s="16" t="s">
        <v>48</v>
      </c>
      <c r="C4" s="25"/>
      <c r="D4" s="26"/>
      <c r="E4" s="19"/>
      <c r="F4" s="20">
        <v>0.08549</v>
      </c>
      <c r="G4" s="21">
        <v>93.2</v>
      </c>
      <c r="H4" s="22">
        <f t="shared" si="0"/>
        <v>7.967668</v>
      </c>
      <c r="I4" s="22">
        <v>1.1</v>
      </c>
      <c r="J4" s="22">
        <f t="shared" si="1"/>
        <v>8.7644348</v>
      </c>
      <c r="K4" s="23"/>
    </row>
    <row r="5" s="2" customFormat="1" ht="39" customHeight="1" spans="1:11">
      <c r="A5" s="27"/>
      <c r="B5" s="16" t="s">
        <v>49</v>
      </c>
      <c r="C5" s="25"/>
      <c r="D5" s="28"/>
      <c r="E5" s="23"/>
      <c r="F5" s="20">
        <v>0.034299</v>
      </c>
      <c r="G5" s="21">
        <v>93.2</v>
      </c>
      <c r="H5" s="22">
        <f t="shared" si="0"/>
        <v>3.1966668</v>
      </c>
      <c r="I5" s="22">
        <v>1.1</v>
      </c>
      <c r="J5" s="22">
        <f t="shared" si="1"/>
        <v>3.51633348</v>
      </c>
      <c r="K5" s="23"/>
    </row>
    <row r="6" s="2" customFormat="1" ht="39" customHeight="1" spans="1:11">
      <c r="A6" s="15" t="s">
        <v>50</v>
      </c>
      <c r="B6" s="16" t="s">
        <v>51</v>
      </c>
      <c r="C6" s="29" t="s">
        <v>47</v>
      </c>
      <c r="D6" s="30">
        <v>50</v>
      </c>
      <c r="E6" s="23"/>
      <c r="F6" s="20">
        <v>0.007828</v>
      </c>
      <c r="G6" s="21">
        <v>20.7</v>
      </c>
      <c r="H6" s="22">
        <f t="shared" si="0"/>
        <v>0.1620396</v>
      </c>
      <c r="I6" s="22">
        <v>1.1</v>
      </c>
      <c r="J6" s="22">
        <f t="shared" si="1"/>
        <v>0.17824356</v>
      </c>
      <c r="K6" s="23"/>
    </row>
    <row r="7" s="2" customFormat="1" ht="39" customHeight="1" spans="1:11">
      <c r="A7" s="15"/>
      <c r="B7" s="31" t="s">
        <v>52</v>
      </c>
      <c r="C7" s="25"/>
      <c r="D7" s="28"/>
      <c r="E7" s="23"/>
      <c r="F7" s="20">
        <v>0.007828</v>
      </c>
      <c r="G7" s="21">
        <v>20.7</v>
      </c>
      <c r="H7" s="22">
        <f t="shared" si="0"/>
        <v>0.1620396</v>
      </c>
      <c r="I7" s="22">
        <v>1.1</v>
      </c>
      <c r="J7" s="22">
        <f t="shared" si="1"/>
        <v>0.17824356</v>
      </c>
      <c r="K7" s="23"/>
    </row>
    <row r="8" s="2" customFormat="1" ht="39" customHeight="1" spans="1:11">
      <c r="A8" s="15"/>
      <c r="B8" s="16" t="s">
        <v>53</v>
      </c>
      <c r="C8" s="25"/>
      <c r="D8" s="28"/>
      <c r="E8" s="23"/>
      <c r="F8" s="20">
        <v>0.015656</v>
      </c>
      <c r="G8" s="21">
        <v>20.7</v>
      </c>
      <c r="H8" s="22">
        <f t="shared" si="0"/>
        <v>0.3240792</v>
      </c>
      <c r="I8" s="22">
        <v>1.1</v>
      </c>
      <c r="J8" s="22">
        <f t="shared" si="1"/>
        <v>0.35648712</v>
      </c>
      <c r="K8" s="23"/>
    </row>
    <row r="9" s="2" customFormat="1" ht="39" customHeight="1" spans="1:11">
      <c r="A9" s="15"/>
      <c r="B9" s="16" t="s">
        <v>54</v>
      </c>
      <c r="C9" s="25"/>
      <c r="D9" s="28"/>
      <c r="E9" s="23"/>
      <c r="F9" s="20">
        <v>0.036874</v>
      </c>
      <c r="G9" s="21">
        <v>20.7</v>
      </c>
      <c r="H9" s="22">
        <f t="shared" si="0"/>
        <v>0.7632918</v>
      </c>
      <c r="I9" s="22">
        <v>1.1</v>
      </c>
      <c r="J9" s="22">
        <f t="shared" si="1"/>
        <v>0.83962098</v>
      </c>
      <c r="K9" s="23"/>
    </row>
    <row r="10" s="2" customFormat="1" ht="39" customHeight="1" spans="1:11">
      <c r="A10" s="27"/>
      <c r="B10" s="16" t="s">
        <v>55</v>
      </c>
      <c r="C10" s="25"/>
      <c r="D10" s="28"/>
      <c r="E10" s="23"/>
      <c r="F10" s="20">
        <v>0.009888</v>
      </c>
      <c r="G10" s="21">
        <v>20.7</v>
      </c>
      <c r="H10" s="22">
        <f t="shared" si="0"/>
        <v>0.2046816</v>
      </c>
      <c r="I10" s="22">
        <v>1.1</v>
      </c>
      <c r="J10" s="22">
        <f t="shared" si="1"/>
        <v>0.22514976</v>
      </c>
      <c r="K10" s="23"/>
    </row>
    <row r="11" s="2" customFormat="1" ht="39" customHeight="1" spans="1:11">
      <c r="A11" s="15" t="s">
        <v>56</v>
      </c>
      <c r="B11" s="16" t="s">
        <v>57</v>
      </c>
      <c r="C11" s="25" t="s">
        <v>47</v>
      </c>
      <c r="D11" s="28">
        <v>100</v>
      </c>
      <c r="E11" s="23"/>
      <c r="F11" s="20">
        <v>0.0321875</v>
      </c>
      <c r="G11" s="21">
        <v>20</v>
      </c>
      <c r="H11" s="22">
        <f t="shared" si="0"/>
        <v>0.64375</v>
      </c>
      <c r="I11" s="22">
        <v>1.1</v>
      </c>
      <c r="J11" s="22">
        <f t="shared" si="1"/>
        <v>0.708125</v>
      </c>
      <c r="K11" s="23"/>
    </row>
    <row r="12" s="2" customFormat="1" ht="39" customHeight="1" spans="1:11">
      <c r="A12" s="15" t="s">
        <v>58</v>
      </c>
      <c r="B12" s="16" t="s">
        <v>59</v>
      </c>
      <c r="C12" s="25" t="s">
        <v>47</v>
      </c>
      <c r="D12" s="28">
        <v>100</v>
      </c>
      <c r="E12" s="23"/>
      <c r="F12" s="20">
        <v>0.0038744212962963</v>
      </c>
      <c r="G12" s="21">
        <v>15.3</v>
      </c>
      <c r="H12" s="22">
        <f t="shared" si="0"/>
        <v>0.0592786458333333</v>
      </c>
      <c r="I12" s="22">
        <v>1.1</v>
      </c>
      <c r="J12" s="22">
        <f t="shared" si="1"/>
        <v>0.0652065104166667</v>
      </c>
      <c r="K12" s="23"/>
    </row>
    <row r="13" s="2" customFormat="1" ht="39" customHeight="1" spans="1:11">
      <c r="A13" s="15"/>
      <c r="B13" s="16" t="s">
        <v>60</v>
      </c>
      <c r="C13" s="25"/>
      <c r="D13" s="28"/>
      <c r="E13" s="23"/>
      <c r="F13" s="20">
        <v>0.0038744212962963</v>
      </c>
      <c r="G13" s="21">
        <v>15.3</v>
      </c>
      <c r="H13" s="22">
        <f t="shared" si="0"/>
        <v>0.0592786458333333</v>
      </c>
      <c r="I13" s="22">
        <v>1.1</v>
      </c>
      <c r="J13" s="22">
        <f t="shared" si="1"/>
        <v>0.0652065104166667</v>
      </c>
      <c r="K13" s="23"/>
    </row>
    <row r="14" s="2" customFormat="1" ht="39" customHeight="1" spans="1:11">
      <c r="A14" s="27" t="s">
        <v>61</v>
      </c>
      <c r="B14" s="16" t="s">
        <v>62</v>
      </c>
      <c r="C14" s="25" t="s">
        <v>63</v>
      </c>
      <c r="D14" s="28">
        <v>500</v>
      </c>
      <c r="E14" s="23"/>
      <c r="F14" s="20">
        <v>0.00184985632183908</v>
      </c>
      <c r="G14" s="21">
        <v>56</v>
      </c>
      <c r="H14" s="22">
        <f t="shared" si="0"/>
        <v>0.103591954022989</v>
      </c>
      <c r="I14" s="22">
        <v>1.1</v>
      </c>
      <c r="J14" s="22">
        <f t="shared" si="1"/>
        <v>0.113951149425287</v>
      </c>
      <c r="K14" s="23"/>
    </row>
    <row r="15" s="2" customFormat="1" ht="39" customHeight="1" spans="1:11">
      <c r="A15" s="24" t="s">
        <v>64</v>
      </c>
      <c r="B15" s="16" t="s">
        <v>65</v>
      </c>
      <c r="C15" s="25" t="s">
        <v>63</v>
      </c>
      <c r="D15" s="28">
        <v>500</v>
      </c>
      <c r="E15" s="23"/>
      <c r="F15" s="20">
        <v>0.00450360082304527</v>
      </c>
      <c r="G15" s="21">
        <v>22</v>
      </c>
      <c r="H15" s="22">
        <f t="shared" si="0"/>
        <v>0.0990792181069959</v>
      </c>
      <c r="I15" s="22">
        <v>1.1</v>
      </c>
      <c r="J15" s="22">
        <f t="shared" si="1"/>
        <v>0.108987139917695</v>
      </c>
      <c r="K15" s="23"/>
    </row>
    <row r="16" s="2" customFormat="1" ht="39" customHeight="1" spans="1:11">
      <c r="A16" s="32" t="s">
        <v>66</v>
      </c>
      <c r="B16" s="31"/>
      <c r="C16" s="25"/>
      <c r="D16" s="28"/>
      <c r="E16" s="23"/>
      <c r="F16" s="33">
        <v>2</v>
      </c>
      <c r="G16" s="21">
        <v>0.1236</v>
      </c>
      <c r="H16" s="22">
        <f t="shared" si="0"/>
        <v>0.2472</v>
      </c>
      <c r="I16" s="22">
        <v>1.1</v>
      </c>
      <c r="J16" s="22">
        <f t="shared" si="1"/>
        <v>0.27192</v>
      </c>
      <c r="K16" s="23"/>
    </row>
    <row r="17" s="2" customFormat="1" ht="39" customHeight="1" spans="1:12">
      <c r="A17" s="34" t="s">
        <v>67</v>
      </c>
      <c r="B17" s="16"/>
      <c r="C17" s="25"/>
      <c r="D17" s="28"/>
      <c r="E17" s="23"/>
      <c r="F17" s="33">
        <v>29.87</v>
      </c>
      <c r="G17" s="33">
        <v>0.0029</v>
      </c>
      <c r="H17" s="22">
        <f t="shared" si="0"/>
        <v>0.086623</v>
      </c>
      <c r="I17" s="22">
        <v>1.1</v>
      </c>
      <c r="J17" s="22">
        <f t="shared" si="1"/>
        <v>0.0952853</v>
      </c>
      <c r="K17" s="23"/>
    </row>
    <row r="18" s="2" customFormat="1" ht="39" customHeight="1" spans="1:12">
      <c r="A18" s="27" t="s">
        <v>68</v>
      </c>
      <c r="B18" s="16"/>
      <c r="C18" s="25"/>
      <c r="D18" s="28"/>
      <c r="E18" s="23"/>
      <c r="F18" s="33">
        <v>1.648</v>
      </c>
      <c r="G18" s="33">
        <v>0.0185</v>
      </c>
      <c r="H18" s="22">
        <f t="shared" si="0"/>
        <v>0.030488</v>
      </c>
      <c r="I18" s="22">
        <v>1.1</v>
      </c>
      <c r="J18" s="22">
        <f t="shared" si="1"/>
        <v>0.0335368</v>
      </c>
      <c r="K18" s="23"/>
    </row>
    <row r="19" s="2" customFormat="1" ht="39" customHeight="1" spans="1:12">
      <c r="A19" s="27" t="s">
        <v>69</v>
      </c>
      <c r="B19" s="16"/>
      <c r="C19" s="25"/>
      <c r="D19" s="28"/>
      <c r="E19" s="23"/>
      <c r="F19" s="33">
        <v>197</v>
      </c>
      <c r="G19" s="33">
        <v>0.0085</v>
      </c>
      <c r="H19" s="22">
        <f t="shared" si="0"/>
        <v>1.6745</v>
      </c>
      <c r="I19" s="22">
        <v>1.1</v>
      </c>
      <c r="J19" s="22">
        <f t="shared" si="1"/>
        <v>1.84195</v>
      </c>
      <c r="K19" s="23"/>
    </row>
    <row r="20" s="2" customFormat="1" ht="39" customHeight="1" spans="1:12">
      <c r="A20" s="15" t="s">
        <v>70</v>
      </c>
      <c r="B20" s="16"/>
      <c r="C20" s="25"/>
      <c r="D20" s="28"/>
      <c r="E20" s="23"/>
      <c r="F20" s="35">
        <v>2</v>
      </c>
      <c r="G20" s="33">
        <v>0.3605</v>
      </c>
      <c r="H20" s="22">
        <f t="shared" si="0"/>
        <v>0.721</v>
      </c>
      <c r="I20" s="22">
        <v>1.1</v>
      </c>
      <c r="J20" s="22">
        <f t="shared" si="1"/>
        <v>0.7931</v>
      </c>
      <c r="K20" s="23"/>
    </row>
    <row r="21" s="2" customFormat="1" ht="39" customHeight="1" spans="1:12">
      <c r="A21" s="15" t="s">
        <v>71</v>
      </c>
      <c r="B21" s="16"/>
      <c r="C21" s="25"/>
      <c r="D21" s="28"/>
      <c r="E21" s="23"/>
      <c r="F21" s="35">
        <v>2</v>
      </c>
      <c r="G21" s="33">
        <v>0.3605</v>
      </c>
      <c r="H21" s="22">
        <f t="shared" si="0"/>
        <v>0.721</v>
      </c>
      <c r="I21" s="22">
        <v>1.1</v>
      </c>
      <c r="J21" s="22">
        <f t="shared" si="1"/>
        <v>0.7931</v>
      </c>
      <c r="K21" s="23"/>
    </row>
    <row r="22" s="2" customFormat="1" ht="39" customHeight="1" spans="1:12">
      <c r="A22" s="15" t="s">
        <v>72</v>
      </c>
      <c r="B22" s="16"/>
      <c r="C22" s="25"/>
      <c r="D22" s="28"/>
      <c r="E22" s="23"/>
      <c r="F22" s="35">
        <v>1</v>
      </c>
      <c r="G22" s="33">
        <v>1.133</v>
      </c>
      <c r="H22" s="22">
        <f t="shared" si="0"/>
        <v>1.133</v>
      </c>
      <c r="I22" s="22">
        <v>1.1</v>
      </c>
      <c r="J22" s="22">
        <f t="shared" si="1"/>
        <v>1.2463</v>
      </c>
      <c r="K22" s="23"/>
    </row>
    <row r="23" s="2" customFormat="1" ht="39" customHeight="1" spans="1:12">
      <c r="A23" s="15" t="s">
        <v>73</v>
      </c>
      <c r="B23" s="16"/>
      <c r="C23" s="25"/>
      <c r="D23" s="28"/>
      <c r="E23" s="23"/>
      <c r="F23" s="35">
        <v>1</v>
      </c>
      <c r="G23" s="33">
        <v>0.4635</v>
      </c>
      <c r="H23" s="22">
        <f t="shared" si="0"/>
        <v>0.4635</v>
      </c>
      <c r="I23" s="22">
        <v>1.1</v>
      </c>
      <c r="J23" s="22">
        <f t="shared" si="1"/>
        <v>0.50985</v>
      </c>
      <c r="K23" s="23"/>
      <c r="L23" s="36"/>
    </row>
    <row r="24" s="2" customFormat="1" ht="39" customHeight="1" spans="1:12">
      <c r="A24" s="37" t="s">
        <v>74</v>
      </c>
      <c r="B24" s="35"/>
      <c r="C24" s="25"/>
      <c r="D24" s="28"/>
      <c r="E24" s="23"/>
      <c r="F24" s="33"/>
      <c r="G24" s="21"/>
      <c r="H24" s="22">
        <f t="shared" si="0"/>
        <v>0</v>
      </c>
      <c r="I24" s="22">
        <v>1.1</v>
      </c>
      <c r="J24" s="22">
        <f t="shared" si="1"/>
        <v>0</v>
      </c>
      <c r="K24" s="23"/>
      <c r="L24" s="36"/>
    </row>
    <row r="25" s="2" customFormat="1" ht="39" customHeight="1" spans="1:12">
      <c r="A25" s="25" t="s">
        <v>75</v>
      </c>
      <c r="B25" s="29"/>
      <c r="C25" s="25"/>
      <c r="D25" s="28"/>
      <c r="E25" s="23"/>
      <c r="F25" s="35">
        <v>1</v>
      </c>
      <c r="G25" s="33">
        <v>0.397961200244785</v>
      </c>
      <c r="H25" s="22">
        <f t="shared" si="0"/>
        <v>0.397961200244785</v>
      </c>
      <c r="I25" s="22">
        <v>1.1</v>
      </c>
      <c r="J25" s="22">
        <f t="shared" si="1"/>
        <v>0.437757320269264</v>
      </c>
      <c r="K25" s="23"/>
      <c r="L25" s="36"/>
    </row>
    <row r="26" s="2" customFormat="1" ht="39" customHeight="1" spans="1:12">
      <c r="A26" s="38" t="s">
        <v>76</v>
      </c>
      <c r="B26" s="29"/>
      <c r="C26" s="25"/>
      <c r="D26" s="28"/>
      <c r="E26" s="23"/>
      <c r="F26" s="35">
        <v>1</v>
      </c>
      <c r="G26" s="33">
        <v>3.69</v>
      </c>
      <c r="H26" s="22">
        <f t="shared" si="0"/>
        <v>3.69</v>
      </c>
      <c r="I26" s="22">
        <v>1.1</v>
      </c>
      <c r="J26" s="22">
        <f t="shared" si="1"/>
        <v>4.059</v>
      </c>
      <c r="K26" s="23"/>
    </row>
    <row r="27" s="2" customFormat="1" ht="39" customHeight="1" spans="1:12">
      <c r="A27" s="38" t="s">
        <v>77</v>
      </c>
      <c r="B27" s="29"/>
      <c r="C27" s="25"/>
      <c r="D27" s="28"/>
      <c r="E27" s="23"/>
      <c r="F27" s="35">
        <v>1</v>
      </c>
      <c r="G27" s="33">
        <v>1.595</v>
      </c>
      <c r="H27" s="22">
        <f t="shared" si="0"/>
        <v>1.595</v>
      </c>
      <c r="I27" s="22">
        <v>1.1</v>
      </c>
      <c r="J27" s="22">
        <f t="shared" si="1"/>
        <v>1.7545</v>
      </c>
      <c r="K27" s="23"/>
    </row>
    <row r="28" s="2" customFormat="1" ht="39" customHeight="1" spans="1:12">
      <c r="A28" s="23"/>
      <c r="B28" s="39"/>
      <c r="C28" s="23"/>
      <c r="D28" s="28"/>
      <c r="E28" s="23"/>
      <c r="F28" s="33"/>
      <c r="G28" s="22"/>
      <c r="H28" s="22"/>
      <c r="I28" s="40" t="s">
        <v>30</v>
      </c>
      <c r="J28" s="41">
        <f>SUM(J3:J27)</f>
        <v>35.6151281904456</v>
      </c>
      <c r="K28" s="23"/>
    </row>
    <row r="29" s="2" customFormat="1" ht="39" customHeight="1" spans="1:12">
      <c r="A29" s="42" t="s">
        <v>20</v>
      </c>
      <c r="B29" s="43"/>
      <c r="C29" s="44"/>
      <c r="D29" s="45"/>
      <c r="E29" s="44"/>
      <c r="F29" s="46"/>
      <c r="G29" s="47"/>
      <c r="H29" s="47"/>
      <c r="I29" s="43"/>
      <c r="J29" s="43"/>
      <c r="K29" s="48"/>
    </row>
    <row r="30" s="2" customFormat="1" ht="39" customHeight="1" spans="1:12">
      <c r="A30" s="15" t="s">
        <v>45</v>
      </c>
      <c r="B30" s="16" t="s">
        <v>46</v>
      </c>
      <c r="C30" s="25" t="s">
        <v>47</v>
      </c>
      <c r="D30" s="28">
        <v>500</v>
      </c>
      <c r="E30" s="23"/>
      <c r="F30" s="20">
        <v>0.08858</v>
      </c>
      <c r="G30" s="21">
        <v>93.2</v>
      </c>
      <c r="H30" s="22">
        <f t="shared" ref="H30:H56" si="2">F30*G30</f>
        <v>8.255656</v>
      </c>
      <c r="I30" s="22">
        <v>1.1</v>
      </c>
      <c r="J30" s="22">
        <f t="shared" ref="J30:J56" si="3">H30*I30</f>
        <v>9.0812216</v>
      </c>
      <c r="K30" s="23"/>
    </row>
    <row r="31" s="2" customFormat="1" ht="39" customHeight="1" spans="1:12">
      <c r="A31" s="49"/>
      <c r="B31" s="16" t="s">
        <v>48</v>
      </c>
      <c r="C31" s="50"/>
      <c r="D31" s="28"/>
      <c r="E31" s="23"/>
      <c r="F31" s="20">
        <v>0.08549</v>
      </c>
      <c r="G31" s="21">
        <v>93.2</v>
      </c>
      <c r="H31" s="22">
        <f t="shared" si="2"/>
        <v>7.967668</v>
      </c>
      <c r="I31" s="22">
        <v>1.1</v>
      </c>
      <c r="J31" s="22">
        <f t="shared" si="3"/>
        <v>8.7644348</v>
      </c>
      <c r="K31" s="23"/>
    </row>
    <row r="32" s="2" customFormat="1" ht="39" customHeight="1" spans="1:12">
      <c r="A32" s="27"/>
      <c r="B32" s="16" t="s">
        <v>49</v>
      </c>
      <c r="C32" s="25"/>
      <c r="D32" s="28"/>
      <c r="E32" s="23"/>
      <c r="F32" s="20">
        <v>0.022763</v>
      </c>
      <c r="G32" s="21">
        <v>93.2</v>
      </c>
      <c r="H32" s="22">
        <f t="shared" si="2"/>
        <v>2.1215116</v>
      </c>
      <c r="I32" s="22">
        <v>1.1</v>
      </c>
      <c r="J32" s="22">
        <f t="shared" si="3"/>
        <v>2.33366276</v>
      </c>
      <c r="K32" s="23"/>
    </row>
    <row r="33" s="2" customFormat="1" ht="39" customHeight="1" spans="1:11">
      <c r="A33" s="15" t="s">
        <v>78</v>
      </c>
      <c r="B33" s="16" t="s">
        <v>79</v>
      </c>
      <c r="C33" s="25" t="s">
        <v>47</v>
      </c>
      <c r="D33" s="28">
        <v>50</v>
      </c>
      <c r="E33" s="23"/>
      <c r="F33" s="20">
        <v>0.004326</v>
      </c>
      <c r="G33" s="21">
        <v>20.7</v>
      </c>
      <c r="H33" s="22">
        <f t="shared" si="2"/>
        <v>0.0895482</v>
      </c>
      <c r="I33" s="22">
        <v>1.1</v>
      </c>
      <c r="J33" s="22">
        <f t="shared" si="3"/>
        <v>0.09850302</v>
      </c>
      <c r="K33" s="23"/>
    </row>
    <row r="34" s="2" customFormat="1" ht="39" customHeight="1" spans="1:11">
      <c r="A34" s="15"/>
      <c r="B34" s="16" t="s">
        <v>80</v>
      </c>
      <c r="C34" s="50"/>
      <c r="D34" s="28"/>
      <c r="E34" s="23"/>
      <c r="F34" s="20">
        <v>0.004841</v>
      </c>
      <c r="G34" s="21">
        <v>20.7</v>
      </c>
      <c r="H34" s="22">
        <f t="shared" si="2"/>
        <v>0.1002087</v>
      </c>
      <c r="I34" s="22">
        <v>1.1</v>
      </c>
      <c r="J34" s="22">
        <f t="shared" si="3"/>
        <v>0.11022957</v>
      </c>
      <c r="K34" s="23"/>
    </row>
    <row r="35" s="2" customFormat="1" ht="39" customHeight="1" spans="1:11">
      <c r="A35" s="15"/>
      <c r="B35" s="31" t="s">
        <v>81</v>
      </c>
      <c r="C35" s="50"/>
      <c r="D35" s="28"/>
      <c r="E35" s="23"/>
      <c r="F35" s="20">
        <v>0.006386</v>
      </c>
      <c r="G35" s="21">
        <v>20.7</v>
      </c>
      <c r="H35" s="22">
        <f t="shared" si="2"/>
        <v>0.1321902</v>
      </c>
      <c r="I35" s="22">
        <v>1.1</v>
      </c>
      <c r="J35" s="22">
        <f t="shared" si="3"/>
        <v>0.14540922</v>
      </c>
      <c r="K35" s="23"/>
    </row>
    <row r="36" s="2" customFormat="1" ht="39" customHeight="1" spans="1:11">
      <c r="A36" s="15"/>
      <c r="B36" s="31" t="s">
        <v>82</v>
      </c>
      <c r="C36" s="50"/>
      <c r="D36" s="28"/>
      <c r="E36" s="23"/>
      <c r="F36" s="20">
        <v>0.006386</v>
      </c>
      <c r="G36" s="21">
        <v>20.7</v>
      </c>
      <c r="H36" s="22">
        <f t="shared" si="2"/>
        <v>0.1321902</v>
      </c>
      <c r="I36" s="22">
        <v>1.1</v>
      </c>
      <c r="J36" s="22">
        <f t="shared" si="3"/>
        <v>0.14540922</v>
      </c>
      <c r="K36" s="23"/>
    </row>
    <row r="37" s="2" customFormat="1" ht="39" customHeight="1" spans="1:11">
      <c r="A37" s="15" t="s">
        <v>50</v>
      </c>
      <c r="B37" s="16" t="s">
        <v>83</v>
      </c>
      <c r="C37" s="50" t="s">
        <v>47</v>
      </c>
      <c r="D37" s="28">
        <v>50</v>
      </c>
      <c r="E37" s="23"/>
      <c r="F37" s="20">
        <v>0.008446</v>
      </c>
      <c r="G37" s="21">
        <v>20.7</v>
      </c>
      <c r="H37" s="22">
        <f t="shared" si="2"/>
        <v>0.1748322</v>
      </c>
      <c r="I37" s="22">
        <v>1.1</v>
      </c>
      <c r="J37" s="22">
        <f t="shared" si="3"/>
        <v>0.19231542</v>
      </c>
      <c r="K37" s="23"/>
    </row>
    <row r="38" s="2" customFormat="1" ht="39" customHeight="1" spans="1:11">
      <c r="A38" s="15"/>
      <c r="B38" s="16" t="s">
        <v>54</v>
      </c>
      <c r="C38" s="50"/>
      <c r="D38" s="28"/>
      <c r="E38" s="23"/>
      <c r="F38" s="20">
        <v>0.029252</v>
      </c>
      <c r="G38" s="21">
        <v>20.7</v>
      </c>
      <c r="H38" s="22">
        <f t="shared" si="2"/>
        <v>0.6055164</v>
      </c>
      <c r="I38" s="22">
        <v>1.1</v>
      </c>
      <c r="J38" s="22">
        <f t="shared" si="3"/>
        <v>0.66606804</v>
      </c>
      <c r="K38" s="23"/>
    </row>
    <row r="39" s="2" customFormat="1" ht="39" customHeight="1" spans="1:11">
      <c r="A39" s="27"/>
      <c r="B39" s="16" t="s">
        <v>55</v>
      </c>
      <c r="C39" s="50"/>
      <c r="D39" s="28"/>
      <c r="E39" s="23"/>
      <c r="F39" s="20">
        <v>0.008034</v>
      </c>
      <c r="G39" s="21">
        <v>20.7</v>
      </c>
      <c r="H39" s="22">
        <f t="shared" si="2"/>
        <v>0.1663038</v>
      </c>
      <c r="I39" s="22">
        <v>1.1</v>
      </c>
      <c r="J39" s="22">
        <f t="shared" si="3"/>
        <v>0.18293418</v>
      </c>
      <c r="K39" s="23"/>
    </row>
    <row r="40" s="2" customFormat="1" ht="39" customHeight="1" spans="1:11">
      <c r="A40" s="15" t="s">
        <v>56</v>
      </c>
      <c r="B40" s="16" t="s">
        <v>57</v>
      </c>
      <c r="C40" s="50" t="s">
        <v>47</v>
      </c>
      <c r="D40" s="28">
        <v>100</v>
      </c>
      <c r="E40" s="23"/>
      <c r="F40" s="20">
        <v>0.029046</v>
      </c>
      <c r="G40" s="21">
        <v>20</v>
      </c>
      <c r="H40" s="22">
        <f t="shared" si="2"/>
        <v>0.58092</v>
      </c>
      <c r="I40" s="22">
        <v>1.1</v>
      </c>
      <c r="J40" s="22">
        <f t="shared" si="3"/>
        <v>0.639012</v>
      </c>
      <c r="K40" s="23"/>
    </row>
    <row r="41" s="2" customFormat="1" ht="39" customHeight="1" spans="1:11">
      <c r="A41" s="15" t="s">
        <v>58</v>
      </c>
      <c r="B41" s="16" t="s">
        <v>59</v>
      </c>
      <c r="C41" s="50" t="s">
        <v>47</v>
      </c>
      <c r="D41" s="28">
        <v>100</v>
      </c>
      <c r="E41" s="23"/>
      <c r="F41" s="20">
        <v>0.003708</v>
      </c>
      <c r="G41" s="21">
        <v>15.3</v>
      </c>
      <c r="H41" s="22">
        <f t="shared" si="2"/>
        <v>0.0567324</v>
      </c>
      <c r="I41" s="22">
        <v>1.1</v>
      </c>
      <c r="J41" s="22">
        <f t="shared" si="3"/>
        <v>0.06240564</v>
      </c>
      <c r="K41" s="23"/>
    </row>
    <row r="42" s="2" customFormat="1" ht="39" customHeight="1" spans="1:11">
      <c r="A42" s="15"/>
      <c r="B42" s="16" t="s">
        <v>60</v>
      </c>
      <c r="C42" s="50"/>
      <c r="D42" s="28"/>
      <c r="E42" s="23"/>
      <c r="F42" s="20">
        <v>0.003708</v>
      </c>
      <c r="G42" s="21">
        <v>15.3</v>
      </c>
      <c r="H42" s="22">
        <f t="shared" si="2"/>
        <v>0.0567324</v>
      </c>
      <c r="I42" s="22">
        <v>1.1</v>
      </c>
      <c r="J42" s="22">
        <f t="shared" si="3"/>
        <v>0.06240564</v>
      </c>
      <c r="K42" s="23"/>
    </row>
    <row r="43" s="2" customFormat="1" ht="39" customHeight="1" spans="1:11">
      <c r="A43" s="51" t="s">
        <v>84</v>
      </c>
      <c r="B43" s="16" t="s">
        <v>62</v>
      </c>
      <c r="C43" s="25" t="s">
        <v>63</v>
      </c>
      <c r="D43" s="28">
        <v>500</v>
      </c>
      <c r="E43" s="23"/>
      <c r="F43" s="20">
        <v>0.00184985632183908</v>
      </c>
      <c r="G43" s="21">
        <v>56</v>
      </c>
      <c r="H43" s="22">
        <f t="shared" si="2"/>
        <v>0.103591954022989</v>
      </c>
      <c r="I43" s="22">
        <v>1.1</v>
      </c>
      <c r="J43" s="22">
        <f t="shared" si="3"/>
        <v>0.113951149425287</v>
      </c>
      <c r="K43" s="23"/>
    </row>
    <row r="44" s="2" customFormat="1" ht="39" customHeight="1" spans="1:11">
      <c r="A44" s="27" t="s">
        <v>64</v>
      </c>
      <c r="B44" s="16" t="s">
        <v>65</v>
      </c>
      <c r="C44" s="25" t="s">
        <v>63</v>
      </c>
      <c r="D44" s="28">
        <v>500</v>
      </c>
      <c r="E44" s="23"/>
      <c r="F44" s="20">
        <v>0.00450360082304527</v>
      </c>
      <c r="G44" s="21">
        <v>22</v>
      </c>
      <c r="H44" s="22">
        <f t="shared" si="2"/>
        <v>0.0990792181069959</v>
      </c>
      <c r="I44" s="22">
        <v>1.1</v>
      </c>
      <c r="J44" s="22">
        <f t="shared" si="3"/>
        <v>0.108987139917695</v>
      </c>
      <c r="K44" s="23"/>
    </row>
    <row r="45" s="2" customFormat="1" ht="39" customHeight="1" spans="1:11">
      <c r="A45" s="27" t="s">
        <v>85</v>
      </c>
      <c r="B45" s="16" t="s">
        <v>86</v>
      </c>
      <c r="C45" s="25" t="s">
        <v>87</v>
      </c>
      <c r="D45" s="28">
        <v>500</v>
      </c>
      <c r="E45" s="23"/>
      <c r="F45" s="20">
        <v>0.009682</v>
      </c>
      <c r="G45" s="21">
        <v>29.639</v>
      </c>
      <c r="H45" s="22">
        <f t="shared" si="2"/>
        <v>0.286964798</v>
      </c>
      <c r="I45" s="22">
        <v>1.1</v>
      </c>
      <c r="J45" s="22">
        <f t="shared" si="3"/>
        <v>0.3156612778</v>
      </c>
      <c r="K45" s="23"/>
    </row>
    <row r="46" s="2" customFormat="1" ht="39" customHeight="1" spans="1:11">
      <c r="A46" s="32" t="s">
        <v>66</v>
      </c>
      <c r="B46" s="31"/>
      <c r="C46" s="25"/>
      <c r="D46" s="28"/>
      <c r="E46" s="23"/>
      <c r="F46" s="33">
        <v>2</v>
      </c>
      <c r="G46" s="21">
        <v>0.1236</v>
      </c>
      <c r="H46" s="22">
        <f t="shared" si="2"/>
        <v>0.2472</v>
      </c>
      <c r="I46" s="22">
        <v>1.1</v>
      </c>
      <c r="J46" s="22">
        <f t="shared" si="3"/>
        <v>0.27192</v>
      </c>
      <c r="K46" s="23"/>
    </row>
    <row r="47" s="2" customFormat="1" ht="39" customHeight="1" spans="1:11">
      <c r="A47" s="34" t="s">
        <v>67</v>
      </c>
      <c r="B47" s="16"/>
      <c r="C47" s="25"/>
      <c r="D47" s="28"/>
      <c r="E47" s="52"/>
      <c r="F47" s="53">
        <v>31.93</v>
      </c>
      <c r="G47" s="54">
        <v>0.0029</v>
      </c>
      <c r="H47" s="22">
        <f t="shared" si="2"/>
        <v>0.092597</v>
      </c>
      <c r="I47" s="22">
        <v>1.1</v>
      </c>
      <c r="J47" s="22">
        <f t="shared" si="3"/>
        <v>0.1018567</v>
      </c>
      <c r="K47" s="23"/>
    </row>
    <row r="48" s="2" customFormat="1" ht="39" customHeight="1" spans="1:11">
      <c r="A48" s="27" t="s">
        <v>68</v>
      </c>
      <c r="B48" s="16"/>
      <c r="C48" s="25"/>
      <c r="D48" s="28"/>
      <c r="E48" s="52"/>
      <c r="F48" s="53">
        <v>2.06</v>
      </c>
      <c r="G48" s="54">
        <v>0.0185</v>
      </c>
      <c r="H48" s="22">
        <f t="shared" si="2"/>
        <v>0.03811</v>
      </c>
      <c r="I48" s="22">
        <v>1.1</v>
      </c>
      <c r="J48" s="22">
        <f t="shared" si="3"/>
        <v>0.041921</v>
      </c>
      <c r="K48" s="23"/>
    </row>
    <row r="49" s="2" customFormat="1" ht="39" customHeight="1" spans="1:11">
      <c r="A49" s="27" t="s">
        <v>69</v>
      </c>
      <c r="B49" s="16"/>
      <c r="C49" s="25"/>
      <c r="D49" s="55"/>
      <c r="E49" s="56"/>
      <c r="F49" s="57">
        <v>214</v>
      </c>
      <c r="G49" s="22">
        <v>0.0085</v>
      </c>
      <c r="H49" s="22">
        <f t="shared" si="2"/>
        <v>1.819</v>
      </c>
      <c r="I49" s="22">
        <v>1.1</v>
      </c>
      <c r="J49" s="22">
        <f t="shared" si="3"/>
        <v>2.0009</v>
      </c>
      <c r="K49" s="23"/>
    </row>
    <row r="50" s="2" customFormat="1" ht="39" customHeight="1" spans="1:11">
      <c r="A50" s="15" t="s">
        <v>88</v>
      </c>
      <c r="B50" s="16"/>
      <c r="C50" s="58"/>
      <c r="D50" s="28"/>
      <c r="E50" s="23"/>
      <c r="F50" s="35">
        <v>1</v>
      </c>
      <c r="G50" s="22">
        <v>0.3605</v>
      </c>
      <c r="H50" s="22">
        <f t="shared" si="2"/>
        <v>0.3605</v>
      </c>
      <c r="I50" s="22">
        <v>1.1</v>
      </c>
      <c r="J50" s="22">
        <f t="shared" si="3"/>
        <v>0.39655</v>
      </c>
      <c r="K50" s="23"/>
    </row>
    <row r="51" s="2" customFormat="1" ht="39" customHeight="1" spans="1:11">
      <c r="A51" s="15" t="s">
        <v>89</v>
      </c>
      <c r="B51" s="16"/>
      <c r="C51" s="58"/>
      <c r="D51" s="28"/>
      <c r="E51" s="23"/>
      <c r="F51" s="35">
        <v>1</v>
      </c>
      <c r="G51" s="22">
        <v>1.133</v>
      </c>
      <c r="H51" s="22">
        <f t="shared" si="2"/>
        <v>1.133</v>
      </c>
      <c r="I51" s="22">
        <v>1.1</v>
      </c>
      <c r="J51" s="22">
        <f t="shared" si="3"/>
        <v>1.2463</v>
      </c>
      <c r="K51" s="23"/>
    </row>
    <row r="52" s="2" customFormat="1" ht="39" customHeight="1" spans="1:11">
      <c r="A52" s="15" t="s">
        <v>90</v>
      </c>
      <c r="B52" s="16"/>
      <c r="C52" s="58"/>
      <c r="D52" s="28"/>
      <c r="E52" s="23"/>
      <c r="F52" s="35">
        <v>1</v>
      </c>
      <c r="G52" s="22">
        <v>0.4635</v>
      </c>
      <c r="H52" s="22">
        <f t="shared" si="2"/>
        <v>0.4635</v>
      </c>
      <c r="I52" s="22">
        <v>1.1</v>
      </c>
      <c r="J52" s="22">
        <f t="shared" si="3"/>
        <v>0.50985</v>
      </c>
      <c r="K52" s="23"/>
    </row>
    <row r="53" s="2" customFormat="1" ht="39" customHeight="1" spans="1:11">
      <c r="A53" s="37" t="s">
        <v>74</v>
      </c>
      <c r="B53" s="35"/>
      <c r="C53" s="58"/>
      <c r="D53" s="28"/>
      <c r="E53" s="23"/>
      <c r="F53" s="33"/>
      <c r="G53" s="22"/>
      <c r="H53" s="22">
        <f t="shared" si="2"/>
        <v>0</v>
      </c>
      <c r="I53" s="22">
        <v>1.1</v>
      </c>
      <c r="J53" s="22">
        <f t="shared" si="3"/>
        <v>0</v>
      </c>
      <c r="K53" s="23"/>
    </row>
    <row r="54" s="2" customFormat="1" ht="39" customHeight="1" spans="1:11">
      <c r="A54" s="25" t="s">
        <v>75</v>
      </c>
      <c r="B54" s="59"/>
      <c r="C54" s="58"/>
      <c r="D54" s="28"/>
      <c r="E54" s="23"/>
      <c r="F54" s="35">
        <v>1</v>
      </c>
      <c r="G54" s="60">
        <v>0.4608</v>
      </c>
      <c r="H54" s="22">
        <f t="shared" si="2"/>
        <v>0.4608</v>
      </c>
      <c r="I54" s="22">
        <v>1.1</v>
      </c>
      <c r="J54" s="22">
        <f t="shared" si="3"/>
        <v>0.50688</v>
      </c>
      <c r="K54" s="23"/>
    </row>
    <row r="55" s="2" customFormat="1" ht="39" customHeight="1" spans="1:11">
      <c r="A55" s="38" t="s">
        <v>76</v>
      </c>
      <c r="B55" s="61"/>
      <c r="C55" s="58"/>
      <c r="D55" s="28"/>
      <c r="E55" s="23"/>
      <c r="F55" s="35">
        <v>1</v>
      </c>
      <c r="G55" s="60">
        <v>3.965</v>
      </c>
      <c r="H55" s="22">
        <f t="shared" si="2"/>
        <v>3.965</v>
      </c>
      <c r="I55" s="22">
        <v>1.1</v>
      </c>
      <c r="J55" s="22">
        <f t="shared" si="3"/>
        <v>4.3615</v>
      </c>
      <c r="K55" s="23"/>
    </row>
    <row r="56" s="2" customFormat="1" ht="39" customHeight="1" spans="1:11">
      <c r="A56" s="38" t="s">
        <v>77</v>
      </c>
      <c r="B56" s="62"/>
      <c r="C56" s="58"/>
      <c r="D56" s="28"/>
      <c r="E56" s="23"/>
      <c r="F56" s="35">
        <v>1</v>
      </c>
      <c r="G56" s="60">
        <v>1.64</v>
      </c>
      <c r="H56" s="22">
        <f t="shared" si="2"/>
        <v>1.64</v>
      </c>
      <c r="I56" s="22">
        <v>1.1</v>
      </c>
      <c r="J56" s="22">
        <f t="shared" si="3"/>
        <v>1.804</v>
      </c>
      <c r="K56" s="23"/>
    </row>
    <row r="57" s="2" customFormat="1" ht="39" customHeight="1" spans="1:11">
      <c r="A57" s="50"/>
      <c r="B57" s="59"/>
      <c r="C57" s="58"/>
      <c r="D57" s="28"/>
      <c r="E57" s="23"/>
      <c r="F57" s="33"/>
      <c r="G57" s="22"/>
      <c r="H57" s="22"/>
      <c r="I57" s="60" t="s">
        <v>30</v>
      </c>
      <c r="J57" s="60">
        <f>SUM(J30:J56)</f>
        <v>34.264288377143</v>
      </c>
      <c r="K57" s="23"/>
    </row>
    <row r="58" s="2" customFormat="1" ht="39" customHeight="1" spans="1:11">
      <c r="A58" s="63" t="s">
        <v>22</v>
      </c>
      <c r="B58" s="64"/>
      <c r="C58" s="65"/>
      <c r="D58" s="66"/>
      <c r="E58" s="65"/>
      <c r="F58" s="67"/>
      <c r="G58" s="68"/>
      <c r="H58" s="68"/>
      <c r="I58" s="64"/>
      <c r="J58" s="64"/>
      <c r="K58" s="69"/>
    </row>
    <row r="59" s="2" customFormat="1" ht="39" customHeight="1" spans="1:11">
      <c r="A59" s="15" t="s">
        <v>45</v>
      </c>
      <c r="B59" s="16" t="s">
        <v>46</v>
      </c>
      <c r="C59" s="25" t="s">
        <v>47</v>
      </c>
      <c r="D59" s="28">
        <v>500</v>
      </c>
      <c r="E59" s="23"/>
      <c r="F59" s="70">
        <v>0.08446</v>
      </c>
      <c r="G59" s="21">
        <v>93.2</v>
      </c>
      <c r="H59" s="22">
        <f t="shared" ref="H59:H85" si="4">F59*G59</f>
        <v>7.871672</v>
      </c>
      <c r="I59" s="22">
        <v>1.1</v>
      </c>
      <c r="J59" s="22">
        <f t="shared" ref="J59:J85" si="5">H59*I59</f>
        <v>8.6588392</v>
      </c>
      <c r="K59" s="56"/>
    </row>
    <row r="60" s="2" customFormat="1" ht="39" customHeight="1" spans="1:11">
      <c r="A60" s="49"/>
      <c r="B60" s="16" t="s">
        <v>48</v>
      </c>
      <c r="C60" s="50"/>
      <c r="D60" s="28"/>
      <c r="E60" s="23"/>
      <c r="F60" s="70">
        <v>0.08446</v>
      </c>
      <c r="G60" s="21">
        <v>93.2</v>
      </c>
      <c r="H60" s="22">
        <f t="shared" si="4"/>
        <v>7.871672</v>
      </c>
      <c r="I60" s="22">
        <v>1.1</v>
      </c>
      <c r="J60" s="22">
        <f t="shared" si="5"/>
        <v>8.6588392</v>
      </c>
      <c r="K60" s="56"/>
    </row>
    <row r="61" s="2" customFormat="1" ht="39" customHeight="1" spans="1:11">
      <c r="A61" s="27"/>
      <c r="B61" s="16" t="s">
        <v>49</v>
      </c>
      <c r="C61" s="25"/>
      <c r="D61" s="28"/>
      <c r="E61" s="23"/>
      <c r="F61" s="70">
        <v>0.024205</v>
      </c>
      <c r="G61" s="21">
        <v>93.2</v>
      </c>
      <c r="H61" s="22">
        <f t="shared" si="4"/>
        <v>2.255906</v>
      </c>
      <c r="I61" s="22">
        <v>1.1</v>
      </c>
      <c r="J61" s="22">
        <f t="shared" si="5"/>
        <v>2.4814966</v>
      </c>
      <c r="K61" s="56"/>
    </row>
    <row r="62" s="2" customFormat="1" ht="39" customHeight="1" spans="1:11">
      <c r="A62" s="15" t="s">
        <v>91</v>
      </c>
      <c r="B62" s="16" t="s">
        <v>51</v>
      </c>
      <c r="C62" s="25" t="s">
        <v>47</v>
      </c>
      <c r="D62" s="28">
        <v>50</v>
      </c>
      <c r="E62" s="23"/>
      <c r="F62" s="70">
        <v>0.006798</v>
      </c>
      <c r="G62" s="21">
        <v>20.7</v>
      </c>
      <c r="H62" s="22">
        <f t="shared" si="4"/>
        <v>0.1407186</v>
      </c>
      <c r="I62" s="22">
        <v>1.1</v>
      </c>
      <c r="J62" s="22">
        <f t="shared" si="5"/>
        <v>0.15479046</v>
      </c>
      <c r="K62" s="56"/>
    </row>
    <row r="63" s="2" customFormat="1" ht="39" customHeight="1" spans="1:11">
      <c r="A63" s="15"/>
      <c r="B63" s="16" t="s">
        <v>52</v>
      </c>
      <c r="C63" s="50"/>
      <c r="D63" s="28"/>
      <c r="E63" s="23"/>
      <c r="F63" s="70">
        <v>0.006798</v>
      </c>
      <c r="G63" s="21">
        <v>20.7</v>
      </c>
      <c r="H63" s="22">
        <f t="shared" si="4"/>
        <v>0.1407186</v>
      </c>
      <c r="I63" s="22">
        <v>1.1</v>
      </c>
      <c r="J63" s="22">
        <f t="shared" si="5"/>
        <v>0.15479046</v>
      </c>
      <c r="K63" s="56"/>
    </row>
    <row r="64" s="2" customFormat="1" ht="39" customHeight="1" spans="1:11">
      <c r="A64" s="15"/>
      <c r="B64" s="16" t="s">
        <v>83</v>
      </c>
      <c r="C64" s="50"/>
      <c r="D64" s="28"/>
      <c r="E64" s="23"/>
      <c r="F64" s="70">
        <v>0.008858</v>
      </c>
      <c r="G64" s="21">
        <v>20.7</v>
      </c>
      <c r="H64" s="22">
        <f t="shared" si="4"/>
        <v>0.1833606</v>
      </c>
      <c r="I64" s="22">
        <v>1.1</v>
      </c>
      <c r="J64" s="22">
        <f t="shared" si="5"/>
        <v>0.20169666</v>
      </c>
      <c r="K64" s="56"/>
    </row>
    <row r="65" s="2" customFormat="1" ht="39" customHeight="1" spans="1:11">
      <c r="A65" s="15"/>
      <c r="B65" s="16" t="s">
        <v>54</v>
      </c>
      <c r="C65" s="50"/>
      <c r="D65" s="28"/>
      <c r="E65" s="23"/>
      <c r="F65" s="70">
        <v>0.036874</v>
      </c>
      <c r="G65" s="21">
        <v>20.7</v>
      </c>
      <c r="H65" s="22">
        <f t="shared" si="4"/>
        <v>0.7632918</v>
      </c>
      <c r="I65" s="22">
        <v>1.1</v>
      </c>
      <c r="J65" s="22">
        <f t="shared" si="5"/>
        <v>0.83962098</v>
      </c>
      <c r="K65" s="56"/>
    </row>
    <row r="66" s="2" customFormat="1" ht="39" customHeight="1" spans="1:11">
      <c r="A66" s="27"/>
      <c r="B66" s="16" t="s">
        <v>55</v>
      </c>
      <c r="C66" s="50"/>
      <c r="D66" s="28"/>
      <c r="E66" s="23"/>
      <c r="F66" s="70">
        <v>0.009888</v>
      </c>
      <c r="G66" s="21">
        <v>20.7</v>
      </c>
      <c r="H66" s="22">
        <f t="shared" si="4"/>
        <v>0.2046816</v>
      </c>
      <c r="I66" s="22">
        <v>1.1</v>
      </c>
      <c r="J66" s="22">
        <f t="shared" si="5"/>
        <v>0.22514976</v>
      </c>
      <c r="K66" s="56"/>
    </row>
    <row r="67" s="2" customFormat="1" ht="39" customHeight="1" spans="1:11">
      <c r="A67" s="27" t="s">
        <v>92</v>
      </c>
      <c r="B67" s="16" t="s">
        <v>93</v>
      </c>
      <c r="C67" s="50" t="s">
        <v>87</v>
      </c>
      <c r="D67" s="28"/>
      <c r="E67" s="23"/>
      <c r="F67" s="70">
        <v>0.003605</v>
      </c>
      <c r="G67" s="21">
        <v>15.8</v>
      </c>
      <c r="H67" s="22">
        <f t="shared" si="4"/>
        <v>0.056959</v>
      </c>
      <c r="I67" s="22">
        <v>1.1</v>
      </c>
      <c r="J67" s="22">
        <f t="shared" si="5"/>
        <v>0.0626549</v>
      </c>
      <c r="K67" s="56"/>
    </row>
    <row r="68" s="2" customFormat="1" ht="39" customHeight="1" spans="1:11">
      <c r="A68" s="15" t="s">
        <v>56</v>
      </c>
      <c r="B68" s="16" t="s">
        <v>94</v>
      </c>
      <c r="C68" s="50" t="s">
        <v>47</v>
      </c>
      <c r="D68" s="28">
        <v>100</v>
      </c>
      <c r="E68" s="23"/>
      <c r="F68" s="70">
        <v>0.031312</v>
      </c>
      <c r="G68" s="21">
        <v>20</v>
      </c>
      <c r="H68" s="22">
        <f t="shared" si="4"/>
        <v>0.62624</v>
      </c>
      <c r="I68" s="22">
        <v>1.1</v>
      </c>
      <c r="J68" s="22">
        <f t="shared" si="5"/>
        <v>0.688864</v>
      </c>
      <c r="K68" s="56"/>
    </row>
    <row r="69" s="2" customFormat="1" ht="39" customHeight="1" spans="1:11">
      <c r="A69" s="15" t="s">
        <v>58</v>
      </c>
      <c r="B69" s="16" t="s">
        <v>59</v>
      </c>
      <c r="C69" s="50" t="s">
        <v>47</v>
      </c>
      <c r="D69" s="28">
        <v>100</v>
      </c>
      <c r="E69" s="23"/>
      <c r="F69" s="70">
        <v>0.003296</v>
      </c>
      <c r="G69" s="21">
        <v>15.3</v>
      </c>
      <c r="H69" s="22">
        <f t="shared" si="4"/>
        <v>0.0504288</v>
      </c>
      <c r="I69" s="22">
        <v>1.1</v>
      </c>
      <c r="J69" s="22">
        <f t="shared" si="5"/>
        <v>0.05547168</v>
      </c>
      <c r="K69" s="56"/>
    </row>
    <row r="70" s="2" customFormat="1" ht="39" customHeight="1" spans="1:11">
      <c r="A70" s="15"/>
      <c r="B70" s="16" t="s">
        <v>60</v>
      </c>
      <c r="C70" s="50"/>
      <c r="D70" s="28"/>
      <c r="E70" s="23"/>
      <c r="F70" s="70">
        <v>0.003296</v>
      </c>
      <c r="G70" s="21">
        <v>15.3</v>
      </c>
      <c r="H70" s="22">
        <f t="shared" si="4"/>
        <v>0.0504288</v>
      </c>
      <c r="I70" s="22">
        <v>1.1</v>
      </c>
      <c r="J70" s="22">
        <f t="shared" si="5"/>
        <v>0.05547168</v>
      </c>
      <c r="K70" s="56"/>
    </row>
    <row r="71" s="2" customFormat="1" ht="39" customHeight="1" spans="1:11">
      <c r="A71" s="51" t="s">
        <v>84</v>
      </c>
      <c r="B71" s="16" t="s">
        <v>62</v>
      </c>
      <c r="C71" s="50" t="s">
        <v>63</v>
      </c>
      <c r="D71" s="28">
        <v>500</v>
      </c>
      <c r="E71" s="23"/>
      <c r="F71" s="70">
        <v>0.00184985632183908</v>
      </c>
      <c r="G71" s="21">
        <v>56</v>
      </c>
      <c r="H71" s="22">
        <f t="shared" si="4"/>
        <v>0.103591954022989</v>
      </c>
      <c r="I71" s="22">
        <v>1.1</v>
      </c>
      <c r="J71" s="22">
        <f t="shared" si="5"/>
        <v>0.113951149425287</v>
      </c>
      <c r="K71" s="56"/>
    </row>
    <row r="72" s="2" customFormat="1" ht="39" customHeight="1" spans="1:11">
      <c r="A72" s="27" t="s">
        <v>64</v>
      </c>
      <c r="B72" s="16" t="s">
        <v>65</v>
      </c>
      <c r="C72" s="25" t="s">
        <v>63</v>
      </c>
      <c r="D72" s="28">
        <v>500</v>
      </c>
      <c r="E72" s="23"/>
      <c r="F72" s="70">
        <v>0.00450360082304527</v>
      </c>
      <c r="G72" s="21">
        <v>22</v>
      </c>
      <c r="H72" s="22">
        <f t="shared" si="4"/>
        <v>0.0990792181069959</v>
      </c>
      <c r="I72" s="22">
        <v>1.1</v>
      </c>
      <c r="J72" s="22">
        <f t="shared" si="5"/>
        <v>0.108987139917695</v>
      </c>
      <c r="K72" s="56"/>
    </row>
    <row r="73" s="2" customFormat="1" ht="39" customHeight="1" spans="1:11">
      <c r="A73" s="27" t="s">
        <v>95</v>
      </c>
      <c r="B73" s="16" t="s">
        <v>96</v>
      </c>
      <c r="C73" s="25" t="s">
        <v>87</v>
      </c>
      <c r="D73" s="28">
        <v>500</v>
      </c>
      <c r="E73" s="23"/>
      <c r="F73" s="70">
        <v>0.008755</v>
      </c>
      <c r="G73" s="21">
        <v>29.639</v>
      </c>
      <c r="H73" s="22">
        <f t="shared" si="4"/>
        <v>0.259489445</v>
      </c>
      <c r="I73" s="22">
        <v>1.1</v>
      </c>
      <c r="J73" s="22">
        <f t="shared" si="5"/>
        <v>0.2854383895</v>
      </c>
      <c r="K73" s="56"/>
    </row>
    <row r="74" s="2" customFormat="1" ht="39" customHeight="1" spans="1:11">
      <c r="A74" s="71"/>
      <c r="B74" s="16" t="s">
        <v>86</v>
      </c>
      <c r="C74" s="25"/>
      <c r="D74" s="28"/>
      <c r="E74" s="23"/>
      <c r="F74" s="70">
        <v>0.007416</v>
      </c>
      <c r="G74" s="21">
        <v>29.639</v>
      </c>
      <c r="H74" s="22">
        <f t="shared" si="4"/>
        <v>0.219802824</v>
      </c>
      <c r="I74" s="22">
        <v>1.1</v>
      </c>
      <c r="J74" s="22">
        <f t="shared" si="5"/>
        <v>0.2417831064</v>
      </c>
      <c r="K74" s="56"/>
    </row>
    <row r="75" s="2" customFormat="1" ht="39" customHeight="1" spans="1:11">
      <c r="A75" s="32" t="s">
        <v>66</v>
      </c>
      <c r="B75" s="31"/>
      <c r="C75" s="50"/>
      <c r="D75" s="28"/>
      <c r="E75" s="23"/>
      <c r="F75" s="33">
        <v>2</v>
      </c>
      <c r="G75" s="21">
        <v>0.1236</v>
      </c>
      <c r="H75" s="22">
        <f t="shared" si="4"/>
        <v>0.2472</v>
      </c>
      <c r="I75" s="22">
        <v>1.1</v>
      </c>
      <c r="J75" s="22">
        <f t="shared" si="5"/>
        <v>0.27192</v>
      </c>
      <c r="K75" s="56"/>
    </row>
    <row r="76" s="2" customFormat="1" ht="39" customHeight="1" spans="1:11">
      <c r="A76" s="34" t="s">
        <v>67</v>
      </c>
      <c r="B76" s="16"/>
      <c r="C76" s="23"/>
      <c r="D76" s="28"/>
      <c r="E76" s="23"/>
      <c r="F76" s="72">
        <v>33.99</v>
      </c>
      <c r="G76" s="21">
        <v>0.0029</v>
      </c>
      <c r="H76" s="22">
        <f t="shared" si="4"/>
        <v>0.098571</v>
      </c>
      <c r="I76" s="22">
        <v>1.1</v>
      </c>
      <c r="J76" s="22">
        <f t="shared" si="5"/>
        <v>0.1084281</v>
      </c>
      <c r="K76" s="56"/>
    </row>
    <row r="77" s="2" customFormat="1" ht="39" customHeight="1" spans="1:11">
      <c r="A77" s="27" t="s">
        <v>68</v>
      </c>
      <c r="B77" s="16"/>
      <c r="C77" s="23"/>
      <c r="D77" s="28"/>
      <c r="E77" s="23"/>
      <c r="F77" s="53">
        <v>2.06</v>
      </c>
      <c r="G77" s="21">
        <v>0.0185</v>
      </c>
      <c r="H77" s="22">
        <f t="shared" si="4"/>
        <v>0.03811</v>
      </c>
      <c r="I77" s="22">
        <v>1.1</v>
      </c>
      <c r="J77" s="22">
        <f t="shared" si="5"/>
        <v>0.041921</v>
      </c>
      <c r="K77" s="56"/>
    </row>
    <row r="78" s="2" customFormat="1" ht="39" customHeight="1" spans="1:11">
      <c r="A78" s="27" t="s">
        <v>69</v>
      </c>
      <c r="B78" s="16"/>
      <c r="C78" s="23"/>
      <c r="D78" s="28"/>
      <c r="E78" s="23"/>
      <c r="F78" s="53">
        <v>214</v>
      </c>
      <c r="G78" s="21">
        <v>0.0085</v>
      </c>
      <c r="H78" s="22">
        <f t="shared" si="4"/>
        <v>1.819</v>
      </c>
      <c r="I78" s="22">
        <v>1.1</v>
      </c>
      <c r="J78" s="22">
        <f t="shared" si="5"/>
        <v>2.0009</v>
      </c>
      <c r="K78" s="56"/>
    </row>
    <row r="79" s="2" customFormat="1" ht="39" customHeight="1" spans="1:11">
      <c r="A79" s="15" t="s">
        <v>97</v>
      </c>
      <c r="B79" s="16"/>
      <c r="C79" s="23"/>
      <c r="D79" s="28"/>
      <c r="E79" s="23"/>
      <c r="F79" s="72">
        <v>2</v>
      </c>
      <c r="G79" s="22">
        <v>0.3605</v>
      </c>
      <c r="H79" s="22">
        <f t="shared" si="4"/>
        <v>0.721</v>
      </c>
      <c r="I79" s="22">
        <v>1.1</v>
      </c>
      <c r="J79" s="22">
        <f t="shared" si="5"/>
        <v>0.7931</v>
      </c>
      <c r="K79" s="56"/>
    </row>
    <row r="80" s="2" customFormat="1" ht="39" customHeight="1" spans="1:11">
      <c r="A80" s="15" t="s">
        <v>89</v>
      </c>
      <c r="B80" s="16"/>
      <c r="C80" s="23"/>
      <c r="D80" s="28"/>
      <c r="E80" s="23"/>
      <c r="F80" s="72">
        <v>1</v>
      </c>
      <c r="G80" s="22">
        <v>1.133</v>
      </c>
      <c r="H80" s="22">
        <f t="shared" si="4"/>
        <v>1.133</v>
      </c>
      <c r="I80" s="22">
        <v>1.1</v>
      </c>
      <c r="J80" s="22">
        <f t="shared" si="5"/>
        <v>1.2463</v>
      </c>
      <c r="K80" s="56"/>
    </row>
    <row r="81" s="2" customFormat="1" ht="39" customHeight="1" spans="1:11">
      <c r="A81" s="15" t="s">
        <v>90</v>
      </c>
      <c r="B81" s="16"/>
      <c r="C81" s="23"/>
      <c r="D81" s="28"/>
      <c r="E81" s="23"/>
      <c r="F81" s="72">
        <v>1</v>
      </c>
      <c r="G81" s="22">
        <v>0.4635</v>
      </c>
      <c r="H81" s="22">
        <f t="shared" si="4"/>
        <v>0.4635</v>
      </c>
      <c r="I81" s="22">
        <v>1.1</v>
      </c>
      <c r="J81" s="22">
        <f t="shared" si="5"/>
        <v>0.50985</v>
      </c>
      <c r="K81" s="56"/>
    </row>
    <row r="82" s="2" customFormat="1" ht="39" customHeight="1" spans="1:11">
      <c r="A82" s="37" t="s">
        <v>74</v>
      </c>
      <c r="B82" s="35"/>
      <c r="C82" s="23"/>
      <c r="D82" s="28"/>
      <c r="E82" s="23"/>
      <c r="F82" s="72"/>
      <c r="G82" s="22"/>
      <c r="H82" s="22">
        <f t="shared" si="4"/>
        <v>0</v>
      </c>
      <c r="I82" s="22">
        <v>1.1</v>
      </c>
      <c r="J82" s="22">
        <f t="shared" si="5"/>
        <v>0</v>
      </c>
      <c r="K82" s="56"/>
    </row>
    <row r="83" s="2" customFormat="1" ht="39" customHeight="1" spans="1:11">
      <c r="A83" s="50" t="s">
        <v>75</v>
      </c>
      <c r="B83" s="59"/>
      <c r="C83" s="23"/>
      <c r="D83" s="28"/>
      <c r="E83" s="23"/>
      <c r="F83" s="72">
        <v>1</v>
      </c>
      <c r="G83" s="60">
        <v>0.5772</v>
      </c>
      <c r="H83" s="22">
        <f t="shared" si="4"/>
        <v>0.5772</v>
      </c>
      <c r="I83" s="22">
        <v>1.1</v>
      </c>
      <c r="J83" s="22">
        <f t="shared" si="5"/>
        <v>0.63492</v>
      </c>
      <c r="K83" s="56"/>
    </row>
    <row r="84" s="2" customFormat="1" ht="39" customHeight="1" spans="1:11">
      <c r="A84" s="50" t="s">
        <v>76</v>
      </c>
      <c r="B84" s="59"/>
      <c r="C84" s="23"/>
      <c r="D84" s="28"/>
      <c r="E84" s="23"/>
      <c r="F84" s="72">
        <v>1</v>
      </c>
      <c r="G84" s="60">
        <v>4.23</v>
      </c>
      <c r="H84" s="22">
        <f t="shared" si="4"/>
        <v>4.23</v>
      </c>
      <c r="I84" s="22">
        <v>1.1</v>
      </c>
      <c r="J84" s="22">
        <f t="shared" si="5"/>
        <v>4.653</v>
      </c>
      <c r="K84" s="56"/>
    </row>
    <row r="85" s="2" customFormat="1" ht="39" customHeight="1" spans="1:11">
      <c r="A85" s="50" t="s">
        <v>77</v>
      </c>
      <c r="B85" s="61"/>
      <c r="C85" s="23"/>
      <c r="D85" s="28"/>
      <c r="E85" s="23"/>
      <c r="F85" s="72">
        <v>1</v>
      </c>
      <c r="G85" s="60">
        <v>1.625</v>
      </c>
      <c r="H85" s="22">
        <f t="shared" si="4"/>
        <v>1.625</v>
      </c>
      <c r="I85" s="22">
        <v>1.1</v>
      </c>
      <c r="J85" s="22">
        <f t="shared" si="5"/>
        <v>1.7875</v>
      </c>
      <c r="K85" s="56"/>
    </row>
    <row r="86" s="2" customFormat="1" ht="39" customHeight="1" spans="1:11">
      <c r="A86" s="73"/>
      <c r="B86" s="62"/>
      <c r="C86" s="23"/>
      <c r="D86" s="28"/>
      <c r="E86" s="23"/>
      <c r="F86" s="33"/>
      <c r="G86" s="22"/>
      <c r="H86" s="22"/>
      <c r="I86" s="60" t="s">
        <v>30</v>
      </c>
      <c r="J86" s="60">
        <f>SUM(J59:J85)</f>
        <v>35.035684465243</v>
      </c>
      <c r="K86" s="56"/>
    </row>
    <row r="87" s="2" customFormat="1" ht="39" customHeight="1" spans="1:11">
      <c r="A87" s="74" t="s">
        <v>24</v>
      </c>
      <c r="B87" s="75"/>
      <c r="C87" s="74"/>
      <c r="D87" s="76"/>
      <c r="E87" s="74"/>
      <c r="F87" s="77"/>
      <c r="G87" s="78"/>
      <c r="H87" s="78"/>
      <c r="I87" s="75"/>
      <c r="J87" s="75"/>
      <c r="K87" s="74"/>
    </row>
    <row r="88" s="2" customFormat="1" ht="39" customHeight="1" spans="1:11">
      <c r="A88" s="15" t="s">
        <v>45</v>
      </c>
      <c r="B88" s="16" t="s">
        <v>46</v>
      </c>
      <c r="C88" s="25" t="s">
        <v>47</v>
      </c>
      <c r="D88" s="28">
        <v>500</v>
      </c>
      <c r="E88" s="23"/>
      <c r="F88" s="20">
        <v>0.08961</v>
      </c>
      <c r="G88" s="22">
        <v>93.2</v>
      </c>
      <c r="H88" s="22">
        <f t="shared" ref="H88:H102" si="6">F88*G88</f>
        <v>8.351652</v>
      </c>
      <c r="I88" s="22">
        <v>1.1</v>
      </c>
      <c r="J88" s="22">
        <f t="shared" ref="J88:J102" si="7">H88*I88</f>
        <v>9.1868172</v>
      </c>
      <c r="K88" s="56"/>
    </row>
    <row r="89" s="2" customFormat="1" ht="39" customHeight="1" spans="1:11">
      <c r="A89" s="79"/>
      <c r="B89" s="16" t="s">
        <v>48</v>
      </c>
      <c r="C89" s="23"/>
      <c r="D89" s="28"/>
      <c r="E89" s="23"/>
      <c r="F89" s="20">
        <v>0.08961</v>
      </c>
      <c r="G89" s="22">
        <v>93.2</v>
      </c>
      <c r="H89" s="22">
        <f t="shared" si="6"/>
        <v>8.351652</v>
      </c>
      <c r="I89" s="22">
        <v>1.1</v>
      </c>
      <c r="J89" s="22">
        <f t="shared" si="7"/>
        <v>9.1868172</v>
      </c>
      <c r="K89" s="56"/>
    </row>
    <row r="90" s="2" customFormat="1" ht="39" customHeight="1" spans="1:11">
      <c r="A90" s="27"/>
      <c r="B90" s="16" t="s">
        <v>49</v>
      </c>
      <c r="C90" s="23"/>
      <c r="D90" s="28"/>
      <c r="E90" s="23"/>
      <c r="F90" s="20">
        <v>0.033475</v>
      </c>
      <c r="G90" s="22">
        <v>93.2</v>
      </c>
      <c r="H90" s="22">
        <f t="shared" si="6"/>
        <v>3.11987</v>
      </c>
      <c r="I90" s="22">
        <v>1.1</v>
      </c>
      <c r="J90" s="22">
        <f t="shared" si="7"/>
        <v>3.431857</v>
      </c>
      <c r="K90" s="56"/>
    </row>
    <row r="91" s="2" customFormat="1" ht="39" customHeight="1" spans="1:11">
      <c r="A91" s="15" t="s">
        <v>98</v>
      </c>
      <c r="B91" s="16" t="s">
        <v>83</v>
      </c>
      <c r="C91" s="23" t="s">
        <v>47</v>
      </c>
      <c r="D91" s="28">
        <v>50</v>
      </c>
      <c r="E91" s="23"/>
      <c r="F91" s="20">
        <v>0.013184</v>
      </c>
      <c r="G91" s="22">
        <v>20.7</v>
      </c>
      <c r="H91" s="22">
        <f t="shared" si="6"/>
        <v>0.2729088</v>
      </c>
      <c r="I91" s="22">
        <v>1.1</v>
      </c>
      <c r="J91" s="22">
        <f t="shared" si="7"/>
        <v>0.30019968</v>
      </c>
      <c r="K91" s="56"/>
    </row>
    <row r="92" s="2" customFormat="1" ht="39" customHeight="1" spans="1:11">
      <c r="A92" s="15"/>
      <c r="B92" s="16" t="s">
        <v>54</v>
      </c>
      <c r="C92" s="23"/>
      <c r="D92" s="28"/>
      <c r="E92" s="23"/>
      <c r="F92" s="20">
        <v>0.03502</v>
      </c>
      <c r="G92" s="22">
        <v>20.7</v>
      </c>
      <c r="H92" s="22">
        <f t="shared" si="6"/>
        <v>0.724914</v>
      </c>
      <c r="I92" s="22">
        <v>1.1</v>
      </c>
      <c r="J92" s="22">
        <f t="shared" si="7"/>
        <v>0.7974054</v>
      </c>
      <c r="K92" s="56"/>
    </row>
    <row r="93" s="2" customFormat="1" ht="39" customHeight="1" spans="1:11">
      <c r="A93" s="27"/>
      <c r="B93" s="16" t="s">
        <v>55</v>
      </c>
      <c r="C93" s="23"/>
      <c r="D93" s="28"/>
      <c r="E93" s="23"/>
      <c r="F93" s="20">
        <v>0.007622</v>
      </c>
      <c r="G93" s="22">
        <v>20.7</v>
      </c>
      <c r="H93" s="22">
        <f t="shared" si="6"/>
        <v>0.1577754</v>
      </c>
      <c r="I93" s="22">
        <v>1.1</v>
      </c>
      <c r="J93" s="22">
        <f t="shared" si="7"/>
        <v>0.17355294</v>
      </c>
      <c r="K93" s="56"/>
    </row>
    <row r="94" s="2" customFormat="1" ht="39" customHeight="1" spans="1:11">
      <c r="A94" s="15" t="s">
        <v>56</v>
      </c>
      <c r="B94" s="16" t="s">
        <v>94</v>
      </c>
      <c r="C94" s="23" t="s">
        <v>47</v>
      </c>
      <c r="D94" s="28">
        <v>100</v>
      </c>
      <c r="E94" s="23"/>
      <c r="F94" s="20">
        <v>0.031312</v>
      </c>
      <c r="G94" s="22">
        <v>20</v>
      </c>
      <c r="H94" s="22">
        <f t="shared" si="6"/>
        <v>0.62624</v>
      </c>
      <c r="I94" s="22">
        <v>1.1</v>
      </c>
      <c r="J94" s="22">
        <f t="shared" si="7"/>
        <v>0.688864</v>
      </c>
      <c r="K94" s="56"/>
    </row>
    <row r="95" s="2" customFormat="1" ht="39" customHeight="1" spans="1:11">
      <c r="A95" s="15" t="s">
        <v>58</v>
      </c>
      <c r="B95" s="16" t="s">
        <v>59</v>
      </c>
      <c r="C95" s="23" t="s">
        <v>47</v>
      </c>
      <c r="D95" s="28">
        <v>100</v>
      </c>
      <c r="E95" s="23"/>
      <c r="F95" s="20">
        <v>0.003296</v>
      </c>
      <c r="G95" s="22">
        <v>20</v>
      </c>
      <c r="H95" s="22">
        <f t="shared" si="6"/>
        <v>0.06592</v>
      </c>
      <c r="I95" s="22">
        <v>1.1</v>
      </c>
      <c r="J95" s="22">
        <f t="shared" si="7"/>
        <v>0.072512</v>
      </c>
      <c r="K95" s="56"/>
    </row>
    <row r="96" s="2" customFormat="1" ht="39" customHeight="1" spans="1:11">
      <c r="A96" s="15"/>
      <c r="B96" s="16" t="s">
        <v>60</v>
      </c>
      <c r="C96" s="23"/>
      <c r="D96" s="28"/>
      <c r="E96" s="23"/>
      <c r="F96" s="20">
        <v>0.003296</v>
      </c>
      <c r="G96" s="22">
        <v>20</v>
      </c>
      <c r="H96" s="22">
        <f t="shared" si="6"/>
        <v>0.06592</v>
      </c>
      <c r="I96" s="22">
        <v>1.1</v>
      </c>
      <c r="J96" s="22">
        <f t="shared" si="7"/>
        <v>0.072512</v>
      </c>
      <c r="K96" s="56"/>
    </row>
    <row r="97" s="2" customFormat="1" ht="39" customHeight="1" spans="1:11">
      <c r="A97" s="51" t="s">
        <v>84</v>
      </c>
      <c r="B97" s="16" t="s">
        <v>62</v>
      </c>
      <c r="C97" s="23" t="s">
        <v>63</v>
      </c>
      <c r="D97" s="28">
        <v>500</v>
      </c>
      <c r="E97" s="23"/>
      <c r="F97" s="20">
        <v>0.00184985632183908</v>
      </c>
      <c r="G97" s="22">
        <v>56</v>
      </c>
      <c r="H97" s="22">
        <f t="shared" si="6"/>
        <v>0.103591954022989</v>
      </c>
      <c r="I97" s="22">
        <v>1.1</v>
      </c>
      <c r="J97" s="22">
        <f t="shared" si="7"/>
        <v>0.113951149425287</v>
      </c>
      <c r="K97" s="56"/>
    </row>
    <row r="98" s="2" customFormat="1" ht="39" customHeight="1" spans="1:11">
      <c r="A98" s="27" t="s">
        <v>64</v>
      </c>
      <c r="B98" s="16" t="s">
        <v>65</v>
      </c>
      <c r="C98" s="23" t="s">
        <v>63</v>
      </c>
      <c r="D98" s="28">
        <v>500</v>
      </c>
      <c r="E98" s="23"/>
      <c r="F98" s="20">
        <v>0.00450360082304527</v>
      </c>
      <c r="G98" s="22">
        <v>22</v>
      </c>
      <c r="H98" s="22">
        <f t="shared" si="6"/>
        <v>0.0990792181069959</v>
      </c>
      <c r="I98" s="22">
        <v>1.1</v>
      </c>
      <c r="J98" s="22">
        <f t="shared" si="7"/>
        <v>0.108987139917695</v>
      </c>
      <c r="K98" s="56"/>
    </row>
    <row r="99" s="2" customFormat="1" ht="39" customHeight="1" spans="1:11">
      <c r="A99" s="32" t="s">
        <v>66</v>
      </c>
      <c r="B99" s="31"/>
      <c r="C99" s="25"/>
      <c r="D99" s="28"/>
      <c r="E99" s="23"/>
      <c r="F99" s="33">
        <v>2</v>
      </c>
      <c r="G99" s="21">
        <v>0.1236</v>
      </c>
      <c r="H99" s="22">
        <f t="shared" si="6"/>
        <v>0.2472</v>
      </c>
      <c r="I99" s="22">
        <v>1.1</v>
      </c>
      <c r="J99" s="22">
        <f t="shared" si="7"/>
        <v>0.27192</v>
      </c>
      <c r="K99" s="56"/>
    </row>
    <row r="100" s="2" customFormat="1" ht="39" customHeight="1" spans="1:11">
      <c r="A100" s="34" t="s">
        <v>67</v>
      </c>
      <c r="B100" s="16"/>
      <c r="C100" s="25"/>
      <c r="D100" s="28"/>
      <c r="E100" s="23"/>
      <c r="F100" s="33">
        <v>29.87</v>
      </c>
      <c r="G100" s="22">
        <v>0.0029</v>
      </c>
      <c r="H100" s="22">
        <f t="shared" si="6"/>
        <v>0.086623</v>
      </c>
      <c r="I100" s="22">
        <v>1.1</v>
      </c>
      <c r="J100" s="22">
        <f t="shared" si="7"/>
        <v>0.0952853</v>
      </c>
      <c r="K100" s="56"/>
    </row>
    <row r="101" s="2" customFormat="1" ht="39" customHeight="1" spans="1:11">
      <c r="A101" s="27" t="s">
        <v>68</v>
      </c>
      <c r="B101" s="16"/>
      <c r="C101" s="25"/>
      <c r="D101" s="28"/>
      <c r="E101" s="23"/>
      <c r="F101" s="33">
        <v>1.648</v>
      </c>
      <c r="G101" s="22">
        <v>0.0185</v>
      </c>
      <c r="H101" s="22">
        <f t="shared" si="6"/>
        <v>0.030488</v>
      </c>
      <c r="I101" s="22">
        <v>1.1</v>
      </c>
      <c r="J101" s="22">
        <f t="shared" si="7"/>
        <v>0.0335368</v>
      </c>
      <c r="K101" s="56"/>
    </row>
    <row r="102" s="2" customFormat="1" ht="39" customHeight="1" spans="1:11">
      <c r="A102" s="27" t="s">
        <v>69</v>
      </c>
      <c r="B102" s="16"/>
      <c r="C102" s="23"/>
      <c r="D102" s="28"/>
      <c r="E102" s="23"/>
      <c r="F102" s="33">
        <v>197</v>
      </c>
      <c r="G102" s="22">
        <v>0.0085</v>
      </c>
      <c r="H102" s="22">
        <f t="shared" si="6"/>
        <v>1.6745</v>
      </c>
      <c r="I102" s="22">
        <v>1.1</v>
      </c>
      <c r="J102" s="22">
        <f t="shared" si="7"/>
        <v>1.84195</v>
      </c>
      <c r="K102" s="56"/>
    </row>
    <row r="103" s="2" customFormat="1" ht="39" customHeight="1" spans="1:11">
      <c r="A103" s="80" t="s">
        <v>99</v>
      </c>
      <c r="B103" s="81"/>
      <c r="C103" s="25"/>
      <c r="D103" s="28"/>
      <c r="E103" s="23"/>
      <c r="F103" s="33"/>
      <c r="G103" s="22"/>
      <c r="H103" s="22"/>
      <c r="I103" s="22"/>
      <c r="J103" s="22"/>
      <c r="K103" s="56"/>
    </row>
    <row r="104" s="3" customFormat="1" ht="39" customHeight="1" spans="1:11">
      <c r="A104" s="82" t="s">
        <v>100</v>
      </c>
      <c r="B104" s="83"/>
      <c r="C104" s="84"/>
      <c r="D104" s="85"/>
      <c r="E104" s="84"/>
      <c r="F104" s="86">
        <v>1</v>
      </c>
      <c r="G104" s="87">
        <v>0.04</v>
      </c>
      <c r="H104" s="87">
        <f t="shared" ref="H104:H106" si="8">F104*G104</f>
        <v>0.04</v>
      </c>
      <c r="I104" s="87">
        <v>1.1</v>
      </c>
      <c r="J104" s="87">
        <f t="shared" ref="J104:J106" si="9">H104*I104</f>
        <v>0.044</v>
      </c>
      <c r="K104" s="88"/>
    </row>
    <row r="105" s="2" customFormat="1" ht="39" customHeight="1" spans="1:11">
      <c r="A105" s="15" t="s">
        <v>89</v>
      </c>
      <c r="B105" s="16"/>
      <c r="C105" s="23"/>
      <c r="D105" s="28"/>
      <c r="E105" s="23"/>
      <c r="F105" s="35">
        <v>1</v>
      </c>
      <c r="G105" s="22">
        <v>1.133</v>
      </c>
      <c r="H105" s="22">
        <f t="shared" si="8"/>
        <v>1.133</v>
      </c>
      <c r="I105" s="22">
        <v>1.1</v>
      </c>
      <c r="J105" s="22">
        <f t="shared" si="9"/>
        <v>1.2463</v>
      </c>
      <c r="K105" s="56"/>
    </row>
    <row r="106" s="2" customFormat="1" ht="39" customHeight="1" spans="1:11">
      <c r="A106" s="15" t="s">
        <v>90</v>
      </c>
      <c r="B106" s="16"/>
      <c r="C106" s="23"/>
      <c r="D106" s="28"/>
      <c r="E106" s="23"/>
      <c r="F106" s="35">
        <v>1</v>
      </c>
      <c r="G106" s="22">
        <v>0.4635</v>
      </c>
      <c r="H106" s="22">
        <f t="shared" si="8"/>
        <v>0.4635</v>
      </c>
      <c r="I106" s="22">
        <v>1.1</v>
      </c>
      <c r="J106" s="22">
        <f t="shared" si="9"/>
        <v>0.50985</v>
      </c>
      <c r="K106" s="56"/>
    </row>
    <row r="107" s="2" customFormat="1" ht="39" customHeight="1" spans="1:11">
      <c r="A107" s="89" t="s">
        <v>74</v>
      </c>
      <c r="B107" s="89"/>
      <c r="C107" s="23"/>
      <c r="D107" s="28"/>
      <c r="E107" s="23"/>
      <c r="F107" s="72"/>
      <c r="G107" s="22"/>
      <c r="H107" s="22"/>
      <c r="I107" s="22"/>
      <c r="J107" s="22"/>
      <c r="K107" s="56"/>
    </row>
    <row r="108" s="2" customFormat="1" ht="39" customHeight="1" spans="1:11">
      <c r="A108" s="23" t="s">
        <v>75</v>
      </c>
      <c r="B108" s="39"/>
      <c r="C108" s="23"/>
      <c r="D108" s="28"/>
      <c r="E108" s="23"/>
      <c r="F108" s="35">
        <v>1</v>
      </c>
      <c r="G108" s="60">
        <v>0.408</v>
      </c>
      <c r="H108" s="22">
        <f t="shared" ref="H108:H110" si="10">F108*G108</f>
        <v>0.408</v>
      </c>
      <c r="I108" s="22">
        <v>1.1</v>
      </c>
      <c r="J108" s="22">
        <f t="shared" ref="J108:J110" si="11">H108*I108</f>
        <v>0.4488</v>
      </c>
      <c r="K108" s="56"/>
    </row>
    <row r="109" s="2" customFormat="1" ht="39" customHeight="1" spans="1:11">
      <c r="A109" s="23" t="s">
        <v>76</v>
      </c>
      <c r="B109" s="39"/>
      <c r="C109" s="23"/>
      <c r="D109" s="28"/>
      <c r="E109" s="23"/>
      <c r="F109" s="35">
        <v>1</v>
      </c>
      <c r="G109" s="60">
        <v>2.89</v>
      </c>
      <c r="H109" s="22">
        <f t="shared" si="10"/>
        <v>2.89</v>
      </c>
      <c r="I109" s="22">
        <v>1.1</v>
      </c>
      <c r="J109" s="22">
        <f t="shared" si="11"/>
        <v>3.179</v>
      </c>
      <c r="K109" s="56"/>
    </row>
    <row r="110" s="2" customFormat="1" ht="39" customHeight="1" spans="1:11">
      <c r="A110" s="23" t="s">
        <v>77</v>
      </c>
      <c r="B110" s="39"/>
      <c r="C110" s="23"/>
      <c r="D110" s="28"/>
      <c r="E110" s="23"/>
      <c r="F110" s="35">
        <v>1</v>
      </c>
      <c r="G110" s="60">
        <v>1.705</v>
      </c>
      <c r="H110" s="22">
        <f t="shared" si="10"/>
        <v>1.705</v>
      </c>
      <c r="I110" s="22">
        <v>1.1</v>
      </c>
      <c r="J110" s="22">
        <f t="shared" si="11"/>
        <v>1.8755</v>
      </c>
      <c r="K110" s="56"/>
    </row>
    <row r="111" s="2" customFormat="1" ht="39" customHeight="1" spans="1:11">
      <c r="A111" s="23"/>
      <c r="B111" s="39"/>
      <c r="C111" s="23"/>
      <c r="D111" s="28"/>
      <c r="E111" s="23"/>
      <c r="F111" s="33"/>
      <c r="G111" s="22"/>
      <c r="H111" s="22"/>
      <c r="I111" s="60" t="s">
        <v>30</v>
      </c>
      <c r="J111" s="60">
        <f>SUM(J88:J110)</f>
        <v>33.679617809343</v>
      </c>
      <c r="K111" s="56"/>
    </row>
    <row r="112" s="2" customFormat="1" ht="39" customHeight="1" spans="1:11">
      <c r="A112" s="74" t="s">
        <v>26</v>
      </c>
      <c r="B112" s="75"/>
      <c r="C112" s="74"/>
      <c r="D112" s="76"/>
      <c r="E112" s="74"/>
      <c r="F112" s="77"/>
      <c r="G112" s="78"/>
      <c r="H112" s="78"/>
      <c r="I112" s="75"/>
      <c r="J112" s="75"/>
      <c r="K112" s="74"/>
    </row>
    <row r="113" s="2" customFormat="1" ht="39" customHeight="1" spans="1:11">
      <c r="A113" s="15" t="s">
        <v>45</v>
      </c>
      <c r="B113" s="16" t="s">
        <v>46</v>
      </c>
      <c r="C113" s="25" t="s">
        <v>47</v>
      </c>
      <c r="D113" s="28">
        <v>500</v>
      </c>
      <c r="E113" s="23"/>
      <c r="F113" s="20">
        <v>0.08858</v>
      </c>
      <c r="G113" s="22">
        <v>93.2</v>
      </c>
      <c r="H113" s="22">
        <f t="shared" ref="H113:H136" si="12">F113*G113</f>
        <v>8.255656</v>
      </c>
      <c r="I113" s="22">
        <v>1.1</v>
      </c>
      <c r="J113" s="22">
        <f t="shared" ref="J113:J136" si="13">H113*I113</f>
        <v>9.0812216</v>
      </c>
      <c r="K113" s="56"/>
    </row>
    <row r="114" s="2" customFormat="1" ht="39" customHeight="1" spans="1:11">
      <c r="A114" s="79"/>
      <c r="B114" s="16" t="s">
        <v>48</v>
      </c>
      <c r="C114" s="23"/>
      <c r="D114" s="28"/>
      <c r="E114" s="23"/>
      <c r="F114" s="20">
        <v>0.08549</v>
      </c>
      <c r="G114" s="22">
        <v>93.2</v>
      </c>
      <c r="H114" s="22">
        <f t="shared" si="12"/>
        <v>7.967668</v>
      </c>
      <c r="I114" s="22">
        <v>1.1</v>
      </c>
      <c r="J114" s="22">
        <f t="shared" si="13"/>
        <v>8.7644348</v>
      </c>
      <c r="K114" s="56"/>
    </row>
    <row r="115" s="2" customFormat="1" ht="39" customHeight="1" spans="1:11">
      <c r="A115" s="27"/>
      <c r="B115" s="16" t="s">
        <v>49</v>
      </c>
      <c r="C115" s="25"/>
      <c r="D115" s="28"/>
      <c r="E115" s="23"/>
      <c r="F115" s="20">
        <v>0.022763</v>
      </c>
      <c r="G115" s="22">
        <v>93.2</v>
      </c>
      <c r="H115" s="22">
        <f t="shared" si="12"/>
        <v>2.1215116</v>
      </c>
      <c r="I115" s="22">
        <v>1.1</v>
      </c>
      <c r="J115" s="22">
        <f t="shared" si="13"/>
        <v>2.33366276</v>
      </c>
      <c r="K115" s="56"/>
    </row>
    <row r="116" s="2" customFormat="1" ht="39" customHeight="1" spans="1:11">
      <c r="A116" s="15" t="s">
        <v>98</v>
      </c>
      <c r="B116" s="16" t="s">
        <v>83</v>
      </c>
      <c r="C116" s="23" t="s">
        <v>47</v>
      </c>
      <c r="D116" s="28">
        <v>50</v>
      </c>
      <c r="E116" s="23"/>
      <c r="F116" s="20">
        <v>0.008858</v>
      </c>
      <c r="G116" s="22">
        <v>20.7</v>
      </c>
      <c r="H116" s="22">
        <f t="shared" si="12"/>
        <v>0.1833606</v>
      </c>
      <c r="I116" s="22">
        <v>1.1</v>
      </c>
      <c r="J116" s="22">
        <f t="shared" si="13"/>
        <v>0.20169666</v>
      </c>
      <c r="K116" s="56"/>
    </row>
    <row r="117" s="2" customFormat="1" ht="39" customHeight="1" spans="1:11">
      <c r="A117" s="15"/>
      <c r="B117" s="16" t="s">
        <v>54</v>
      </c>
      <c r="C117" s="23"/>
      <c r="D117" s="28"/>
      <c r="E117" s="23"/>
      <c r="F117" s="20">
        <v>0.034402</v>
      </c>
      <c r="G117" s="22">
        <v>20.7</v>
      </c>
      <c r="H117" s="22">
        <f t="shared" si="12"/>
        <v>0.7121214</v>
      </c>
      <c r="I117" s="22">
        <v>1.1</v>
      </c>
      <c r="J117" s="22">
        <f t="shared" si="13"/>
        <v>0.78333354</v>
      </c>
      <c r="K117" s="56"/>
    </row>
    <row r="118" s="2" customFormat="1" ht="39" customHeight="1" spans="1:11">
      <c r="A118" s="27"/>
      <c r="B118" s="16" t="s">
        <v>55</v>
      </c>
      <c r="C118" s="23"/>
      <c r="D118" s="28"/>
      <c r="E118" s="23"/>
      <c r="F118" s="20">
        <v>0.007622</v>
      </c>
      <c r="G118" s="22">
        <v>20.7</v>
      </c>
      <c r="H118" s="22">
        <f t="shared" si="12"/>
        <v>0.1577754</v>
      </c>
      <c r="I118" s="22">
        <v>1.1</v>
      </c>
      <c r="J118" s="22">
        <f t="shared" si="13"/>
        <v>0.17355294</v>
      </c>
      <c r="K118" s="56"/>
    </row>
    <row r="119" s="2" customFormat="1" ht="39" customHeight="1" spans="1:11">
      <c r="A119" s="15" t="s">
        <v>101</v>
      </c>
      <c r="B119" s="16" t="s">
        <v>102</v>
      </c>
      <c r="C119" s="25" t="s">
        <v>47</v>
      </c>
      <c r="D119" s="28">
        <v>50</v>
      </c>
      <c r="E119" s="23"/>
      <c r="F119" s="20">
        <v>0.036462</v>
      </c>
      <c r="G119" s="22">
        <v>20.7</v>
      </c>
      <c r="H119" s="22">
        <f t="shared" si="12"/>
        <v>0.7547634</v>
      </c>
      <c r="I119" s="22">
        <v>1.1</v>
      </c>
      <c r="J119" s="22">
        <f t="shared" si="13"/>
        <v>0.83023974</v>
      </c>
      <c r="K119" s="56"/>
    </row>
    <row r="120" s="2" customFormat="1" ht="39" customHeight="1" spans="1:11">
      <c r="A120" s="15" t="s">
        <v>56</v>
      </c>
      <c r="B120" s="16" t="s">
        <v>94</v>
      </c>
      <c r="C120" s="23" t="s">
        <v>47</v>
      </c>
      <c r="D120" s="28">
        <v>100</v>
      </c>
      <c r="E120" s="23"/>
      <c r="F120" s="20">
        <v>0.031312</v>
      </c>
      <c r="G120" s="22">
        <v>20</v>
      </c>
      <c r="H120" s="22">
        <f t="shared" si="12"/>
        <v>0.62624</v>
      </c>
      <c r="I120" s="22">
        <v>1.1</v>
      </c>
      <c r="J120" s="22">
        <f t="shared" si="13"/>
        <v>0.688864</v>
      </c>
      <c r="K120" s="56"/>
    </row>
    <row r="121" s="2" customFormat="1" ht="39" customHeight="1" spans="1:11">
      <c r="A121" s="15" t="s">
        <v>58</v>
      </c>
      <c r="B121" s="16" t="s">
        <v>59</v>
      </c>
      <c r="C121" s="25" t="s">
        <v>47</v>
      </c>
      <c r="D121" s="28">
        <v>100</v>
      </c>
      <c r="E121" s="23"/>
      <c r="F121" s="20">
        <v>0.003296</v>
      </c>
      <c r="G121" s="22">
        <v>20.7</v>
      </c>
      <c r="H121" s="22">
        <f t="shared" si="12"/>
        <v>0.0682272</v>
      </c>
      <c r="I121" s="22">
        <v>1.1</v>
      </c>
      <c r="J121" s="22">
        <f t="shared" si="13"/>
        <v>0.07504992</v>
      </c>
      <c r="K121" s="56"/>
    </row>
    <row r="122" s="2" customFormat="1" ht="39" customHeight="1" spans="1:11">
      <c r="A122" s="15"/>
      <c r="B122" s="16" t="s">
        <v>60</v>
      </c>
      <c r="C122" s="23"/>
      <c r="D122" s="28"/>
      <c r="E122" s="23"/>
      <c r="F122" s="20">
        <v>0.003296</v>
      </c>
      <c r="G122" s="22">
        <v>20.7</v>
      </c>
      <c r="H122" s="22">
        <f t="shared" si="12"/>
        <v>0.0682272</v>
      </c>
      <c r="I122" s="22">
        <v>1.1</v>
      </c>
      <c r="J122" s="22">
        <f t="shared" si="13"/>
        <v>0.07504992</v>
      </c>
      <c r="K122" s="56"/>
    </row>
    <row r="123" s="2" customFormat="1" ht="39" customHeight="1" spans="1:11">
      <c r="A123" s="51" t="s">
        <v>84</v>
      </c>
      <c r="B123" s="16" t="s">
        <v>62</v>
      </c>
      <c r="C123" s="25" t="s">
        <v>63</v>
      </c>
      <c r="D123" s="28">
        <v>500</v>
      </c>
      <c r="E123" s="23"/>
      <c r="F123" s="20">
        <v>0.00184985632183908</v>
      </c>
      <c r="G123" s="22">
        <v>56</v>
      </c>
      <c r="H123" s="22">
        <f t="shared" si="12"/>
        <v>0.103591954022989</v>
      </c>
      <c r="I123" s="22">
        <v>1.1</v>
      </c>
      <c r="J123" s="22">
        <f t="shared" si="13"/>
        <v>0.113951149425287</v>
      </c>
      <c r="K123" s="56"/>
    </row>
    <row r="124" s="2" customFormat="1" ht="39" customHeight="1" spans="1:11">
      <c r="A124" s="27" t="s">
        <v>64</v>
      </c>
      <c r="B124" s="16" t="s">
        <v>65</v>
      </c>
      <c r="C124" s="23" t="s">
        <v>63</v>
      </c>
      <c r="D124" s="28">
        <v>500</v>
      </c>
      <c r="E124" s="23"/>
      <c r="F124" s="20">
        <v>0.00450360082304527</v>
      </c>
      <c r="G124" s="22">
        <v>22</v>
      </c>
      <c r="H124" s="22">
        <f t="shared" si="12"/>
        <v>0.0990792181069959</v>
      </c>
      <c r="I124" s="22">
        <v>1.1</v>
      </c>
      <c r="J124" s="22">
        <f t="shared" si="13"/>
        <v>0.108987139917695</v>
      </c>
      <c r="K124" s="56"/>
    </row>
    <row r="125" s="2" customFormat="1" ht="39" customHeight="1" spans="1:11">
      <c r="A125" s="32" t="s">
        <v>66</v>
      </c>
      <c r="B125" s="31"/>
      <c r="C125" s="23"/>
      <c r="D125" s="28"/>
      <c r="E125" s="23"/>
      <c r="F125" s="33">
        <v>2</v>
      </c>
      <c r="G125" s="21">
        <v>0.1236</v>
      </c>
      <c r="H125" s="22">
        <f t="shared" si="12"/>
        <v>0.2472</v>
      </c>
      <c r="I125" s="22">
        <v>1.1</v>
      </c>
      <c r="J125" s="22">
        <f t="shared" si="13"/>
        <v>0.27192</v>
      </c>
      <c r="K125" s="56"/>
    </row>
    <row r="126" s="2" customFormat="1" ht="39" customHeight="1" spans="1:11">
      <c r="A126" s="34" t="s">
        <v>67</v>
      </c>
      <c r="B126" s="16"/>
      <c r="C126" s="23"/>
      <c r="D126" s="28"/>
      <c r="E126" s="23"/>
      <c r="F126" s="33">
        <v>29.87</v>
      </c>
      <c r="G126" s="22">
        <v>0.0029</v>
      </c>
      <c r="H126" s="22">
        <f t="shared" si="12"/>
        <v>0.086623</v>
      </c>
      <c r="I126" s="22">
        <v>1.1</v>
      </c>
      <c r="J126" s="22">
        <f t="shared" si="13"/>
        <v>0.0952853</v>
      </c>
      <c r="K126" s="56"/>
    </row>
    <row r="127" s="2" customFormat="1" ht="39" customHeight="1" spans="1:11">
      <c r="A127" s="27" t="s">
        <v>68</v>
      </c>
      <c r="B127" s="16"/>
      <c r="C127" s="23"/>
      <c r="D127" s="28"/>
      <c r="E127" s="23"/>
      <c r="F127" s="33">
        <v>1.648</v>
      </c>
      <c r="G127" s="22">
        <v>0.0185</v>
      </c>
      <c r="H127" s="22">
        <f t="shared" si="12"/>
        <v>0.030488</v>
      </c>
      <c r="I127" s="22">
        <v>1.1</v>
      </c>
      <c r="J127" s="22">
        <f t="shared" si="13"/>
        <v>0.0335368</v>
      </c>
      <c r="K127" s="56"/>
    </row>
    <row r="128" s="2" customFormat="1" ht="39" customHeight="1" spans="1:11">
      <c r="A128" s="27" t="s">
        <v>69</v>
      </c>
      <c r="B128" s="16"/>
      <c r="C128" s="25"/>
      <c r="D128" s="28"/>
      <c r="E128" s="23"/>
      <c r="F128" s="90">
        <v>214</v>
      </c>
      <c r="G128" s="22">
        <v>0.0085</v>
      </c>
      <c r="H128" s="22">
        <f t="shared" si="12"/>
        <v>1.819</v>
      </c>
      <c r="I128" s="22">
        <v>1.1</v>
      </c>
      <c r="J128" s="22">
        <f t="shared" si="13"/>
        <v>2.0009</v>
      </c>
      <c r="K128" s="56"/>
    </row>
    <row r="129" s="2" customFormat="1" ht="39" customHeight="1" spans="1:11">
      <c r="A129" s="80" t="s">
        <v>99</v>
      </c>
      <c r="B129" s="81"/>
      <c r="C129" s="23"/>
      <c r="D129" s="28"/>
      <c r="E129" s="23"/>
      <c r="F129" s="72"/>
      <c r="G129" s="22"/>
      <c r="H129" s="22">
        <f t="shared" si="12"/>
        <v>0</v>
      </c>
      <c r="I129" s="22">
        <v>1.1</v>
      </c>
      <c r="J129" s="22">
        <f t="shared" si="13"/>
        <v>0</v>
      </c>
      <c r="K129" s="56"/>
    </row>
    <row r="130" s="3" customFormat="1" ht="39" customHeight="1" spans="1:11">
      <c r="A130" s="82" t="s">
        <v>100</v>
      </c>
      <c r="B130" s="83"/>
      <c r="C130" s="84"/>
      <c r="D130" s="85"/>
      <c r="E130" s="84"/>
      <c r="F130" s="86">
        <v>1</v>
      </c>
      <c r="G130" s="87">
        <v>0.04</v>
      </c>
      <c r="H130" s="87">
        <f t="shared" si="12"/>
        <v>0.04</v>
      </c>
      <c r="I130" s="87">
        <v>1.1</v>
      </c>
      <c r="J130" s="87">
        <f t="shared" si="13"/>
        <v>0.044</v>
      </c>
      <c r="K130" s="88"/>
    </row>
    <row r="131" s="2" customFormat="1" ht="39" customHeight="1" spans="1:11">
      <c r="A131" s="15" t="s">
        <v>103</v>
      </c>
      <c r="B131" s="16"/>
      <c r="C131" s="23"/>
      <c r="D131" s="28"/>
      <c r="E131" s="23"/>
      <c r="F131" s="35">
        <v>1</v>
      </c>
      <c r="G131" s="22">
        <v>1.133</v>
      </c>
      <c r="H131" s="22">
        <f t="shared" si="12"/>
        <v>1.133</v>
      </c>
      <c r="I131" s="22">
        <v>1.1</v>
      </c>
      <c r="J131" s="22">
        <f t="shared" si="13"/>
        <v>1.2463</v>
      </c>
      <c r="K131" s="56"/>
    </row>
    <row r="132" s="2" customFormat="1" ht="39" customHeight="1" spans="1:11">
      <c r="A132" s="15" t="s">
        <v>90</v>
      </c>
      <c r="B132" s="16"/>
      <c r="C132" s="23"/>
      <c r="D132" s="28"/>
      <c r="E132" s="23"/>
      <c r="F132" s="35">
        <v>1</v>
      </c>
      <c r="G132" s="22">
        <v>0.4635</v>
      </c>
      <c r="H132" s="22">
        <f t="shared" si="12"/>
        <v>0.4635</v>
      </c>
      <c r="I132" s="22">
        <v>1.1</v>
      </c>
      <c r="J132" s="22">
        <f t="shared" si="13"/>
        <v>0.50985</v>
      </c>
      <c r="K132" s="56"/>
    </row>
    <row r="133" s="2" customFormat="1" ht="39" customHeight="1" spans="1:11">
      <c r="A133" s="89" t="s">
        <v>74</v>
      </c>
      <c r="B133" s="89"/>
      <c r="C133" s="23"/>
      <c r="D133" s="28"/>
      <c r="E133" s="23"/>
      <c r="F133" s="33"/>
      <c r="G133" s="22"/>
      <c r="H133" s="22">
        <f t="shared" si="12"/>
        <v>0</v>
      </c>
      <c r="I133" s="22">
        <v>1.1</v>
      </c>
      <c r="J133" s="22">
        <f t="shared" si="13"/>
        <v>0</v>
      </c>
      <c r="K133" s="56"/>
    </row>
    <row r="134" s="2" customFormat="1" ht="39" customHeight="1" spans="1:11">
      <c r="A134" s="23" t="s">
        <v>75</v>
      </c>
      <c r="B134" s="39"/>
      <c r="C134" s="23"/>
      <c r="D134" s="28"/>
      <c r="E134" s="23"/>
      <c r="F134" s="35">
        <v>1</v>
      </c>
      <c r="G134" s="22">
        <v>0.4394</v>
      </c>
      <c r="H134" s="22">
        <f t="shared" si="12"/>
        <v>0.4394</v>
      </c>
      <c r="I134" s="22">
        <v>1.1</v>
      </c>
      <c r="J134" s="22">
        <f t="shared" si="13"/>
        <v>0.48334</v>
      </c>
      <c r="K134" s="56"/>
    </row>
    <row r="135" s="2" customFormat="1" ht="39" customHeight="1" spans="1:11">
      <c r="A135" s="23" t="s">
        <v>76</v>
      </c>
      <c r="B135" s="39"/>
      <c r="C135" s="23"/>
      <c r="D135" s="28"/>
      <c r="E135" s="23"/>
      <c r="F135" s="35">
        <v>1</v>
      </c>
      <c r="G135" s="22">
        <v>3.88</v>
      </c>
      <c r="H135" s="22">
        <f t="shared" si="12"/>
        <v>3.88</v>
      </c>
      <c r="I135" s="22">
        <v>1.1</v>
      </c>
      <c r="J135" s="22">
        <f t="shared" si="13"/>
        <v>4.268</v>
      </c>
      <c r="K135" s="56"/>
    </row>
    <row r="136" s="2" customFormat="1" ht="39" customHeight="1" spans="1:11">
      <c r="A136" s="23" t="s">
        <v>77</v>
      </c>
      <c r="B136" s="39"/>
      <c r="C136" s="23"/>
      <c r="D136" s="28"/>
      <c r="E136" s="23"/>
      <c r="F136" s="35">
        <v>1</v>
      </c>
      <c r="G136" s="87">
        <v>1.865</v>
      </c>
      <c r="H136" s="22">
        <f t="shared" si="12"/>
        <v>1.865</v>
      </c>
      <c r="I136" s="22">
        <v>1.1</v>
      </c>
      <c r="J136" s="22">
        <f t="shared" si="13"/>
        <v>2.0515</v>
      </c>
      <c r="K136" s="56"/>
    </row>
    <row r="137" s="2" customFormat="1" ht="39" customHeight="1" spans="1:11">
      <c r="A137" s="23"/>
      <c r="B137" s="39"/>
      <c r="C137" s="23"/>
      <c r="D137" s="28"/>
      <c r="E137" s="23"/>
      <c r="F137" s="33"/>
      <c r="G137" s="22"/>
      <c r="H137" s="22"/>
      <c r="I137" s="60" t="s">
        <v>30</v>
      </c>
      <c r="J137" s="60">
        <f>SUM(J113:J136)</f>
        <v>34.234676269343</v>
      </c>
      <c r="K137" s="56"/>
    </row>
    <row r="138" s="2" customFormat="1" ht="39" customHeight="1" spans="1:11">
      <c r="A138" s="74" t="s">
        <v>28</v>
      </c>
      <c r="B138" s="75"/>
      <c r="C138" s="74"/>
      <c r="D138" s="76"/>
      <c r="E138" s="74"/>
      <c r="F138" s="77"/>
      <c r="G138" s="78"/>
      <c r="H138" s="78"/>
      <c r="I138" s="75"/>
      <c r="J138" s="75"/>
      <c r="K138" s="74"/>
    </row>
    <row r="139" s="2" customFormat="1" ht="39" customHeight="1" spans="1:11">
      <c r="A139" s="15" t="s">
        <v>45</v>
      </c>
      <c r="B139" s="16" t="s">
        <v>46</v>
      </c>
      <c r="C139" s="25" t="s">
        <v>47</v>
      </c>
      <c r="D139" s="28">
        <v>500</v>
      </c>
      <c r="E139" s="23"/>
      <c r="F139" s="20">
        <v>0.08652</v>
      </c>
      <c r="G139" s="22">
        <v>93.2</v>
      </c>
      <c r="H139" s="22">
        <f t="shared" ref="H139:H164" si="14">F139*G139</f>
        <v>8.063664</v>
      </c>
      <c r="I139" s="22">
        <v>1.1</v>
      </c>
      <c r="J139" s="22">
        <f t="shared" ref="J139:J164" si="15">H139*I139</f>
        <v>8.8700304</v>
      </c>
      <c r="K139" s="56"/>
    </row>
    <row r="140" s="2" customFormat="1" ht="39" customHeight="1" spans="1:11">
      <c r="A140" s="79"/>
      <c r="B140" s="16" t="s">
        <v>48</v>
      </c>
      <c r="C140" s="23"/>
      <c r="D140" s="28"/>
      <c r="E140" s="23"/>
      <c r="F140" s="20">
        <v>0.08652</v>
      </c>
      <c r="G140" s="22">
        <v>93.2</v>
      </c>
      <c r="H140" s="22">
        <f t="shared" si="14"/>
        <v>8.063664</v>
      </c>
      <c r="I140" s="22">
        <v>1.1</v>
      </c>
      <c r="J140" s="22">
        <f t="shared" si="15"/>
        <v>8.8700304</v>
      </c>
      <c r="K140" s="56"/>
    </row>
    <row r="141" s="2" customFormat="1" ht="39" customHeight="1" spans="1:11">
      <c r="A141" s="27"/>
      <c r="B141" s="16" t="s">
        <v>49</v>
      </c>
      <c r="C141" s="25"/>
      <c r="D141" s="28"/>
      <c r="E141" s="23"/>
      <c r="F141" s="20">
        <v>0.032342</v>
      </c>
      <c r="G141" s="22">
        <v>93.2</v>
      </c>
      <c r="H141" s="22">
        <f t="shared" si="14"/>
        <v>3.0142744</v>
      </c>
      <c r="I141" s="22">
        <v>1.1</v>
      </c>
      <c r="J141" s="22">
        <f t="shared" si="15"/>
        <v>3.31570184</v>
      </c>
      <c r="K141" s="56"/>
    </row>
    <row r="142" s="2" customFormat="1" ht="39" customHeight="1" spans="1:11">
      <c r="A142" s="15" t="s">
        <v>91</v>
      </c>
      <c r="B142" s="16" t="s">
        <v>51</v>
      </c>
      <c r="C142" s="23" t="s">
        <v>47</v>
      </c>
      <c r="D142" s="28">
        <v>50</v>
      </c>
      <c r="E142" s="23"/>
      <c r="F142" s="20">
        <v>0.007416</v>
      </c>
      <c r="G142" s="22">
        <v>20.7</v>
      </c>
      <c r="H142" s="22">
        <f t="shared" si="14"/>
        <v>0.1535112</v>
      </c>
      <c r="I142" s="22">
        <v>1.1</v>
      </c>
      <c r="J142" s="22">
        <f t="shared" si="15"/>
        <v>0.16886232</v>
      </c>
      <c r="K142" s="56"/>
    </row>
    <row r="143" s="2" customFormat="1" ht="39" customHeight="1" spans="1:11">
      <c r="A143" s="15"/>
      <c r="B143" s="16" t="s">
        <v>52</v>
      </c>
      <c r="C143" s="23"/>
      <c r="D143" s="28"/>
      <c r="E143" s="23"/>
      <c r="F143" s="20">
        <v>0.007416</v>
      </c>
      <c r="G143" s="22">
        <v>20.7</v>
      </c>
      <c r="H143" s="22">
        <f t="shared" si="14"/>
        <v>0.1535112</v>
      </c>
      <c r="I143" s="22">
        <v>1.1</v>
      </c>
      <c r="J143" s="22">
        <f t="shared" si="15"/>
        <v>0.16886232</v>
      </c>
      <c r="K143" s="56"/>
    </row>
    <row r="144" s="2" customFormat="1" ht="39" customHeight="1" spans="1:11">
      <c r="A144" s="15"/>
      <c r="B144" s="16" t="s">
        <v>83</v>
      </c>
      <c r="C144" s="23"/>
      <c r="D144" s="28"/>
      <c r="E144" s="23"/>
      <c r="F144" s="20">
        <v>0.008446</v>
      </c>
      <c r="G144" s="22">
        <v>20.7</v>
      </c>
      <c r="H144" s="22">
        <f t="shared" si="14"/>
        <v>0.1748322</v>
      </c>
      <c r="I144" s="22">
        <v>1.1</v>
      </c>
      <c r="J144" s="22">
        <f t="shared" si="15"/>
        <v>0.19231542</v>
      </c>
      <c r="K144" s="56"/>
    </row>
    <row r="145" s="2" customFormat="1" ht="39" customHeight="1" spans="1:11">
      <c r="A145" s="15"/>
      <c r="B145" s="16" t="s">
        <v>54</v>
      </c>
      <c r="C145" s="25"/>
      <c r="D145" s="28"/>
      <c r="E145" s="23"/>
      <c r="F145" s="20">
        <v>0.034402</v>
      </c>
      <c r="G145" s="22">
        <v>20.7</v>
      </c>
      <c r="H145" s="22">
        <f t="shared" si="14"/>
        <v>0.7121214</v>
      </c>
      <c r="I145" s="22">
        <v>1.1</v>
      </c>
      <c r="J145" s="22">
        <f t="shared" si="15"/>
        <v>0.78333354</v>
      </c>
      <c r="K145" s="56"/>
    </row>
    <row r="146" s="2" customFormat="1" ht="39" customHeight="1" spans="1:11">
      <c r="A146" s="27"/>
      <c r="B146" s="16" t="s">
        <v>55</v>
      </c>
      <c r="C146" s="23"/>
      <c r="D146" s="28"/>
      <c r="E146" s="23"/>
      <c r="F146" s="20">
        <v>0.007622</v>
      </c>
      <c r="G146" s="22">
        <v>20.7</v>
      </c>
      <c r="H146" s="22">
        <f t="shared" si="14"/>
        <v>0.1577754</v>
      </c>
      <c r="I146" s="22">
        <v>1.1</v>
      </c>
      <c r="J146" s="22">
        <f t="shared" si="15"/>
        <v>0.17355294</v>
      </c>
      <c r="K146" s="56"/>
    </row>
    <row r="147" s="2" customFormat="1" ht="39" customHeight="1" spans="1:11">
      <c r="A147" s="27" t="s">
        <v>95</v>
      </c>
      <c r="B147" s="16" t="s">
        <v>96</v>
      </c>
      <c r="C147" s="25" t="s">
        <v>87</v>
      </c>
      <c r="D147" s="28">
        <v>500</v>
      </c>
      <c r="E147" s="23"/>
      <c r="F147" s="20">
        <v>0.00206</v>
      </c>
      <c r="G147" s="22">
        <v>29.639</v>
      </c>
      <c r="H147" s="22">
        <f t="shared" si="14"/>
        <v>0.06105634</v>
      </c>
      <c r="I147" s="22">
        <v>1.1</v>
      </c>
      <c r="J147" s="22">
        <f t="shared" si="15"/>
        <v>0.067161974</v>
      </c>
      <c r="K147" s="56"/>
    </row>
    <row r="148" s="2" customFormat="1" ht="39" customHeight="1" spans="1:11">
      <c r="A148" s="91"/>
      <c r="B148" s="16" t="s">
        <v>86</v>
      </c>
      <c r="C148" s="23"/>
      <c r="D148" s="28"/>
      <c r="E148" s="23"/>
      <c r="F148" s="20">
        <v>0.006283</v>
      </c>
      <c r="G148" s="22">
        <v>29.639</v>
      </c>
      <c r="H148" s="22">
        <f t="shared" si="14"/>
        <v>0.186221837</v>
      </c>
      <c r="I148" s="22">
        <v>1.1</v>
      </c>
      <c r="J148" s="22">
        <f t="shared" si="15"/>
        <v>0.2048440207</v>
      </c>
      <c r="K148" s="56"/>
    </row>
    <row r="149" s="2" customFormat="1" ht="39" customHeight="1" spans="1:11">
      <c r="A149" s="15" t="s">
        <v>56</v>
      </c>
      <c r="B149" s="16" t="s">
        <v>94</v>
      </c>
      <c r="C149" s="25" t="s">
        <v>47</v>
      </c>
      <c r="D149" s="28">
        <v>100</v>
      </c>
      <c r="E149" s="23"/>
      <c r="F149" s="20">
        <v>0.031312</v>
      </c>
      <c r="G149" s="22">
        <v>20</v>
      </c>
      <c r="H149" s="22">
        <f t="shared" si="14"/>
        <v>0.62624</v>
      </c>
      <c r="I149" s="22">
        <v>1.1</v>
      </c>
      <c r="J149" s="22">
        <f t="shared" si="15"/>
        <v>0.688864</v>
      </c>
      <c r="K149" s="56"/>
    </row>
    <row r="150" s="2" customFormat="1" ht="39" customHeight="1" spans="1:11">
      <c r="A150" s="15" t="s">
        <v>58</v>
      </c>
      <c r="B150" s="16" t="s">
        <v>59</v>
      </c>
      <c r="C150" s="23" t="s">
        <v>47</v>
      </c>
      <c r="D150" s="28">
        <v>100</v>
      </c>
      <c r="E150" s="23"/>
      <c r="F150" s="20">
        <v>0.003296</v>
      </c>
      <c r="G150" s="22">
        <v>15.3</v>
      </c>
      <c r="H150" s="22">
        <f t="shared" si="14"/>
        <v>0.0504288</v>
      </c>
      <c r="I150" s="22">
        <v>1.1</v>
      </c>
      <c r="J150" s="22">
        <f t="shared" si="15"/>
        <v>0.05547168</v>
      </c>
      <c r="K150" s="56"/>
    </row>
    <row r="151" s="2" customFormat="1" ht="39" customHeight="1" spans="1:11">
      <c r="A151" s="15"/>
      <c r="B151" s="16" t="s">
        <v>60</v>
      </c>
      <c r="C151" s="23"/>
      <c r="D151" s="28"/>
      <c r="E151" s="23"/>
      <c r="F151" s="20">
        <v>0.003296</v>
      </c>
      <c r="G151" s="22">
        <v>15.3</v>
      </c>
      <c r="H151" s="22">
        <f t="shared" si="14"/>
        <v>0.0504288</v>
      </c>
      <c r="I151" s="22">
        <v>1.1</v>
      </c>
      <c r="J151" s="22">
        <f t="shared" si="15"/>
        <v>0.05547168</v>
      </c>
      <c r="K151" s="56"/>
    </row>
    <row r="152" s="2" customFormat="1" ht="39" customHeight="1" spans="1:11">
      <c r="A152" s="51" t="s">
        <v>84</v>
      </c>
      <c r="B152" s="16" t="s">
        <v>62</v>
      </c>
      <c r="C152" s="25" t="s">
        <v>63</v>
      </c>
      <c r="D152" s="28">
        <v>500</v>
      </c>
      <c r="E152" s="23"/>
      <c r="F152" s="20">
        <v>0.00184985632183908</v>
      </c>
      <c r="G152" s="22">
        <v>56</v>
      </c>
      <c r="H152" s="22">
        <f t="shared" si="14"/>
        <v>0.103591954022989</v>
      </c>
      <c r="I152" s="22">
        <v>1.1</v>
      </c>
      <c r="J152" s="22">
        <f t="shared" si="15"/>
        <v>0.113951149425287</v>
      </c>
      <c r="K152" s="56"/>
    </row>
    <row r="153" s="2" customFormat="1" ht="39" customHeight="1" spans="1:11">
      <c r="A153" s="27" t="s">
        <v>64</v>
      </c>
      <c r="B153" s="16" t="s">
        <v>65</v>
      </c>
      <c r="C153" s="23" t="s">
        <v>63</v>
      </c>
      <c r="D153" s="28">
        <v>500</v>
      </c>
      <c r="E153" s="23"/>
      <c r="F153" s="20">
        <v>0.00450360082304527</v>
      </c>
      <c r="G153" s="22">
        <v>22</v>
      </c>
      <c r="H153" s="22">
        <f t="shared" si="14"/>
        <v>0.0990792181069959</v>
      </c>
      <c r="I153" s="22">
        <v>1.1</v>
      </c>
      <c r="J153" s="22">
        <f t="shared" si="15"/>
        <v>0.108987139917695</v>
      </c>
      <c r="K153" s="56"/>
    </row>
    <row r="154" s="2" customFormat="1" ht="39" customHeight="1" spans="1:11">
      <c r="A154" s="32" t="s">
        <v>66</v>
      </c>
      <c r="B154" s="31"/>
      <c r="C154" s="25"/>
      <c r="D154" s="28"/>
      <c r="E154" s="23"/>
      <c r="F154" s="33">
        <v>2</v>
      </c>
      <c r="G154" s="21">
        <v>0.1236</v>
      </c>
      <c r="H154" s="22">
        <f t="shared" si="14"/>
        <v>0.2472</v>
      </c>
      <c r="I154" s="22">
        <v>1.1</v>
      </c>
      <c r="J154" s="22">
        <f t="shared" si="15"/>
        <v>0.27192</v>
      </c>
      <c r="K154" s="56"/>
    </row>
    <row r="155" s="2" customFormat="1" ht="39" customHeight="1" spans="1:11">
      <c r="A155" s="34" t="s">
        <v>67</v>
      </c>
      <c r="B155" s="16"/>
      <c r="C155" s="23"/>
      <c r="D155" s="28"/>
      <c r="E155" s="23"/>
      <c r="F155" s="72">
        <v>33.99</v>
      </c>
      <c r="G155" s="22">
        <v>0.0029</v>
      </c>
      <c r="H155" s="22">
        <f t="shared" si="14"/>
        <v>0.098571</v>
      </c>
      <c r="I155" s="22">
        <v>1.1</v>
      </c>
      <c r="J155" s="22">
        <f t="shared" si="15"/>
        <v>0.1084281</v>
      </c>
      <c r="K155" s="56"/>
    </row>
    <row r="156" s="2" customFormat="1" ht="39" customHeight="1" spans="1:11">
      <c r="A156" s="27" t="s">
        <v>68</v>
      </c>
      <c r="B156" s="16"/>
      <c r="C156" s="23"/>
      <c r="D156" s="28"/>
      <c r="E156" s="23"/>
      <c r="F156" s="33">
        <v>2.06</v>
      </c>
      <c r="G156" s="22">
        <v>0.085</v>
      </c>
      <c r="H156" s="22">
        <f t="shared" si="14"/>
        <v>0.1751</v>
      </c>
      <c r="I156" s="22">
        <v>1.1</v>
      </c>
      <c r="J156" s="22">
        <f t="shared" si="15"/>
        <v>0.19261</v>
      </c>
      <c r="K156" s="56"/>
    </row>
    <row r="157" s="2" customFormat="1" ht="39" customHeight="1" spans="1:11">
      <c r="A157" s="27" t="s">
        <v>69</v>
      </c>
      <c r="B157" s="16"/>
      <c r="C157" s="23"/>
      <c r="D157" s="28"/>
      <c r="E157" s="23"/>
      <c r="F157" s="90">
        <v>197</v>
      </c>
      <c r="G157" s="22">
        <v>0.0085</v>
      </c>
      <c r="H157" s="22">
        <f t="shared" si="14"/>
        <v>1.6745</v>
      </c>
      <c r="I157" s="22">
        <v>1.1</v>
      </c>
      <c r="J157" s="22">
        <f t="shared" si="15"/>
        <v>1.84195</v>
      </c>
      <c r="K157" s="56"/>
    </row>
    <row r="158" s="2" customFormat="1" ht="39" customHeight="1" spans="1:11">
      <c r="A158" s="15" t="s">
        <v>70</v>
      </c>
      <c r="B158" s="16"/>
      <c r="C158" s="23"/>
      <c r="D158" s="28"/>
      <c r="E158" s="23"/>
      <c r="F158" s="33">
        <v>2</v>
      </c>
      <c r="G158" s="22">
        <v>0.3605</v>
      </c>
      <c r="H158" s="22">
        <f t="shared" si="14"/>
        <v>0.721</v>
      </c>
      <c r="I158" s="22">
        <v>1.1</v>
      </c>
      <c r="J158" s="22">
        <f t="shared" si="15"/>
        <v>0.7931</v>
      </c>
      <c r="K158" s="56"/>
    </row>
    <row r="159" s="2" customFormat="1" ht="39" customHeight="1" spans="1:11">
      <c r="A159" s="15" t="s">
        <v>104</v>
      </c>
      <c r="B159" s="16"/>
      <c r="C159" s="23"/>
      <c r="D159" s="28"/>
      <c r="E159" s="23"/>
      <c r="F159" s="33">
        <v>1</v>
      </c>
      <c r="G159" s="22">
        <v>1.133</v>
      </c>
      <c r="H159" s="22">
        <f t="shared" si="14"/>
        <v>1.133</v>
      </c>
      <c r="I159" s="22">
        <v>1.1</v>
      </c>
      <c r="J159" s="22">
        <f t="shared" si="15"/>
        <v>1.2463</v>
      </c>
      <c r="K159" s="56"/>
    </row>
    <row r="160" s="2" customFormat="1" ht="39" customHeight="1" spans="1:11">
      <c r="A160" s="15" t="s">
        <v>73</v>
      </c>
      <c r="B160" s="16"/>
      <c r="C160" s="23"/>
      <c r="D160" s="28"/>
      <c r="E160" s="23"/>
      <c r="F160" s="33">
        <v>1</v>
      </c>
      <c r="G160" s="22">
        <v>0.4635</v>
      </c>
      <c r="H160" s="22">
        <f t="shared" si="14"/>
        <v>0.4635</v>
      </c>
      <c r="I160" s="22">
        <v>1.1</v>
      </c>
      <c r="J160" s="22">
        <f t="shared" si="15"/>
        <v>0.50985</v>
      </c>
      <c r="K160" s="56"/>
    </row>
    <row r="161" s="2" customFormat="1" ht="39" customHeight="1" spans="1:11">
      <c r="A161" s="92" t="s">
        <v>74</v>
      </c>
      <c r="B161" s="92"/>
      <c r="C161" s="23"/>
      <c r="D161" s="28"/>
      <c r="E161" s="23"/>
      <c r="F161" s="33"/>
      <c r="G161" s="22"/>
      <c r="H161" s="22">
        <f t="shared" si="14"/>
        <v>0</v>
      </c>
      <c r="I161" s="22">
        <v>1.1</v>
      </c>
      <c r="J161" s="22">
        <f t="shared" si="15"/>
        <v>0</v>
      </c>
      <c r="K161" s="56"/>
    </row>
    <row r="162" s="2" customFormat="1" ht="39" customHeight="1" spans="1:11">
      <c r="A162" s="23" t="s">
        <v>75</v>
      </c>
      <c r="B162" s="39"/>
      <c r="C162" s="23"/>
      <c r="D162" s="28"/>
      <c r="E162" s="23"/>
      <c r="F162" s="33">
        <v>1</v>
      </c>
      <c r="G162" s="22">
        <v>0.4392</v>
      </c>
      <c r="H162" s="22">
        <f t="shared" si="14"/>
        <v>0.4392</v>
      </c>
      <c r="I162" s="22">
        <v>1.1</v>
      </c>
      <c r="J162" s="22">
        <f t="shared" si="15"/>
        <v>0.48312</v>
      </c>
      <c r="K162" s="56"/>
    </row>
    <row r="163" s="2" customFormat="1" ht="39" customHeight="1" spans="1:11">
      <c r="A163" s="23" t="s">
        <v>76</v>
      </c>
      <c r="B163" s="39"/>
      <c r="C163" s="23"/>
      <c r="D163" s="28"/>
      <c r="E163" s="23"/>
      <c r="F163" s="33">
        <v>1</v>
      </c>
      <c r="G163" s="22">
        <v>3.83</v>
      </c>
      <c r="H163" s="22">
        <f t="shared" si="14"/>
        <v>3.83</v>
      </c>
      <c r="I163" s="22">
        <v>1.1</v>
      </c>
      <c r="J163" s="22">
        <f t="shared" si="15"/>
        <v>4.213</v>
      </c>
      <c r="K163" s="56"/>
    </row>
    <row r="164" s="2" customFormat="1" ht="39" customHeight="1" spans="1:11">
      <c r="A164" s="23" t="s">
        <v>77</v>
      </c>
      <c r="B164" s="39"/>
      <c r="C164" s="23"/>
      <c r="D164" s="28"/>
      <c r="E164" s="23"/>
      <c r="F164" s="33">
        <v>1</v>
      </c>
      <c r="G164" s="22">
        <v>1.625</v>
      </c>
      <c r="H164" s="22">
        <f t="shared" si="14"/>
        <v>1.625</v>
      </c>
      <c r="I164" s="22">
        <v>1.1</v>
      </c>
      <c r="J164" s="22">
        <f t="shared" si="15"/>
        <v>1.7875</v>
      </c>
      <c r="K164" s="56"/>
    </row>
    <row r="165" s="2" customFormat="1" ht="39" customHeight="1" spans="1:11">
      <c r="A165" s="23"/>
      <c r="B165" s="39"/>
      <c r="C165" s="23"/>
      <c r="D165" s="28"/>
      <c r="E165" s="23"/>
      <c r="F165" s="33"/>
      <c r="G165" s="22"/>
      <c r="H165" s="22"/>
      <c r="I165" s="60" t="s">
        <v>30</v>
      </c>
      <c r="J165" s="60">
        <f>SUM(J139:J164)</f>
        <v>35.285218924043</v>
      </c>
      <c r="K165" s="56"/>
    </row>
  </sheetData>
  <mergeCells count="5">
    <mergeCell ref="A29:K29"/>
    <mergeCell ref="A58:K58"/>
    <mergeCell ref="A87:K87"/>
    <mergeCell ref="A112:K112"/>
    <mergeCell ref="A138:K138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总表260707</vt:lpstr>
      <vt:lpstr>明细260707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李悦</cp:lastModifiedBy>
  <dcterms:created xsi:type="dcterms:W3CDTF">2023-05-12T11:15:00Z</dcterms:created>
  <dcterms:modified xsi:type="dcterms:W3CDTF">2026-07-27T01:19:50Z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6CE72E40E82F4C1A998267B540D62B66_12</vt:lpwstr>
  </property>
  <property fmtid="{D5CDD505-2E9C-101B-9397-08002B2CF9AE}" pid="4" name="CalculationRule">
    <vt:i4>0</vt:i4>
  </property>
</Properties>
</file>