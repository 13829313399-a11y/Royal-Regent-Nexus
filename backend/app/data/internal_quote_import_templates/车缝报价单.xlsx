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0fa48686e48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表260707" sheetId="3" r:id="Re9c2762069c14455"/>
    <x:sheet xmlns:r="http://schemas.openxmlformats.org/officeDocument/2006/relationships" name="明细260707" sheetId="4" r:id="R4bac47c3405c4244"/>
  </x:sheets>
</x:workbook>
</file>

<file path=xl/sharedStrings.xml><?xml version="1.0" encoding="utf-8"?>
<x:sst xmlns:x="http://schemas.openxmlformats.org/spreadsheetml/2006/main">
  <x:si>
    <x:t xml:space="preserve">东莞华登塑胶制品有限公司</x:t>
  </x:si>
  <x:si>
    <x:t xml:space="preserve">香港地址：九龙尖沙咀科学馆道1号康宏广场南座12字楼</x:t>
  </x:si>
  <x:si>
    <x:t xml:space="preserve">电话：00852-24250720        传真：00852-24243407</x:t>
  </x:si>
  <x:si>
    <x:t xml:space="preserve">国内地址：东莞市清溪上元银坑路10号1-2楼</x:t>
  </x:si>
  <x:si>
    <x:t xml:space="preserve">电话：0769-82018318   传真：0769-82189923</x:t>
  </x:si>
  <x:si>
    <x:t xml:space="preserve">报价单</x:t>
  </x:si>
  <x:si>
    <x:t xml:space="preserve">TO:熊彩云/蒋丽慧</x:t>
  </x:si>
  <x:si>
    <x:t xml:space="preserve">FM:小龙</x:t>
  </x:si>
  <x:si>
    <x:t xml:space="preserve">客人：Spin Master</x:t>
  </x:si>
  <x:si>
    <x:t xml:space="preserve">货号：30096</x:t>
  </x:si>
  <x:si>
    <x:t xml:space="preserve">DATE:2026/7/3</x:t>
  </x:si>
  <x:si>
    <x:t xml:space="preserve">图片</x:t>
  </x:si>
  <x:si>
    <x:t xml:space="preserve">货名</x:t>
  </x:si>
  <x:si>
    <x:t xml:space="preserve">不含税货价</x:t>
  </x:si>
  <x:si>
    <x:t xml:space="preserve">10%含税合计</x:t>
  </x:si>
  <x:si>
    <x:t xml:space="preserve">内容</x:t>
  </x:si>
  <x:si>
    <x:t xml:space="preserve">备注</x:t>
  </x:si>
  <x:si>
    <x:t xml:space="preserve">8寸紫色土豆蝙蝠</x:t>
  </x:si>
  <x:si>
    <x:t xml:space="preserve">（此报价不含整形挑形的价钱）</x:t>
  </x:si>
  <x:si>
    <x:t xml:space="preserve">1.如原料升幅超过5%或人民币升幅超过2%，本司保留加价权。</x:t>
  </x:si>
  <x:si>
    <x:t xml:space="preserve">10寸紫色小狗</x:t>
  </x:si>
  <x:si>
    <x:t xml:space="preserve">2.客户负责来板的法律责任.包括知识产权。</x:t>
  </x:si>
  <x:si>
    <x:t xml:space="preserve">10寸红色独角兽</x:t>
  </x:si>
  <x:si>
    <x:t xml:space="preserve">3.除非产品价格全数清还.本公司扔拥有产品拥有权。</x:t>
  </x:si>
  <x:si>
    <x:t xml:space="preserve">8寸绿色青蛙</x:t>
  </x:si>
  <x:si>
    <x:t xml:space="preserve">4,本司只负责车缝来样部分报价，其它不含。</x:t>
  </x:si>
  <x:si>
    <x:t xml:space="preserve">10寸绿色土豆恐龙</x:t>
  </x:si>
  <x:si>
    <x:r>
      <x:rPr>
        <x:b/>
        <x:sz val="1200"/>
        <x:color rgb="FF000000"/>
        <x:rFont val="等线"/>
      </x:rPr>
      <x:t xml:space="preserve">5.</x:t>
    </x:r>
    <x:r>
      <x:rPr>
        <x:b/>
        <x:sz val="1200"/>
        <x:color rgb="FF000000"/>
        <x:rFont val="等线"/>
      </x:rPr>
      <x:t xml:space="preserve">本报价为人民币报价（含税）</x:t>
    </x:r>
  </x:si>
  <x:si>
    <x:t xml:space="preserve">8寸红色凯蒂猫</x:t>
  </x:si>
  <x:si>
    <x:t xml:space="preserve">6，货物散装货运送兴信厂。</x:t>
  </x:si>
  <x:si>
    <x:t xml:space="preserve">合计</x:t>
  </x:si>
  <x:si>
    <x:t xml:space="preserve">7，此报价为按样报价，最终报价以客人确定样板为准。</x:t>
  </x:si>
  <x:si>
    <x:r>
      <x:rPr>
        <x:b/>
        <x:sz val="1200"/>
        <x:color rgb="FF000000"/>
        <x:rFont val="等线"/>
      </x:rPr>
      <x:t xml:space="preserve">8,MOQ</x:t>
    </x:r>
    <x:r>
      <x:rPr>
        <x:b/>
        <x:sz val="1200"/>
        <x:color rgb="FF000000"/>
        <x:rFont val="等线"/>
      </x:rPr>
      <x:t xml:space="preserve">生产数须每次每款</x:t>
    </x:r>
    <x:r>
      <x:rPr>
        <x:b/>
        <x:sz val="1200"/>
        <x:color rgb="FF000000"/>
        <x:rFont val="等线"/>
      </x:rPr>
      <x:t xml:space="preserve">10</x:t>
    </x:r>
    <x:r>
      <x:rPr>
        <x:b/>
        <x:sz val="1200"/>
        <x:color rgb="FF000000"/>
        <x:rFont val="等线"/>
      </x:rPr>
      <x:t xml:space="preserve">万套起</x:t>
    </x:r>
    <x:r>
      <x:rPr>
        <x:b/>
        <x:sz val="1200"/>
        <x:color rgb="FF000000"/>
        <x:rFont val="等线"/>
      </x:rPr>
      <x:t xml:space="preserve">.</x:t>
    </x:r>
    <x:r>
      <x:rPr>
        <x:b/>
        <x:sz val="1200"/>
        <x:color rgb="FF000000"/>
        <x:rFont val="等线"/>
      </x:rPr>
      <x:t xml:space="preserve">不够</x:t>
    </x:r>
    <x:r>
      <x:rPr>
        <x:b/>
        <x:sz val="1200"/>
        <x:color rgb="FF000000"/>
        <x:rFont val="等线"/>
      </x:rPr>
      <x:t xml:space="preserve">MOQ</x:t>
    </x:r>
    <x:r>
      <x:rPr>
        <x:b/>
        <x:sz val="1200"/>
        <x:color rgb="FF000000"/>
        <x:rFont val="等线"/>
      </x:rPr>
      <x:t xml:space="preserve">则重新报价。</x:t>
    </x:r>
  </x:si>
  <x:si>
    <x:t xml:space="preserve">报价:袁金瑛</x:t>
  </x:si>
  <x:si>
    <x:t xml:space="preserve">審核:小龙</x:t>
  </x:si>
  <x:si>
    <x:t xml:space="preserve">物料名称</x:t>
  </x:si>
  <x:si>
    <x:t xml:space="preserve">裁片部位</x:t>
  </x:si>
  <x:si>
    <x:t xml:space="preserve">供应商</x:t>
  </x:si>
  <x:si>
    <x:t xml:space="preserve">布料MOQ/Y</x:t>
  </x:si>
  <x:si>
    <x:t xml:space="preserve">低于MOQ/每色产生费用</x:t>
  </x:si>
  <x:si>
    <x:t xml:space="preserve">用量/码</x:t>
  </x:si>
  <x:si>
    <x:t xml:space="preserve">单价</x:t>
  </x:si>
  <x:si>
    <x:t xml:space="preserve">汇率</x:t>
  </x:si>
  <x:si>
    <x:t xml:space="preserve">成本</x:t>
  </x:si>
  <x:si>
    <x:t xml:space="preserve">码点</x:t>
  </x:si>
  <x:si>
    <x:t xml:space="preserve">价钱</x:t>
  </x:si>
  <x:si>
    <x:t xml:space="preserve">58"270G白色莱卡布，感温变色涂层</x:t>
  </x:si>
  <x:si>
    <x:t xml:space="preserve">前身</x:t>
  </x:si>
  <x:si>
    <x:t xml:space="preserve">恒欣</x:t>
  </x:si>
  <x:si>
    <x:t xml:space="preserve">后身</x:t>
  </x:si>
  <x:si>
    <x:t xml:space="preserve">底部</x:t>
  </x:si>
  <x:si>
    <x:t xml:space="preserve">58"270G紫色莱卡布(无温变)</x:t>
  </x:si>
  <x:si>
    <x:t xml:space="preserve">前朵</x:t>
  </x:si>
  <x:si>
    <x:t xml:space="preserve">后耳</x:t>
  </x:si>
  <x:si>
    <x:t xml:space="preserve">翅膀</x:t>
  </x:si>
  <x:si>
    <x:t xml:space="preserve">脚</x:t>
  </x:si>
  <x:si>
    <x:t xml:space="preserve">脚底</x:t>
  </x:si>
  <x:si>
    <x:t xml:space="preserve">56/58"220g/m² 370g/y 100%Poly 1*1 涤纶罗纹白色数码印</x:t>
  </x:si>
  <x:si>
    <x:t xml:space="preserve">袜身</x:t>
  </x:si>
  <x:si>
    <x:t xml:space="preserve">68"370g100%涤纶1x1白色罗纹针织</x:t>
  </x:si>
  <x:si>
    <x:t xml:space="preserve">左袜底</x:t>
  </x:si>
  <x:si>
    <x:t xml:space="preserve">右袜底</x:t>
  </x:si>
  <x:si>
    <x:t xml:space="preserve">54" 0.8mm  黑色漆皮PU（温变）</x:t>
  </x:si>
  <x:si>
    <x:t xml:space="preserve">脚底贴布</x:t>
  </x:si>
  <x:si>
    <x:t xml:space="preserve">永裕丰</x:t>
  </x:si>
  <x:si>
    <x:t xml:space="preserve">54" 0.8mm  黑色漆皮PU</x:t>
  </x:si>
  <x:si>
    <x:t xml:space="preserve">眼贴布</x:t>
  </x:si>
  <x:si>
    <x:t xml:space="preserve">商标1</x:t>
  </x:si>
  <x:si>
    <x:t xml:space="preserve">604#配色强力线(广全)</x:t>
  </x:si>
  <x:si>
    <x:t xml:space="preserve">6MM普通棉带</x:t>
  </x:si>
  <x:si>
    <x:t xml:space="preserve">3D*32MM hollow fiber100%再生棉</x:t>
  </x:si>
  <x:si>
    <x:t xml:space="preserve">前耳 密绣粉色 </x:t>
  </x:si>
  <x:si>
    <x:t xml:space="preserve">耳朵 匹绣车缝止口线   </x:t>
  </x:si>
  <x:si>
    <x:t xml:space="preserve">前身 贴布绣眼片/密绣眉毛/鼻子  </x:t>
  </x:si>
  <x:si>
    <x:t xml:space="preserve">左袜底 贴布绣字母</x:t>
  </x:si>
  <x:si>
    <x:t xml:space="preserve">胶件/包装由总部报价</x:t>
  </x:si>
  <x:si>
    <x:t xml:space="preserve">裁床</x:t>
  </x:si>
  <x:si>
    <x:t xml:space="preserve">车缝</x:t>
  </x:si>
  <x:si>
    <x:t xml:space="preserve">手工</x:t>
  </x:si>
</x:sst>
</file>

<file path=xl/styles.xml><?xml version="1.0" encoding="utf-8"?>
<x:styleSheet xmlns:x="http://schemas.openxmlformats.org/spreadsheetml/2006/main">
  <x:numFmts count="11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00_ "/>
    <x:numFmt numFmtId="177" formatCode="0_ "/>
    <x:numFmt numFmtId="178" formatCode="0.000_ "/>
    <x:numFmt numFmtId="179" formatCode="0.00_ "/>
    <x:numFmt numFmtId="180" formatCode="0.0000_ "/>
    <x:numFmt numFmtId="181" formatCode="&quot;￥&quot;#,##0.00_);[Red]\(&quot;￥&quot;#,##0.00\)"/>
    <x:numFmt numFmtId="182" formatCode="&quot;￥&quot;#,##0.000_);[Red]\(&quot;￥&quot;#,##0.000\)"/>
  </x:numFmts>
  <x:fonts count="30">
    <x:font>
      <x:sz val="11"/>
      <x:color theme="1"/>
      <x:name val="宋体"/>
    </x:font>
    <x:font>
      <x:sz val="16"/>
      <x:color theme="1"/>
      <x:name val="黑体"/>
    </x:font>
    <x:font>
      <x:sz val="14"/>
      <x:name val="微软雅黑"/>
    </x:font>
    <x:font>
      <x:sz val="16"/>
      <x:name val="黑体"/>
    </x:font>
    <x:font>
      <x:sz val="14"/>
      <x:name val="黑体"/>
    </x:font>
    <x:font>
      <x:sz val="14"/>
      <x:color theme="1"/>
      <x:name val="微软雅黑"/>
    </x:font>
    <x:font>
      <x:sz val="16"/>
      <x:color rgb="FFFF0000"/>
      <x:name val="黑体"/>
    </x:font>
    <x:font>
      <x:b/>
      <x:sz val="12"/>
      <x:name val="等线"/>
    </x:font>
    <x:font>
      <x:b/>
      <x:sz val="12"/>
      <x:color theme="1"/>
      <x:name val="等线"/>
    </x:font>
    <x:font>
      <x:b/>
      <x:sz val="12"/>
      <x:color rgb="FF000000"/>
      <x:name val="等线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b/>
      <x:sz val="12"/>
      <x:color indexed="8"/>
      <x:name val="等线"/>
    </x:font>
  </x:fonts>
  <x:fills count="37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indexed="43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7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0" fillId="0" borderId="0">
      <x:alignment vertical="center"/>
    </x:xf>
    <x:xf numFmtId="0" fontId="11" fillId="0" borderId="0">
      <x:alignment vertical="center"/>
    </x:xf>
    <x:xf numFmtId="0" fontId="0" fillId="6" borderId="9">
      <x:alignment vertical="center"/>
    </x:xf>
    <x:xf numFmtId="0" fontId="12" fillId="0" borderId="0">
      <x:alignment vertical="center"/>
    </x:xf>
    <x:xf numFmtId="0" fontId="13" fillId="0" borderId="0">
      <x:alignment vertical="center"/>
    </x:xf>
    <x:xf numFmtId="0" fontId="14" fillId="0" borderId="0">
      <x:alignment vertical="center"/>
    </x:xf>
    <x:xf numFmtId="0" fontId="15" fillId="0" borderId="10">
      <x:alignment vertical="center"/>
    </x:xf>
    <x:xf numFmtId="0" fontId="16" fillId="0" borderId="10">
      <x:alignment vertical="center"/>
    </x:xf>
    <x:xf numFmtId="0" fontId="17" fillId="0" borderId="11">
      <x:alignment vertical="center"/>
    </x:xf>
    <x:xf numFmtId="0" fontId="17" fillId="0" borderId="0">
      <x:alignment vertical="center"/>
    </x:xf>
    <x:xf numFmtId="0" fontId="18" fillId="7" borderId="12">
      <x:alignment vertical="center"/>
    </x:xf>
    <x:xf numFmtId="0" fontId="19" fillId="8" borderId="13">
      <x:alignment vertical="center"/>
    </x:xf>
    <x:xf numFmtId="0" fontId="20" fillId="8" borderId="12">
      <x:alignment vertical="center"/>
    </x:xf>
    <x:xf numFmtId="0" fontId="21" fillId="9" borderId="14">
      <x:alignment vertical="center"/>
    </x:xf>
    <x:xf numFmtId="0" fontId="22" fillId="0" borderId="15">
      <x:alignment vertical="center"/>
    </x:xf>
    <x:xf numFmtId="0" fontId="23" fillId="0" borderId="16">
      <x:alignment vertical="center"/>
    </x:xf>
    <x:xf numFmtId="0" fontId="24" fillId="10" borderId="0">
      <x:alignment vertical="center"/>
    </x:xf>
    <x:xf numFmtId="0" fontId="25" fillId="11" borderId="0">
      <x:alignment vertical="center"/>
    </x:xf>
    <x:xf numFmtId="0" fontId="26" fillId="12" borderId="0">
      <x:alignment vertical="center"/>
    </x:xf>
    <x:xf numFmtId="0" fontId="27" fillId="13" borderId="0">
      <x:alignment vertical="center"/>
    </x:xf>
    <x:xf numFmtId="0" fontId="28" fillId="14" borderId="0">
      <x:alignment vertical="center"/>
    </x:xf>
    <x:xf numFmtId="0" fontId="28" fillId="15" borderId="0">
      <x:alignment vertical="center"/>
    </x:xf>
    <x:xf numFmtId="0" fontId="27" fillId="16" borderId="0">
      <x:alignment vertical="center"/>
    </x:xf>
    <x:xf numFmtId="0" fontId="27" fillId="17" borderId="0">
      <x:alignment vertical="center"/>
    </x:xf>
    <x:xf numFmtId="0" fontId="28" fillId="18" borderId="0">
      <x:alignment vertical="center"/>
    </x:xf>
    <x:xf numFmtId="0" fontId="28" fillId="19" borderId="0">
      <x:alignment vertical="center"/>
    </x:xf>
    <x:xf numFmtId="0" fontId="27" fillId="20" borderId="0">
      <x:alignment vertical="center"/>
    </x:xf>
    <x:xf numFmtId="0" fontId="27" fillId="21" borderId="0">
      <x:alignment vertical="center"/>
    </x:xf>
    <x:xf numFmtId="0" fontId="28" fillId="22" borderId="0">
      <x:alignment vertical="center"/>
    </x:xf>
    <x:xf numFmtId="0" fontId="28" fillId="23" borderId="0">
      <x:alignment vertical="center"/>
    </x:xf>
    <x:xf numFmtId="0" fontId="27" fillId="24" borderId="0">
      <x:alignment vertical="center"/>
    </x:xf>
    <x:xf numFmtId="0" fontId="27" fillId="25" borderId="0">
      <x:alignment vertical="center"/>
    </x:xf>
    <x:xf numFmtId="0" fontId="28" fillId="26" borderId="0">
      <x:alignment vertical="center"/>
    </x:xf>
    <x:xf numFmtId="0" fontId="28" fillId="27" borderId="0">
      <x:alignment vertical="center"/>
    </x:xf>
    <x:xf numFmtId="0" fontId="27" fillId="28" borderId="0">
      <x:alignment vertical="center"/>
    </x:xf>
    <x:xf numFmtId="0" fontId="27" fillId="29" borderId="0">
      <x:alignment vertical="center"/>
    </x:xf>
    <x:xf numFmtId="0" fontId="28" fillId="30" borderId="0">
      <x:alignment vertical="center"/>
    </x:xf>
    <x:xf numFmtId="0" fontId="28" fillId="31" borderId="0">
      <x:alignment vertical="center"/>
    </x:xf>
    <x:xf numFmtId="0" fontId="27" fillId="32" borderId="0">
      <x:alignment vertical="center"/>
    </x:xf>
    <x:xf numFmtId="0" fontId="27" fillId="33" borderId="0">
      <x:alignment vertical="center"/>
    </x:xf>
    <x:xf numFmtId="0" fontId="28" fillId="34" borderId="0">
      <x:alignment vertical="center"/>
    </x:xf>
    <x:xf numFmtId="0" fontId="28" fillId="35" borderId="0">
      <x:alignment vertical="center"/>
    </x:xf>
    <x:xf numFmtId="0" fontId="27" fillId="36" borderId="0">
      <x:alignment vertical="center"/>
    </x:xf>
  </x:cellStyleXfs>
  <x:cellXfs count="88">
    <x:xf numFmtId="0" fontId="0" fillId="0" borderId="0" xfId="0" applyAlignment="1">
      <x:alignment vertical="center"/>
    </x:xf>
    <x:xf numFmtId="176" fontId="1" fillId="2" borderId="0" xfId="0" applyNumberFormat="1" applyFont="1" applyFill="1" applyBorder="1" applyAlignment="1">
      <x:alignment horizontal="left" vertical="center"/>
    </x:xf>
    <x:xf numFmtId="176" fontId="1" fillId="0" borderId="0" xfId="0" applyNumberFormat="1" applyFont="1" applyFill="1" applyBorder="1" applyAlignment="1">
      <x:alignment horizontal="left" vertical="center"/>
    </x:xf>
    <x:xf numFmtId="176" fontId="1" fillId="0" borderId="0" xfId="0" applyNumberFormat="1" applyFont="1" applyFill="1" applyBorder="1" applyAlignment="1">
      <x:alignment horizontal="center" vertical="center"/>
    </x:xf>
    <x:xf numFmtId="177" fontId="1" fillId="0" borderId="0" xfId="0" applyNumberFormat="1" applyFont="1" applyFill="1" applyBorder="1" applyAlignment="1">
      <x:alignment horizontal="left" vertical="center"/>
    </x:xf>
    <x:xf numFmtId="178" fontId="1" fillId="0" borderId="0" xfId="0" applyNumberFormat="1" applyFont="1" applyFill="1" applyBorder="1" applyAlignment="1">
      <x:alignment horizontal="center" vertical="center"/>
    </x:xf>
    <x:xf numFmtId="179" fontId="1" fillId="0" borderId="0" xfId="0" applyNumberFormat="1" applyFont="1" applyFill="1" applyBorder="1" applyAlignment="1">
      <x:alignment horizontal="center" vertical="center"/>
    </x:xf>
    <x:xf numFmtId="176" fontId="1" fillId="2" borderId="1" xfId="0" applyNumberFormat="1" applyFont="1" applyFill="1" applyBorder="1" applyAlignment="1">
      <x:alignment horizontal="left" vertical="center" wrapText="1"/>
    </x:xf>
    <x:xf numFmtId="176" fontId="1" fillId="2" borderId="1" xfId="0" applyNumberFormat="1" applyFont="1" applyFill="1" applyBorder="1" applyAlignment="1">
      <x:alignment horizontal="center" vertical="center" wrapText="1"/>
    </x:xf>
    <x:xf numFmtId="177" fontId="1" fillId="2" borderId="1" xfId="0" applyNumberFormat="1" applyFont="1" applyFill="1" applyBorder="1" applyAlignment="1">
      <x:alignment horizontal="center" vertical="center" wrapText="1"/>
    </x:xf>
    <x:xf numFmtId="178" fontId="1" fillId="2" borderId="1" xfId="0" applyNumberFormat="1" applyFont="1" applyFill="1" applyBorder="1" applyAlignment="1">
      <x:alignment horizontal="center" vertical="center" wrapText="1"/>
    </x:xf>
    <x:xf numFmtId="179" fontId="1" fillId="2" borderId="1" xfId="0" applyNumberFormat="1" applyFont="1" applyFill="1" applyBorder="1" applyAlignment="1">
      <x:alignment horizontal="center" vertical="center" wrapText="1"/>
    </x:xf>
    <x:xf numFmtId="176" fontId="1" fillId="2" borderId="1" xfId="0" applyNumberFormat="1" applyFont="1" applyFill="1" applyBorder="1" applyAlignment="1">
      <x:alignment horizontal="center" vertical="center"/>
    </x:xf>
    <x:xf numFmtId="176" fontId="1" fillId="3" borderId="1" xfId="0" applyNumberFormat="1" applyFont="1" applyFill="1" applyBorder="1" applyAlignment="1">
      <x:alignment vertical="center" wrapText="1"/>
    </x:xf>
    <x:xf numFmtId="0" fontId="2" fillId="0" borderId="1" xfId="0" applyFont="1" applyFill="1" applyBorder="1" applyAlignment="1">
      <x:alignment horizontal="left" vertical="center" wrapText="1"/>
    </x:xf>
    <x:xf numFmtId="0" fontId="2" fillId="0" borderId="1" xfId="0" applyFont="1" applyFill="1" applyBorder="1" applyAlignment="1">
      <x:alignment horizontal="center" vertical="center" wrapText="1"/>
    </x:xf>
    <x:xf numFmtId="179" fontId="3" fillId="2" borderId="1" xfId="0" applyNumberFormat="1" applyFont="1" applyFill="1" applyBorder="1" applyAlignment="1">
      <x:alignment horizontal="center" vertical="center" wrapText="1"/>
    </x:xf>
    <x:xf numFmtId="0" fontId="3" fillId="2" borderId="1" xfId="0" applyFont="1" applyFill="1" applyBorder="1" applyAlignment="1">
      <x:alignment horizontal="center" vertical="center" wrapText="1"/>
    </x:xf>
    <x:xf numFmtId="176" fontId="1" fillId="0" borderId="1" xfId="0" applyNumberFormat="1" applyFont="1" applyFill="1" applyBorder="1" applyAlignment="1">
      <x:alignment horizontal="left" vertical="center" wrapText="1"/>
    </x:xf>
    <x:xf numFmtId="178" fontId="1" fillId="4" borderId="1" xfId="0" applyNumberFormat="1" applyFont="1" applyFill="1" applyBorder="1" applyAlignment="1">
      <x:alignment horizontal="center" vertical="center"/>
    </x:xf>
    <x:xf numFmtId="179" fontId="1" fillId="0" borderId="1" xfId="0" applyNumberFormat="1" applyFont="1" applyFill="1" applyBorder="1" applyAlignment="1">
      <x:alignment horizontal="center" vertical="center" wrapText="1"/>
    </x:xf>
    <x:xf numFmtId="179" fontId="1" fillId="0" borderId="1" xfId="0" applyNumberFormat="1" applyFont="1" applyFill="1" applyBorder="1" applyAlignment="1">
      <x:alignment horizontal="center" vertical="center"/>
    </x:xf>
    <x:xf numFmtId="176" fontId="1" fillId="0" borderId="1" xfId="0" applyNumberFormat="1" applyFont="1" applyFill="1" applyBorder="1" applyAlignment="1">
      <x:alignment horizontal="left" vertical="center"/>
    </x:xf>
    <x:xf numFmtId="0" fontId="4" fillId="0" borderId="1" xfId="0" applyFont="1" applyFill="1" applyBorder="1" applyAlignment="1">
      <x:alignment horizontal="left" vertical="center"/>
    </x:xf>
    <x:xf numFmtId="0" fontId="1" fillId="0" borderId="1" xfId="0" applyFont="1" applyFill="1" applyBorder="1" applyAlignment="1">
      <x:alignment horizontal="left" vertical="center" wrapText="1"/>
    </x:xf>
    <x:xf numFmtId="177" fontId="1" fillId="0" borderId="1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 applyAlignment="1">
      <x:alignment horizontal="left" vertical="center" wrapText="1"/>
    </x:xf>
    <x:xf numFmtId="177" fontId="1" fillId="0" borderId="1" xfId="0" applyNumberFormat="1" applyFont="1" applyFill="1" applyBorder="1" applyAlignment="1">
      <x:alignment horizontal="left" vertical="center"/>
    </x:xf>
    <x:xf numFmtId="0" fontId="1" fillId="0" borderId="1" xfId="0" applyFont="1" applyFill="1" applyBorder="1" applyAlignment="1">
      <x:alignment horizontal="center" vertical="center" wrapText="1"/>
    </x:xf>
    <x:xf numFmtId="177" fontId="1" fillId="0" borderId="1" xfId="0" applyNumberFormat="1" applyFont="1" applyFill="1" applyBorder="1" applyAlignment="1">
      <x:alignment horizontal="center" vertical="center"/>
    </x:xf>
    <x:xf numFmtId="0" fontId="5" fillId="0" borderId="1" xfId="0" applyFont="1" applyFill="1" applyBorder="1" applyAlignment="1">
      <x:alignment horizontal="center" vertical="center" wrapText="1"/>
    </x:xf>
    <x:xf numFmtId="0" fontId="2" fillId="0" borderId="1" xfId="0" applyFont="1" applyFill="1" applyBorder="1" applyAlignment="1">
      <x:alignment horizontal="left" vertical="center"/>
    </x:xf>
    <x:xf numFmtId="178" fontId="1" fillId="0" borderId="1" xfId="0" applyNumberFormat="1" applyFont="1" applyFill="1" applyBorder="1" applyAlignment="1">
      <x:alignment horizontal="center" vertical="center"/>
    </x:xf>
    <x:xf numFmtId="0" fontId="2" fillId="0" borderId="1" xfId="0" applyFont="1" applyFill="1" applyBorder="1" applyAlignment="1">
      <x:alignment horizontal="left" vertical="center"/>
    </x:xf>
    <x:xf numFmtId="180" fontId="5" fillId="0" borderId="1" xfId="0" applyNumberFormat="1" applyFont="1" applyFill="1" applyBorder="1" applyAlignment="1">
      <x:alignment horizontal="center" vertical="center" wrapText="1"/>
    </x:xf>
    <x:xf numFmtId="179" fontId="1" fillId="0" borderId="0" xfId="0" applyNumberFormat="1" applyFont="1" applyFill="1" applyBorder="1" applyAlignment="1">
      <x:alignment horizontal="left" vertical="center" wrapText="1"/>
    </x:xf>
    <x:xf numFmtId="180" fontId="5" fillId="0" borderId="1" xfId="0" applyNumberFormat="1" applyFont="1" applyFill="1" applyBorder="1" applyAlignment="1">
      <x:alignment horizontal="left" vertical="center" wrapText="1"/>
    </x:xf>
    <x:xf numFmtId="0" fontId="1" fillId="0" borderId="2" xfId="0" applyFont="1" applyFill="1" applyBorder="1" applyAlignment="1">
      <x:alignment horizontal="left" vertical="center" wrapText="1"/>
    </x:xf>
    <x:xf numFmtId="176" fontId="1" fillId="0" borderId="1" xfId="0" applyNumberFormat="1" applyFont="1" applyFill="1" applyBorder="1" applyAlignment="1">
      <x:alignment horizontal="center" vertical="center"/>
    </x:xf>
    <x:xf numFmtId="176" fontId="1" fillId="4" borderId="1" xfId="0" applyNumberFormat="1" applyFont="1" applyFill="1" applyBorder="1" applyAlignment="1">
      <x:alignment horizontal="center" vertical="center"/>
    </x:xf>
    <x:xf numFmtId="179" fontId="6" fillId="4" borderId="1" xfId="0" applyNumberFormat="1" applyFont="1" applyFill="1" applyBorder="1" applyAlignment="1">
      <x:alignment horizontal="center" vertical="center"/>
    </x:xf>
    <x:xf numFmtId="0" fontId="7" fillId="0" borderId="0" xfId="0" applyFont="1" applyFill="1" applyBorder="1" applyAlignment="1">
      <x:alignment vertical="center"/>
    </x:xf>
    <x:xf numFmtId="0" fontId="8" fillId="0" borderId="0" xfId="0" applyFont="1" applyFill="1" applyBorder="1" applyAlignment="1">
      <x:alignment vertical="center"/>
    </x:xf>
    <x:xf numFmtId="181" fontId="7" fillId="0" borderId="0" xfId="0" applyNumberFormat="1" applyFont="1" applyFill="1" applyBorder="1" applyAlignment="1">
      <x:alignment horizontal="center" vertical="center"/>
    </x:xf>
    <x:xf numFmtId="181" fontId="7" fillId="0" borderId="0" xfId="0" applyNumberFormat="1" applyFont="1" applyFill="1" applyBorder="1" applyAlignment="1">
      <x:alignment vertical="center"/>
    </x:xf>
    <x:xf numFmtId="179" fontId="7" fillId="0" borderId="0" xfId="0" applyNumberFormat="1" applyFont="1" applyFill="1" applyBorder="1" applyAlignment="1">
      <x:alignment vertical="center"/>
    </x:xf>
    <x:xf numFmtId="49" fontId="7" fillId="0" borderId="1" xfId="0" applyNumberFormat="1" applyFont="1" applyFill="1" applyBorder="1" applyAlignment="1">
      <x:alignment horizontal="center" vertical="center"/>
    </x:xf>
    <x:xf numFmtId="181" fontId="7" fillId="0" borderId="1" xfId="0" applyNumberFormat="1" applyFont="1" applyFill="1" applyBorder="1" applyAlignment="1">
      <x:alignment horizontal="center" vertical="center"/>
    </x:xf>
    <x:xf numFmtId="49" fontId="7" fillId="0" borderId="1" xfId="0" applyNumberFormat="1" applyFont="1" applyFill="1" applyBorder="1" applyAlignment="1">
      <x:alignment vertical="center"/>
    </x:xf>
    <x:xf numFmtId="181" fontId="7" fillId="0" borderId="1" xfId="0" applyNumberFormat="1" applyFont="1" applyFill="1" applyBorder="1" applyAlignment="1">
      <x:alignment vertical="center"/>
    </x:xf>
    <x:xf numFmtId="181" fontId="7" fillId="0" borderId="1" xfId="0" applyNumberFormat="1" applyFont="1" applyFill="1" applyBorder="1" applyAlignment="1">
      <x:alignment horizontal="left" vertical="center"/>
    </x:xf>
    <x:xf numFmtId="49" fontId="7" fillId="0" borderId="1" xfId="0" applyNumberFormat="1" applyFont="1" applyFill="1" applyBorder="1" applyAlignment="1">
      <x:alignment horizontal="left" vertical="center"/>
    </x:xf>
    <x:xf numFmtId="0" fontId="7" fillId="5" borderId="1" xfId="0" applyFont="1" applyFill="1" applyBorder="1" applyAlignment="1">
      <x:alignment horizontal="center" vertical="center"/>
    </x:xf>
    <x:xf numFmtId="181" fontId="7" fillId="5" borderId="1" xfId="0" applyNumberFormat="1" applyFont="1" applyFill="1" applyBorder="1" applyAlignment="1">
      <x:alignment horizontal="center" vertical="center"/>
    </x:xf>
    <x:xf numFmtId="0" fontId="7" fillId="0" borderId="1" xfId="0" applyFont="1" applyFill="1" applyBorder="1" applyAlignment="1">
      <x:alignment horizontal="left" vertical="center"/>
    </x:xf>
    <x:xf numFmtId="0" fontId="7" fillId="0" borderId="1" xfId="0" applyFont="1" applyFill="1" applyBorder="1" applyAlignment="1">
      <x:alignment vertical="center"/>
    </x:xf>
    <x:xf numFmtId="0" fontId="7" fillId="0" borderId="1" xfId="0" applyFont="1" applyFill="1" applyBorder="1" applyAlignment="1">
      <x:alignment horizontal="left" vertical="center" wrapText="1"/>
    </x:xf>
    <x:xf numFmtId="0" fontId="7" fillId="4" borderId="1" xfId="0" applyFont="1" applyFill="1" applyBorder="1" applyAlignment="1">
      <x:alignment vertical="center" wrapText="1"/>
    </x:xf>
    <x:xf numFmtId="0" fontId="7" fillId="4" borderId="1" xfId="0" applyFont="1" applyFill="1" applyBorder="1" applyAlignment="1">
      <x:alignment vertical="center"/>
    </x:xf>
    <x:xf numFmtId="0" fontId="7" fillId="0" borderId="1" xfId="0" applyFont="1" applyFill="1" applyBorder="1" applyAlignment="1">
      <x:alignment horizontal="center" vertical="center"/>
    </x:xf>
    <x:xf numFmtId="0" fontId="9" fillId="0" borderId="1" xfId="0" applyFont="1" applyFill="1" applyBorder="1" applyAlignment="1">
      <x:alignment horizontal="center" vertical="center"/>
    </x:xf>
    <x:xf numFmtId="181" fontId="9" fillId="0" borderId="1" xfId="0" applyNumberFormat="1" applyFont="1" applyFill="1" applyBorder="1" applyAlignment="1">
      <x:alignment horizontal="center" vertical="center"/>
    </x:xf>
    <x:xf numFmtId="0" fontId="9" fillId="4" borderId="1" xfId="0" applyFont="1" applyFill="1" applyBorder="1" applyAlignment="1">
      <x:alignment horizontal="center" vertical="center"/>
    </x:xf>
    <x:xf numFmtId="0" fontId="8" fillId="0" borderId="1" xfId="0" applyFont="1" applyFill="1" applyBorder="1" applyAlignment="1">
      <x:alignment horizontal="center" vertical="center"/>
    </x:xf>
    <x:xf numFmtId="179" fontId="8" fillId="0" borderId="0" xfId="0" applyNumberFormat="1" applyFont="1" applyFill="1" applyBorder="1" applyAlignment="1">
      <x:alignment vertical="center"/>
    </x:xf>
    <x:xf numFmtId="0" fontId="7" fillId="0" borderId="3" xfId="0" applyFont="1" applyFill="1" applyBorder="1" applyAlignment="1">
      <x:alignment horizontal="center" vertical="center"/>
    </x:xf>
    <x:xf numFmtId="181" fontId="7" fillId="2" borderId="3" xfId="0" applyNumberFormat="1" applyFont="1" applyFill="1" applyBorder="1" applyAlignment="1">
      <x:alignment horizontal="center" vertical="center"/>
    </x:xf>
    <x:xf numFmtId="181" fontId="8" fillId="0" borderId="1" xfId="0" applyNumberFormat="1" applyFont="1" applyFill="1" applyBorder="1" applyAlignment="1">
      <x:alignment horizontal="center" vertical="center" wrapText="1"/>
    </x:xf>
    <x:xf numFmtId="0" fontId="7" fillId="0" borderId="1" xfId="0" applyFont="1" applyFill="1" applyBorder="1" applyAlignment="1">
      <x:alignment horizontal="center" vertical="center" wrapText="1"/>
    </x:xf>
    <x:xf numFmtId="182" fontId="8" fillId="0" borderId="1" xfId="0" applyNumberFormat="1" applyFont="1" applyFill="1" applyBorder="1" applyAlignment="1">
      <x:alignment horizontal="center" vertical="center" wrapText="1"/>
    </x:xf>
    <x:xf numFmtId="0" fontId="7" fillId="2" borderId="1" xfId="0" applyFont="1" applyFill="1" applyBorder="1" applyAlignment="1">
      <x:alignment horizontal="left" vertical="center" wrapText="1"/>
    </x:xf>
    <x:xf numFmtId="0" fontId="7" fillId="0" borderId="4" xfId="0" applyFont="1" applyFill="1" applyBorder="1" applyAlignment="1">
      <x:alignment vertical="center"/>
    </x:xf>
    <x:xf numFmtId="0" fontId="7" fillId="0" borderId="4" xfId="0" applyFont="1" applyFill="1" applyBorder="1" applyAlignment="1">
      <x:alignment horizontal="center" vertical="center"/>
    </x:xf>
    <x:xf numFmtId="0" fontId="7" fillId="0" borderId="5" xfId="0" applyFont="1" applyFill="1" applyBorder="1" applyAlignment="1">
      <x:alignment horizontal="center" vertical="center"/>
    </x:xf>
    <x:xf numFmtId="0" fontId="7" fillId="0" borderId="3" xfId="0" applyFont="1" applyFill="1" applyBorder="1" applyAlignment="1">
      <x:alignment vertical="center"/>
    </x:xf>
    <x:xf numFmtId="181" fontId="7" fillId="2" borderId="1" xfId="0" applyNumberFormat="1" applyFont="1" applyFill="1" applyBorder="1" applyAlignment="1">
      <x:alignment horizontal="center" vertical="center"/>
    </x:xf>
    <x:xf numFmtId="0" fontId="7" fillId="0" borderId="1" xfId="0" applyFont="1" applyFill="1" applyBorder="1" applyAlignment="1">
      <x:alignment vertical="center" wrapText="1"/>
    </x:xf>
    <x:xf numFmtId="182" fontId="8" fillId="0" borderId="6" xfId="0" applyNumberFormat="1" applyFont="1" applyFill="1" applyBorder="1" applyAlignment="1">
      <x:alignment horizontal="center" vertical="center" wrapText="1"/>
    </x:xf>
    <x:xf numFmtId="0" fontId="8" fillId="2" borderId="1" xfId="0" applyFont="1" applyFill="1" applyBorder="1" applyAlignment="1">
      <x:alignment horizontal="left" vertical="center" wrapText="1"/>
    </x:xf>
    <x:xf numFmtId="0" fontId="9" fillId="0" borderId="7" xfId="0" applyFont="1" applyFill="1" applyBorder="1" applyAlignment="1">
      <x:alignment horizontal="center" vertical="center" wrapText="1"/>
    </x:xf>
    <x:xf numFmtId="0" fontId="7" fillId="0" borderId="8" xfId="0" applyFont="1" applyFill="1" applyBorder="1" applyAlignment="1">
      <x:alignment vertical="center"/>
    </x:xf>
    <x:xf numFmtId="0" fontId="7" fillId="4" borderId="8" xfId="0" applyFont="1" applyFill="1" applyBorder="1" applyAlignment="1">
      <x:alignment horizontal="center" vertical="center" wrapText="1"/>
    </x:xf>
    <x:xf numFmtId="181" fontId="7" fillId="4" borderId="8" xfId="0" applyNumberFormat="1" applyFont="1" applyFill="1" applyBorder="1" applyAlignment="1">
      <x:alignment horizontal="center" vertical="center"/>
    </x:xf>
    <x:xf numFmtId="0" fontId="8" fillId="2" borderId="1" xfId="0" applyFont="1" applyFill="1" applyBorder="1" applyAlignment="1">
      <x:alignment vertical="center" wrapText="1"/>
    </x:xf>
    <x:xf numFmtId="0" fontId="7" fillId="2" borderId="1" xfId="0" applyFont="1" applyFill="1" applyBorder="1" applyAlignment="1">
      <x:alignment horizontal="center" vertical="center" wrapText="1"/>
    </x:xf>
    <x:xf numFmtId="0" fontId="7" fillId="2" borderId="1" xfId="0" applyFont="1" applyFill="1" applyBorder="1" applyAlignment="1">
      <x:alignment vertical="center"/>
    </x:xf>
    <x:xf numFmtId="181" fontId="7" fillId="2" borderId="1" xfId="0" applyNumberFormat="1" applyFont="1" applyFill="1" applyBorder="1" applyAlignment="1">
      <x:alignment vertical="center"/>
    </x:xf>
    <x:xf numFmtId="0" fontId="7" fillId="2" borderId="1" xfId="0" applyFont="1" applyFill="1" applyBorder="1" applyAlignment="1">
      <x:alignment horizontal="left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ae4c430db74887" /><Relationship Type="http://schemas.openxmlformats.org/officeDocument/2006/relationships/theme" Target="/xl/theme/theme1.xml" Id="Rc428c71b5dcc4ab7" /><Relationship Type="http://schemas.openxmlformats.org/officeDocument/2006/relationships/sharedStrings" Target="/xl/sharedStrings.xml" Id="R54a71f8cbb904163" /><Relationship Type="http://schemas.openxmlformats.org/officeDocument/2006/relationships/worksheet" Target="/xl/worksheets/sheet1.xml" Id="Re9c2762069c14455" /><Relationship Type="http://schemas.openxmlformats.org/officeDocument/2006/relationships/worksheet" Target="/xl/worksheets/sheet2.xml" Id="R4bac47c3405c42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b1cf10352d3473c" /><Relationship Type="http://schemas.openxmlformats.org/officeDocument/2006/relationships/image" Target="/xl/media/image2.png" Id="R6c9332edb67c4977" /><Relationship Type="http://schemas.openxmlformats.org/officeDocument/2006/relationships/image" Target="/xl/media/image3.png" Id="R0fc7678a39b14348" /><Relationship Type="http://schemas.openxmlformats.org/officeDocument/2006/relationships/image" Target="/xl/media/image4.png" Id="Re1b1d44384d14778" /><Relationship Type="http://schemas.openxmlformats.org/officeDocument/2006/relationships/image" Target="/xl/media/image5.png" Id="R7a2123aa73f04fb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6.png" Id="R1c02809e1a9d4712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442595</xdr:colOff>
      <xdr:row>10</xdr:row>
      <xdr:rowOff>176530</xdr:rowOff>
    </xdr:from>
    <xdr:to>
      <xdr:col>0</xdr:col>
      <xdr:colOff>654685</xdr:colOff>
      <xdr:row>10</xdr:row>
      <xdr:rowOff>440690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1cf10352d347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398780</xdr:colOff>
      <xdr:row>11</xdr:row>
      <xdr:rowOff>145415</xdr:rowOff>
    </xdr:from>
    <xdr:to>
      <xdr:col>0</xdr:col>
      <xdr:colOff>697865</xdr:colOff>
      <xdr:row>11</xdr:row>
      <xdr:rowOff>471805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9332edb67c49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386080</xdr:colOff>
      <xdr:row>12</xdr:row>
      <xdr:rowOff>167005</xdr:rowOff>
    </xdr:from>
    <xdr:to>
      <xdr:col>0</xdr:col>
      <xdr:colOff>710565</xdr:colOff>
      <xdr:row>12</xdr:row>
      <xdr:rowOff>450215</xdr:rowOff>
    </xdr:to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c7678a39b143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385445</xdr:colOff>
      <xdr:row>13</xdr:row>
      <xdr:rowOff>135890</xdr:rowOff>
    </xdr:from>
    <xdr:to>
      <xdr:col>0</xdr:col>
      <xdr:colOff>710565</xdr:colOff>
      <xdr:row>13</xdr:row>
      <xdr:rowOff>481330</xdr:rowOff>
    </xdr:to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b1d44384d147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362585</xdr:colOff>
      <xdr:row>14</xdr:row>
      <xdr:rowOff>135890</xdr:rowOff>
    </xdr:from>
    <xdr:to>
      <xdr:col>0</xdr:col>
      <xdr:colOff>733425</xdr:colOff>
      <xdr:row>14</xdr:row>
      <xdr:rowOff>481330</xdr:rowOff>
    </xdr:to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2123aa73f04f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12</xdr:col>
      <xdr:colOff>1513205</xdr:colOff>
      <xdr:row>3</xdr:row>
      <xdr:rowOff>458470</xdr:rowOff>
    </xdr:from>
    <xdr:to>
      <xdr:col>15</xdr:col>
      <xdr:colOff>305435</xdr:colOff>
      <xdr:row>7</xdr:row>
      <xdr:rowOff>352425</xdr:rowOff>
    </xdr:to>
    <xdr:pic>
      <xdr:nvPicPr>
        <xdr:cNvPr id="1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02809e1a9d47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12</xdr:col>
      <xdr:colOff>1513205</xdr:colOff>
      <xdr:row>3</xdr:row>
      <xdr:rowOff>458470</xdr:rowOff>
    </xdr:from>
    <xdr:to>
      <xdr:col>15</xdr:col>
      <xdr:colOff>305435</xdr:colOff>
      <xdr:row>7</xdr:row>
      <xdr:rowOff>352425</xdr:rowOff>
    </xdr:to>
    <xdr:pic>
      <xdr:nvPicPr>
        <xdr:cNvPr id="2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02809e1a9d47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331d237d64942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8b47cc66a2a4919" /></Relationships>
</file>

<file path=xl/worksheets/sheet1.xml><?xml version="1.0" encoding="utf-8"?>
<x:worksheet xmlns:x="http://schemas.openxmlformats.org/spreadsheetml/2006/main">
  <x:sheetFormatPr defaultColWidth="10" defaultRowHeight="15.600000381469727"/>
  <x:cols>
    <x:col min="1" max="1" width="15.88888931274414" style="41" customWidth="1"/>
    <x:col min="2" max="2" width="30.77777862548828" style="41" customWidth="1"/>
    <x:col min="3" max="3" width="15.157407760620117" style="43" customWidth="1"/>
    <x:col min="4" max="4" width="15.935185432434082" style="44" customWidth="1"/>
    <x:col min="5" max="5" width="18.953702926635742" style="44" customWidth="1"/>
    <x:col min="6" max="6" width="19.44444465637207" style="41" customWidth="1"/>
    <x:col min="7" max="7" width="33.99074172973633" style="41" customWidth="1"/>
    <x:col min="8" max="8" width="28.11111068725586" style="45" customWidth="1"/>
    <x:col min="9" max="9" width="13.101851463317871" style="41" customWidth="0"/>
    <x:col min="10" max="16384" width="10" style="41" customWidth="0"/>
  </x:cols>
  <x:sheetData>
    <x:row r="1" s="41" customFormat="1">
      <x:c r="A1" s="46" t="s">
        <x:v>0</x:v>
      </x:c>
      <x:c r="B1" s="46"/>
      <x:c r="C1" s="47"/>
      <x:c r="D1" s="47"/>
      <x:c r="E1" s="47"/>
      <x:c r="F1" s="46"/>
      <x:c r="G1" s="46"/>
      <x:c r="H1" s="45"/>
    </x:row>
    <x:row r="2" s="41" customFormat="1" ht="26" customHeight="1">
      <x:c r="A2" s="48" t="s">
        <x:v>1</x:v>
      </x:c>
      <x:c r="B2" s="48"/>
      <x:c r="C2" s="47"/>
      <x:c r="D2" s="49"/>
      <x:c r="E2" s="49"/>
      <x:c r="F2" s="48"/>
      <x:c r="G2" s="48"/>
      <x:c r="H2" s="45"/>
    </x:row>
    <x:row r="3" s="41" customFormat="1" ht="26" customHeight="1">
      <x:c r="A3" s="48" t="s">
        <x:v>2</x:v>
      </x:c>
      <x:c r="B3" s="48"/>
      <x:c r="C3" s="47"/>
      <x:c r="D3" s="49"/>
      <x:c r="E3" s="49"/>
      <x:c r="F3" s="48"/>
      <x:c r="G3" s="48"/>
      <x:c r="H3" s="45"/>
    </x:row>
    <x:row r="4" s="41" customFormat="1" ht="26" customHeight="1">
      <x:c r="A4" s="48" t="s">
        <x:v>3</x:v>
      </x:c>
      <x:c r="B4" s="48"/>
      <x:c r="C4" s="47"/>
      <x:c r="D4" s="50"/>
      <x:c r="E4" s="50"/>
      <x:c r="F4" s="51"/>
      <x:c r="G4" s="51"/>
      <x:c r="H4" s="45"/>
    </x:row>
    <x:row r="5" s="41" customFormat="1" ht="26" customHeight="1">
      <x:c r="A5" s="51" t="s">
        <x:v>4</x:v>
      </x:c>
      <x:c r="B5" s="51"/>
      <x:c r="C5" s="47"/>
      <x:c r="D5" s="50"/>
      <x:c r="E5" s="50"/>
      <x:c r="F5" s="51"/>
      <x:c r="G5" s="51"/>
      <x:c r="H5" s="45"/>
    </x:row>
    <x:row r="6" s="41" customFormat="1" ht="37" customHeight="1">
      <x:c r="A6" s="52" t="s">
        <x:v>5</x:v>
      </x:c>
      <x:c r="B6" s="52"/>
      <x:c r="C6" s="47"/>
      <x:c r="D6" s="47"/>
      <x:c r="E6" s="53"/>
      <x:c r="F6" s="52"/>
      <x:c r="G6" s="52"/>
      <x:c r="H6" s="45"/>
    </x:row>
    <x:row r="7" s="41" customFormat="1" ht="53" customHeight="1">
      <x:c r="A7" s="54" t="s">
        <x:v>6</x:v>
      </x:c>
      <x:c r="B7" s="54"/>
      <x:c r="C7" s="47"/>
      <x:c r="D7" s="50"/>
      <x:c r="E7" s="50"/>
      <x:c r="F7" s="54"/>
      <x:c r="G7" s="55" t="s">
        <x:v>7</x:v>
      </x:c>
      <x:c r="H7" s="45"/>
    </x:row>
    <x:row r="8" s="41" customFormat="1" ht="53" customHeight="1">
      <x:c r="A8" s="56" t="s">
        <x:v>8</x:v>
      </x:c>
      <x:c r="B8" s="57" t="s">
        <x:v>9</x:v>
      </x:c>
      <x:c r="C8" s="47"/>
      <x:c r="D8" s="49"/>
      <x:c r="E8" s="49"/>
      <x:c r="F8" s="55"/>
      <x:c r="G8" s="58" t="s">
        <x:v>10</x:v>
      </x:c>
      <x:c r="H8" s="45"/>
    </x:row>
    <x:row r="9" s="42" customFormat="1" ht="53" customHeight="1">
      <x:c r="A9" s="59" t="s">
        <x:v>11</x:v>
      </x:c>
      <x:c r="B9" s="60" t="s">
        <x:v>12</x:v>
      </x:c>
      <x:c r="C9" s="61" t="s">
        <x:v>13</x:v>
      </x:c>
      <x:c r="D9" s="60" t="s">
        <x:v>14</x:v>
      </x:c>
      <x:c r="E9" s="62" t="s">
        <x:v>15</x:v>
      </x:c>
      <x:c r="F9" s="63" t="s">
        <x:v>16</x:v>
      </x:c>
      <x:c r="G9" s="59" t="s">
        <x:v>16</x:v>
      </x:c>
      <x:c r="H9" s="64"/>
    </x:row>
    <x:row r="10" s="41" customFormat="1" ht="48" customHeight="1">
      <x:c r="A10" s="55"/>
      <x:c r="B10" s="65" t="str">
        <x:f>'明细260707'!A2</x:f>
        <x:v>8寸紫色土豆蝙蝠</x:v>
      </x:c>
      <x:c r="C10" s="66" t="n">
        <x:f>'明细260707'!K28</x:f>
        <x:v>41.90015081228894</x:v>
      </x:c>
      <x:c r="D10" s="67">
        <x:f>IF(C10="","",C10*1.1)</x:f>
        <x:v>46.09016589351781</x:v>
      </x:c>
      <x:c r="E10" s="68"/>
      <x:c r="F10" s="69" t="s">
        <x:v>18</x:v>
      </x:c>
      <x:c r="G10" s="70" t="s">
        <x:v>19</x:v>
      </x:c>
      <x:c r="H10" s="45"/>
    </x:row>
    <x:row r="11" s="41" customFormat="1" ht="48" customHeight="1">
      <x:c r="A11" s="71"/>
      <x:c r="B11" s="72"/>
      <x:c r="C11" s="66"/>
      <x:c r="D11" s="67" t="str">
        <x:f>IF(C11="","",C11*1.1)</x:f>
        <x:v/>
      </x:c>
      <x:c r="E11" s="68"/>
      <x:c r="F11" s="69"/>
      <x:c r="G11" s="70" t="s">
        <x:v>21</x:v>
      </x:c>
      <x:c r="H11" s="45"/>
    </x:row>
    <x:row r="12" s="41" customFormat="1" ht="48" customHeight="1">
      <x:c r="A12" s="55"/>
      <x:c r="B12" s="73"/>
      <x:c r="C12" s="47"/>
      <x:c r="D12" s="67" t="str">
        <x:f>IF(C12="","",C12*1.1)</x:f>
        <x:v/>
      </x:c>
      <x:c r="E12" s="74"/>
      <x:c r="F12" s="69"/>
      <x:c r="G12" s="70" t="s">
        <x:v>23</x:v>
      </x:c>
      <x:c r="H12" s="45"/>
    </x:row>
    <x:row r="13" s="41" customFormat="1" ht="48" customHeight="1">
      <x:c r="A13" s="71"/>
      <x:c r="B13" s="72"/>
      <x:c r="C13" s="75"/>
      <x:c r="D13" s="67" t="str">
        <x:f>IF(C13="","",C13*1.1)</x:f>
        <x:v/>
      </x:c>
      <x:c r="E13" s="76"/>
      <x:c r="F13" s="77"/>
      <x:c r="G13" s="78" t="s">
        <x:v>25</x:v>
      </x:c>
      <x:c r="H13" s="45"/>
    </x:row>
    <x:row r="14" s="41" customFormat="1" ht="48" customHeight="1">
      <x:c r="A14" s="55"/>
      <x:c r="B14" s="79"/>
      <x:c r="C14" s="66"/>
      <x:c r="D14" s="67" t="str">
        <x:f>IF(C14="","",C14*1.1)</x:f>
        <x:v/>
      </x:c>
      <x:c r="E14" s="80"/>
      <x:c r="F14" s="69"/>
      <x:c r="G14" s="78" t="s">
        <x:v>27</x:v>
      </x:c>
      <x:c r="H14" s="45"/>
    </x:row>
    <x:row r="15" s="41" customFormat="1" ht="48" customHeight="1">
      <x:c r="A15" s="55"/>
      <x:c r="B15" s="59"/>
      <x:c r="C15" s="47"/>
      <x:c r="D15" s="67" t="str">
        <x:f>IF(C15="","",C15*1.1)</x:f>
        <x:v/>
      </x:c>
      <x:c r="E15" s="55"/>
      <x:c r="F15" s="69"/>
      <x:c r="G15" s="78" t="s">
        <x:v>29</x:v>
      </x:c>
      <x:c r="H15" s="45"/>
    </x:row>
    <x:row r="16" s="41" customFormat="1" ht="48" customHeight="1">
      <x:c r="B16" s="81" t="s">
        <x:v>30</x:v>
      </x:c>
      <x:c r="C16" s="82">
        <x:f>SUM(C10:C15)</x:f>
        <x:v>41.90015081228892</x:v>
      </x:c>
      <x:c r="D16" s="82">
        <x:f>SUM(D10:D15)</x:f>
        <x:v>46.09016589351781</x:v>
      </x:c>
      <x:c r="E16" s="47"/>
      <x:c r="F16" s="69"/>
      <x:c r="G16" s="83" t="s">
        <x:v>31</x:v>
      </x:c>
      <x:c r="H16" s="45"/>
    </x:row>
    <x:row r="17" s="41" customFormat="1" ht="48" customHeight="1">
      <x:c r="A17" s="55"/>
      <x:c r="B17" s="84"/>
      <x:c r="C17" s="75"/>
      <x:c r="D17" s="75"/>
      <x:c r="E17" s="85"/>
      <x:c r="F17" s="69"/>
      <x:c r="G17" s="78" t="s">
        <x:v>32</x:v>
      </x:c>
      <x:c r="H17" s="45"/>
    </x:row>
    <x:row r="18" s="41" customFormat="1" ht="49" customHeight="1">
      <x:c r="A18" s="59" t="s">
        <x:v>33</x:v>
      </x:c>
      <x:c r="B18" s="59"/>
      <x:c r="C18" s="47"/>
      <x:c r="D18" s="49"/>
      <x:c r="E18" s="86"/>
      <x:c r="F18" s="55"/>
      <x:c r="G18" s="87" t="s">
        <x:v>34</x:v>
      </x:c>
      <x:c r="H18" s="45"/>
    </x:row>
  </x:sheetData>
  <x:mergeCells>
    <x:mergeCell ref="A1:G1"/>
    <x:mergeCell ref="A6:G6"/>
    <x:mergeCell ref="F10:F17"/>
  </x:mergeCells>
  <x:pageMargins left="0.7" right="0.7" top="0.75" bottom="0.75" header="0.3" footer="0.3"/>
  <x:drawing xmlns:r="http://schemas.openxmlformats.org/officeDocument/2006/relationships" r:id="Rf331d237d649422e"/>
</x:worksheet>
</file>

<file path=xl/worksheets/sheet2.xml><?xml version="1.0" encoding="utf-8"?>
<x:worksheet xmlns:x="http://schemas.openxmlformats.org/spreadsheetml/2006/main">
  <x:sheetFormatPr defaultColWidth="9" defaultRowHeight="20.399999618530273"/>
  <x:cols>
    <x:col min="1" max="1" width="104.44444274902344" style="2" customWidth="1"/>
    <x:col min="2" max="2" width="21.259260177612305" style="3" customWidth="1"/>
    <x:col min="3" max="3" width="12.63888931274414" style="2" customWidth="1"/>
    <x:col min="4" max="4" width="20.11111068725586" style="4" customWidth="0"/>
    <x:col min="5" max="5" width="9" style="2" customWidth="0"/>
    <x:col min="6" max="6" width="21.22222137451172" style="5" customWidth="0"/>
    <x:col min="7" max="8" width="17.55555534362793" style="6" customWidth="0"/>
    <x:col min="9" max="9" width="13.768518447875977" style="6" customWidth="1"/>
    <x:col min="10" max="10" width="15.777777671813965" style="3" customWidth="0"/>
    <x:col min="11" max="11" width="13.11111068725586" style="6" customWidth="0"/>
    <x:col min="12" max="12" width="28.351852416992188" style="2" customWidth="1"/>
    <x:col min="13" max="13" width="32.657405853271484" style="2" customWidth="1"/>
    <x:col min="14" max="14" width="9.44444465637207" style="2" customWidth="0"/>
    <x:col min="15" max="16384" width="9" style="2" customWidth="0"/>
  </x:cols>
  <x:sheetData>
    <x:row r="1" s="1" customFormat="1" ht="39" customHeight="1">
      <x:c r="A1" s="7" t="s">
        <x:v>35</x:v>
      </x:c>
      <x:c r="B1" s="8" t="s">
        <x:v>36</x:v>
      </x:c>
      <x:c r="C1" s="8" t="s">
        <x:v>37</x:v>
      </x:c>
      <x:c r="D1" s="9" t="s">
        <x:v>38</x:v>
      </x:c>
      <x:c r="E1" s="8" t="s">
        <x:v>39</x:v>
      </x:c>
      <x:c r="F1" s="10" t="s">
        <x:v>40</x:v>
      </x:c>
      <x:c r="G1" s="11" t="s">
        <x:v>41</x:v>
      </x:c>
      <x:c r="H1" s="11" t="s">
        <x:v>42</x:v>
      </x:c>
      <x:c r="I1" s="11" t="s">
        <x:v>43</x:v>
      </x:c>
      <x:c r="J1" s="12" t="s">
        <x:v>44</x:v>
      </x:c>
      <x:c r="K1" s="11" t="s">
        <x:v>45</x:v>
      </x:c>
      <x:c r="L1" s="8" t="s">
        <x:v>16</x:v>
      </x:c>
    </x:row>
    <x:row r="2" s="1" customFormat="1" ht="39" customHeight="1">
      <x:c r="A2" s="13" t="s">
        <x:v>17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 s="2" customFormat="1" ht="39" customHeight="1">
      <x:c r="A3" s="14" t="s">
        <x:v>46</x:v>
      </x:c>
      <x:c r="B3" s="15" t="s">
        <x:v>47</x:v>
      </x:c>
      <x:c r="C3" s="16" t="s">
        <x:v>48</x:v>
      </x:c>
      <x:c r="D3" s="17">
        <x:v>500</x:v>
      </x:c>
      <x:c r="E3" s="18"/>
      <x:c r="F3" s="19">
        <x:v>0.08446</x:v>
      </x:c>
      <x:c r="G3" s="20">
        <x:v>93.2</x:v>
      </x:c>
      <x:c r="H3" s="20">
        <x:v>0.85</x:v>
      </x:c>
      <x:c r="I3" s="21" t="n">
        <x:f>F3*G3/H3</x:f>
        <x:v>9.260790588235293</x:v>
      </x:c>
      <x:c r="J3" s="21">
        <x:v>1.1</x:v>
      </x:c>
      <x:c r="K3" s="21" t="n">
        <x:f t="shared" ref="K3:K27" si="0">I3*J3</x:f>
        <x:v>10.186869647058824</x:v>
      </x:c>
      <x:c r="L3" s="22"/>
    </x:row>
    <x:row r="4" s="2" customFormat="1" ht="39" customHeight="1">
      <x:c r="A4" s="23"/>
      <x:c r="B4" s="15" t="s">
        <x:v>49</x:v>
      </x:c>
      <x:c r="C4" s="24"/>
      <x:c r="D4" s="25"/>
      <x:c r="E4" s="18"/>
      <x:c r="F4" s="19">
        <x:v>0.08549</x:v>
      </x:c>
      <x:c r="G4" s="20">
        <x:v>93.2</x:v>
      </x:c>
      <x:c r="H4" s="20" t="n">
        <x:f>H3</x:f>
        <x:v>0.85</x:v>
      </x:c>
      <x:c r="I4" s="21" t="n">
        <x:f t="shared" ref="I4:I27" si="1">F4*G4/H4</x:f>
        <x:v>9.37372705882353</x:v>
      </x:c>
      <x:c r="J4" s="21">
        <x:v>1.1</x:v>
      </x:c>
      <x:c r="K4" s="21">
        <x:f t="shared" si="0"/>
        <x:v>10.3110997647059</x:v>
      </x:c>
      <x:c r="L4" s="22"/>
    </x:row>
    <x:row r="5" s="2" customFormat="1" ht="39" customHeight="1">
      <x:c r="A5" s="26"/>
      <x:c r="B5" s="15" t="s">
        <x:v>50</x:v>
      </x:c>
      <x:c r="C5" s="24"/>
      <x:c r="D5" s="27"/>
      <x:c r="E5" s="22"/>
      <x:c r="F5" s="19">
        <x:v>0.034299</x:v>
      </x:c>
      <x:c r="G5" s="20">
        <x:v>93.2</x:v>
      </x:c>
      <x:c r="H5" s="20" t="n">
        <x:f t="shared" ref="H5:H27" si="2">H4</x:f>
        <x:v>0.85</x:v>
      </x:c>
      <x:c r="I5" s="21">
        <x:f t="shared" si="1"/>
        <x:v>3.76078447058824</x:v>
      </x:c>
      <x:c r="J5" s="21">
        <x:v>1.1</x:v>
      </x:c>
      <x:c r="K5" s="21">
        <x:f t="shared" si="0"/>
        <x:v>4.13686291764706</x:v>
      </x:c>
      <x:c r="L5" s="22"/>
    </x:row>
    <x:row r="6" s="2" customFormat="1" ht="39" customHeight="1">
      <x:c r="A6" s="14" t="s">
        <x:v>51</x:v>
      </x:c>
      <x:c r="B6" s="15" t="s">
        <x:v>52</x:v>
      </x:c>
      <x:c r="C6" s="28" t="s">
        <x:v>48</x:v>
      </x:c>
      <x:c r="D6" s="29">
        <x:v>50</x:v>
      </x:c>
      <x:c r="E6" s="22"/>
      <x:c r="F6" s="19">
        <x:v>0.007828</x:v>
      </x:c>
      <x:c r="G6" s="20">
        <x:v>20.7</x:v>
      </x:c>
      <x:c r="H6" s="20">
        <x:f t="shared" si="2"/>
        <x:v>0.85</x:v>
      </x:c>
      <x:c r="I6" s="21">
        <x:f t="shared" si="1"/>
        <x:v>0.190634823529412</x:v>
      </x:c>
      <x:c r="J6" s="21">
        <x:v>1.1</x:v>
      </x:c>
      <x:c r="K6" s="21">
        <x:f t="shared" si="0"/>
        <x:v>0.209698305882353</x:v>
      </x:c>
      <x:c r="L6" s="22"/>
    </x:row>
    <x:row r="7" s="2" customFormat="1" ht="39" customHeight="1">
      <x:c r="A7" s="14"/>
      <x:c r="B7" s="30" t="s">
        <x:v>53</x:v>
      </x:c>
      <x:c r="C7" s="24"/>
      <x:c r="D7" s="27"/>
      <x:c r="E7" s="22"/>
      <x:c r="F7" s="19">
        <x:v>0.007828</x:v>
      </x:c>
      <x:c r="G7" s="20">
        <x:v>20.7</x:v>
      </x:c>
      <x:c r="H7" s="20">
        <x:f t="shared" si="2"/>
        <x:v>0.85</x:v>
      </x:c>
      <x:c r="I7" s="21">
        <x:f t="shared" si="1"/>
        <x:v>0.190634823529412</x:v>
      </x:c>
      <x:c r="J7" s="21">
        <x:v>1.1</x:v>
      </x:c>
      <x:c r="K7" s="21">
        <x:f t="shared" si="0"/>
        <x:v>0.209698305882353</x:v>
      </x:c>
      <x:c r="L7" s="22"/>
    </x:row>
    <x:row r="8" s="2" customFormat="1" ht="39" customHeight="1">
      <x:c r="A8" s="14"/>
      <x:c r="B8" s="15" t="s">
        <x:v>54</x:v>
      </x:c>
      <x:c r="C8" s="24"/>
      <x:c r="D8" s="27"/>
      <x:c r="E8" s="22"/>
      <x:c r="F8" s="19">
        <x:v>0.015656</x:v>
      </x:c>
      <x:c r="G8" s="20">
        <x:v>20.7</x:v>
      </x:c>
      <x:c r="H8" s="20">
        <x:f t="shared" si="2"/>
        <x:v>0.85</x:v>
      </x:c>
      <x:c r="I8" s="21">
        <x:f t="shared" si="1"/>
        <x:v>0.381269647058824</x:v>
      </x:c>
      <x:c r="J8" s="21">
        <x:v>1.1</x:v>
      </x:c>
      <x:c r="K8" s="21">
        <x:f t="shared" si="0"/>
        <x:v>0.419396611764706</x:v>
      </x:c>
      <x:c r="L8" s="22"/>
    </x:row>
    <x:row r="9" s="2" customFormat="1" ht="39" customHeight="1">
      <x:c r="A9" s="14"/>
      <x:c r="B9" s="15" t="s">
        <x:v>55</x:v>
      </x:c>
      <x:c r="C9" s="24"/>
      <x:c r="D9" s="27"/>
      <x:c r="E9" s="22"/>
      <x:c r="F9" s="19">
        <x:v>0.036874</x:v>
      </x:c>
      <x:c r="G9" s="20">
        <x:v>20.7</x:v>
      </x:c>
      <x:c r="H9" s="20">
        <x:f t="shared" si="2"/>
        <x:v>0.85</x:v>
      </x:c>
      <x:c r="I9" s="21">
        <x:f t="shared" si="1"/>
        <x:v>0.897990352941176</x:v>
      </x:c>
      <x:c r="J9" s="21">
        <x:v>1.1</x:v>
      </x:c>
      <x:c r="K9" s="21">
        <x:f t="shared" si="0"/>
        <x:v>0.987789388235294</x:v>
      </x:c>
      <x:c r="L9" s="22"/>
    </x:row>
    <x:row r="10" s="2" customFormat="1" ht="39" customHeight="1">
      <x:c r="A10" s="26"/>
      <x:c r="B10" s="15" t="s">
        <x:v>56</x:v>
      </x:c>
      <x:c r="C10" s="24"/>
      <x:c r="D10" s="27"/>
      <x:c r="E10" s="22"/>
      <x:c r="F10" s="19">
        <x:v>0.009888</x:v>
      </x:c>
      <x:c r="G10" s="20">
        <x:v>20.7</x:v>
      </x:c>
      <x:c r="H10" s="20">
        <x:f t="shared" si="2"/>
        <x:v>0.85</x:v>
      </x:c>
      <x:c r="I10" s="21">
        <x:f t="shared" si="1"/>
        <x:v>0.240801882352941</x:v>
      </x:c>
      <x:c r="J10" s="21">
        <x:v>1.1</x:v>
      </x:c>
      <x:c r="K10" s="21">
        <x:f t="shared" si="0"/>
        <x:v>0.264882070588235</x:v>
      </x:c>
      <x:c r="L10" s="22"/>
    </x:row>
    <x:row r="11" s="2" customFormat="1" ht="39" customHeight="1">
      <x:c r="A11" s="14" t="s">
        <x:v>57</x:v>
      </x:c>
      <x:c r="B11" s="15" t="s">
        <x:v>58</x:v>
      </x:c>
      <x:c r="C11" s="24" t="s">
        <x:v>48</x:v>
      </x:c>
      <x:c r="D11" s="27">
        <x:v>100</x:v>
      </x:c>
      <x:c r="E11" s="22"/>
      <x:c r="F11" s="19">
        <x:v>0.0321875</x:v>
      </x:c>
      <x:c r="G11" s="20">
        <x:v>20</x:v>
      </x:c>
      <x:c r="H11" s="20">
        <x:f t="shared" si="2"/>
        <x:v>0.85</x:v>
      </x:c>
      <x:c r="I11" s="21">
        <x:f t="shared" si="1"/>
        <x:v>0.757352941176471</x:v>
      </x:c>
      <x:c r="J11" s="21">
        <x:v>1.1</x:v>
      </x:c>
      <x:c r="K11" s="21">
        <x:f t="shared" si="0"/>
        <x:v>0.833088235294118</x:v>
      </x:c>
      <x:c r="L11" s="22"/>
    </x:row>
    <x:row r="12" s="2" customFormat="1" ht="39" customHeight="1">
      <x:c r="A12" s="14" t="s">
        <x:v>59</x:v>
      </x:c>
      <x:c r="B12" s="15" t="s">
        <x:v>60</x:v>
      </x:c>
      <x:c r="C12" s="24" t="s">
        <x:v>48</x:v>
      </x:c>
      <x:c r="D12" s="27">
        <x:v>100</x:v>
      </x:c>
      <x:c r="E12" s="22"/>
      <x:c r="F12" s="19">
        <x:v>0.0038744212962963</x:v>
      </x:c>
      <x:c r="G12" s="20">
        <x:v>15.3</x:v>
      </x:c>
      <x:c r="H12" s="20">
        <x:f t="shared" si="2"/>
        <x:v>0.85</x:v>
      </x:c>
      <x:c r="I12" s="21">
        <x:f t="shared" si="1"/>
        <x:v>0.0697395833333334</x:v>
      </x:c>
      <x:c r="J12" s="21">
        <x:v>1.1</x:v>
      </x:c>
      <x:c r="K12" s="21">
        <x:f t="shared" si="0"/>
        <x:v>0.0767135416666668</x:v>
      </x:c>
      <x:c r="L12" s="22"/>
    </x:row>
    <x:row r="13" s="2" customFormat="1" ht="39" customHeight="1">
      <x:c r="A13" s="14"/>
      <x:c r="B13" s="15" t="s">
        <x:v>61</x:v>
      </x:c>
      <x:c r="C13" s="24"/>
      <x:c r="D13" s="27"/>
      <x:c r="E13" s="22"/>
      <x:c r="F13" s="19">
        <x:v>0.0038744212962963</x:v>
      </x:c>
      <x:c r="G13" s="20">
        <x:v>15.3</x:v>
      </x:c>
      <x:c r="H13" s="20">
        <x:f t="shared" si="2"/>
        <x:v>0.85</x:v>
      </x:c>
      <x:c r="I13" s="21">
        <x:f t="shared" si="1"/>
        <x:v>0.0697395833333334</x:v>
      </x:c>
      <x:c r="J13" s="21">
        <x:v>1.1</x:v>
      </x:c>
      <x:c r="K13" s="21">
        <x:f t="shared" si="0"/>
        <x:v>0.0767135416666668</x:v>
      </x:c>
      <x:c r="L13" s="22"/>
    </x:row>
    <x:row r="14" s="2" customFormat="1" ht="39" customHeight="1">
      <x:c r="A14" s="26" t="s">
        <x:v>62</x:v>
      </x:c>
      <x:c r="B14" s="15" t="s">
        <x:v>63</x:v>
      </x:c>
      <x:c r="C14" s="24" t="s">
        <x:v>64</x:v>
      </x:c>
      <x:c r="D14" s="27">
        <x:v>500</x:v>
      </x:c>
      <x:c r="E14" s="22"/>
      <x:c r="F14" s="19">
        <x:v>0.00184985632183908</x:v>
      </x:c>
      <x:c r="G14" s="20">
        <x:v>56</x:v>
      </x:c>
      <x:c r="H14" s="20">
        <x:f t="shared" si="2"/>
        <x:v>0.85</x:v>
      </x:c>
      <x:c r="I14" s="21">
        <x:f t="shared" si="1"/>
        <x:v>0.121872887085869</x:v>
      </x:c>
      <x:c r="J14" s="21">
        <x:v>1.1</x:v>
      </x:c>
      <x:c r="K14" s="21">
        <x:f t="shared" si="0"/>
        <x:v>0.134060175794456</x:v>
      </x:c>
      <x:c r="L14" s="22"/>
    </x:row>
    <x:row r="15" s="2" customFormat="1" ht="39" customHeight="1">
      <x:c r="A15" s="23" t="s">
        <x:v>65</x:v>
      </x:c>
      <x:c r="B15" s="15" t="s">
        <x:v>66</x:v>
      </x:c>
      <x:c r="C15" s="24" t="s">
        <x:v>64</x:v>
      </x:c>
      <x:c r="D15" s="27">
        <x:v>500</x:v>
      </x:c>
      <x:c r="E15" s="22"/>
      <x:c r="F15" s="19">
        <x:v>0.00450360082304527</x:v>
      </x:c>
      <x:c r="G15" s="20">
        <x:v>22</x:v>
      </x:c>
      <x:c r="H15" s="20">
        <x:f t="shared" si="2"/>
        <x:v>0.85</x:v>
      </x:c>
      <x:c r="I15" s="21">
        <x:f t="shared" si="1"/>
        <x:v>0.116563786008231</x:v>
      </x:c>
      <x:c r="J15" s="21">
        <x:v>1.1</x:v>
      </x:c>
      <x:c r="K15" s="21">
        <x:f t="shared" si="0"/>
        <x:v>0.128220164609054</x:v>
      </x:c>
      <x:c r="L15" s="22"/>
    </x:row>
    <x:row r="16" s="2" customFormat="1" ht="39" customHeight="1">
      <x:c r="A16" s="31" t="s">
        <x:v>67</x:v>
      </x:c>
      <x:c r="B16" s="30"/>
      <x:c r="C16" s="24"/>
      <x:c r="D16" s="27"/>
      <x:c r="E16" s="22"/>
      <x:c r="F16" s="32">
        <x:v>2</x:v>
      </x:c>
      <x:c r="G16" s="20">
        <x:v>0.1236</x:v>
      </x:c>
      <x:c r="H16" s="20">
        <x:f t="shared" si="2"/>
        <x:v>0.85</x:v>
      </x:c>
      <x:c r="I16" s="21">
        <x:f t="shared" si="1"/>
        <x:v>0.290823529411765</x:v>
      </x:c>
      <x:c r="J16" s="21">
        <x:v>1.1</x:v>
      </x:c>
      <x:c r="K16" s="21">
        <x:f t="shared" si="0"/>
        <x:v>0.319905882352941</x:v>
      </x:c>
      <x:c r="L16" s="22"/>
    </x:row>
    <x:row r="17" s="2" customFormat="1" ht="39" customHeight="1">
      <x:c r="A17" s="33" t="s">
        <x:v>68</x:v>
      </x:c>
      <x:c r="B17" s="15"/>
      <x:c r="C17" s="24"/>
      <x:c r="D17" s="27"/>
      <x:c r="E17" s="22"/>
      <x:c r="F17" s="32">
        <x:v>29.87</x:v>
      </x:c>
      <x:c r="G17" s="32">
        <x:v>0.0029</x:v>
      </x:c>
      <x:c r="H17" s="20">
        <x:f t="shared" si="2"/>
        <x:v>0.85</x:v>
      </x:c>
      <x:c r="I17" s="21">
        <x:f t="shared" si="1"/>
        <x:v>0.101909411764706</x:v>
      </x:c>
      <x:c r="J17" s="21">
        <x:v>1.1</x:v>
      </x:c>
      <x:c r="K17" s="21">
        <x:f t="shared" si="0"/>
        <x:v>0.112100352941176</x:v>
      </x:c>
      <x:c r="L17" s="22"/>
    </x:row>
    <x:row r="18" s="2" customFormat="1" ht="39" customHeight="1">
      <x:c r="A18" s="26" t="s">
        <x:v>69</x:v>
      </x:c>
      <x:c r="B18" s="15"/>
      <x:c r="C18" s="24"/>
      <x:c r="D18" s="27"/>
      <x:c r="E18" s="22"/>
      <x:c r="F18" s="32">
        <x:v>1.648</x:v>
      </x:c>
      <x:c r="G18" s="32">
        <x:v>0.0185</x:v>
      </x:c>
      <x:c r="H18" s="20">
        <x:f t="shared" si="2"/>
        <x:v>0.85</x:v>
      </x:c>
      <x:c r="I18" s="21">
        <x:f t="shared" si="1"/>
        <x:v>0.0358682352941176</x:v>
      </x:c>
      <x:c r="J18" s="21">
        <x:v>1.1</x:v>
      </x:c>
      <x:c r="K18" s="21">
        <x:f t="shared" si="0"/>
        <x:v>0.0394550588235294</x:v>
      </x:c>
      <x:c r="L18" s="22"/>
    </x:row>
    <x:row r="19" s="2" customFormat="1" ht="39" customHeight="1">
      <x:c r="A19" s="26" t="s">
        <x:v>70</x:v>
      </x:c>
      <x:c r="B19" s="15"/>
      <x:c r="C19" s="24"/>
      <x:c r="D19" s="27"/>
      <x:c r="E19" s="22"/>
      <x:c r="F19" s="32">
        <x:v>197</x:v>
      </x:c>
      <x:c r="G19" s="32">
        <x:v>0.0085</x:v>
      </x:c>
      <x:c r="H19" s="20">
        <x:f t="shared" si="2"/>
        <x:v>0.85</x:v>
      </x:c>
      <x:c r="I19" s="21">
        <x:f t="shared" si="1"/>
        <x:v>1.97</x:v>
      </x:c>
      <x:c r="J19" s="21">
        <x:v>1.1</x:v>
      </x:c>
      <x:c r="K19" s="21">
        <x:f t="shared" si="0"/>
        <x:v>2.167</x:v>
      </x:c>
      <x:c r="L19" s="22"/>
    </x:row>
    <x:row r="20" s="2" customFormat="1" ht="39" customHeight="1">
      <x:c r="A20" s="14" t="s">
        <x:v>71</x:v>
      </x:c>
      <x:c r="B20" s="15"/>
      <x:c r="C20" s="24"/>
      <x:c r="D20" s="27"/>
      <x:c r="E20" s="22"/>
      <x:c r="F20" s="34">
        <x:v>2</x:v>
      </x:c>
      <x:c r="G20" s="32">
        <x:v>0.3605</x:v>
      </x:c>
      <x:c r="H20" s="20">
        <x:f t="shared" si="2"/>
        <x:v>0.85</x:v>
      </x:c>
      <x:c r="I20" s="21">
        <x:f t="shared" si="1"/>
        <x:v>0.848235294117647</x:v>
      </x:c>
      <x:c r="J20" s="21">
        <x:v>1.1</x:v>
      </x:c>
      <x:c r="K20" s="21">
        <x:f t="shared" si="0"/>
        <x:v>0.933058823529412</x:v>
      </x:c>
      <x:c r="L20" s="22"/>
    </x:row>
    <x:row r="21" s="2" customFormat="1" ht="39" customHeight="1">
      <x:c r="A21" s="14" t="s">
        <x:v>72</x:v>
      </x:c>
      <x:c r="B21" s="15"/>
      <x:c r="C21" s="24"/>
      <x:c r="D21" s="27"/>
      <x:c r="E21" s="22"/>
      <x:c r="F21" s="34">
        <x:v>2</x:v>
      </x:c>
      <x:c r="G21" s="32">
        <x:v>0.3605</x:v>
      </x:c>
      <x:c r="H21" s="20">
        <x:f t="shared" si="2"/>
        <x:v>0.85</x:v>
      </x:c>
      <x:c r="I21" s="21">
        <x:f t="shared" si="1"/>
        <x:v>0.848235294117647</x:v>
      </x:c>
      <x:c r="J21" s="21">
        <x:v>1.1</x:v>
      </x:c>
      <x:c r="K21" s="21">
        <x:f t="shared" si="0"/>
        <x:v>0.933058823529412</x:v>
      </x:c>
      <x:c r="L21" s="22"/>
    </x:row>
    <x:row r="22" s="2" customFormat="1" ht="39" customHeight="1">
      <x:c r="A22" s="14" t="s">
        <x:v>73</x:v>
      </x:c>
      <x:c r="B22" s="15"/>
      <x:c r="C22" s="24"/>
      <x:c r="D22" s="27"/>
      <x:c r="E22" s="22"/>
      <x:c r="F22" s="34">
        <x:v>1</x:v>
      </x:c>
      <x:c r="G22" s="32">
        <x:v>1.133</x:v>
      </x:c>
      <x:c r="H22" s="20">
        <x:f t="shared" si="2"/>
        <x:v>0.85</x:v>
      </x:c>
      <x:c r="I22" s="21">
        <x:f t="shared" si="1"/>
        <x:v>1.33294117647059</x:v>
      </x:c>
      <x:c r="J22" s="21">
        <x:v>1.1</x:v>
      </x:c>
      <x:c r="K22" s="21">
        <x:f t="shared" si="0"/>
        <x:v>1.46623529411765</x:v>
      </x:c>
      <x:c r="L22" s="22"/>
    </x:row>
    <x:row r="23" s="2" customFormat="1" ht="39" customHeight="1">
      <x:c r="A23" s="14" t="s">
        <x:v>74</x:v>
      </x:c>
      <x:c r="B23" s="15"/>
      <x:c r="C23" s="24"/>
      <x:c r="D23" s="27"/>
      <x:c r="E23" s="22"/>
      <x:c r="F23" s="34">
        <x:v>1</x:v>
      </x:c>
      <x:c r="G23" s="32">
        <x:v>0.4635</x:v>
      </x:c>
      <x:c r="H23" s="20">
        <x:f t="shared" si="2"/>
        <x:v>0.85</x:v>
      </x:c>
      <x:c r="I23" s="21">
        <x:f t="shared" si="1"/>
        <x:v>0.545294117647059</x:v>
      </x:c>
      <x:c r="J23" s="21">
        <x:v>1.1</x:v>
      </x:c>
      <x:c r="K23" s="21">
        <x:f t="shared" si="0"/>
        <x:v>0.599823529411765</x:v>
      </x:c>
      <x:c r="L23" s="22"/>
      <x:c r="M23" s="35"/>
    </x:row>
    <x:row r="24" s="2" customFormat="1" ht="39" customHeight="1">
      <x:c r="A24" s="36" t="s">
        <x:v>75</x:v>
      </x:c>
      <x:c r="B24" s="34"/>
      <x:c r="C24" s="24"/>
      <x:c r="D24" s="27"/>
      <x:c r="E24" s="22"/>
      <x:c r="F24" s="32"/>
      <x:c r="G24" s="20"/>
      <x:c r="H24" s="20">
        <x:f t="shared" si="2"/>
        <x:v>0.85</x:v>
      </x:c>
      <x:c r="I24" s="21">
        <x:f t="shared" si="1"/>
        <x:v>0</x:v>
      </x:c>
      <x:c r="J24" s="21">
        <x:v>1.1</x:v>
      </x:c>
      <x:c r="K24" s="21">
        <x:f t="shared" si="0"/>
        <x:v>0</x:v>
      </x:c>
      <x:c r="L24" s="22"/>
      <x:c r="M24" s="35"/>
    </x:row>
    <x:row r="25" s="2" customFormat="1" ht="39" customHeight="1">
      <x:c r="A25" s="24" t="s">
        <x:v>76</x:v>
      </x:c>
      <x:c r="B25" s="28"/>
      <x:c r="C25" s="24"/>
      <x:c r="D25" s="27"/>
      <x:c r="E25" s="22"/>
      <x:c r="F25" s="34">
        <x:v>1</x:v>
      </x:c>
      <x:c r="G25" s="32">
        <x:v>0.397961200244785</x:v>
      </x:c>
      <x:c r="H25" s="20">
        <x:f t="shared" si="2"/>
        <x:v>0.85</x:v>
      </x:c>
      <x:c r="I25" s="21">
        <x:f t="shared" si="1"/>
        <x:v>0.468189647346806</x:v>
      </x:c>
      <x:c r="J25" s="21">
        <x:v>1.1</x:v>
      </x:c>
      <x:c r="K25" s="21">
        <x:f t="shared" si="0"/>
        <x:v>0.515008612081487</x:v>
      </x:c>
      <x:c r="L25" s="22"/>
      <x:c r="M25" s="35"/>
    </x:row>
    <x:row r="26" s="2" customFormat="1" ht="39" customHeight="1">
      <x:c r="A26" s="37" t="s">
        <x:v>77</x:v>
      </x:c>
      <x:c r="B26" s="28"/>
      <x:c r="C26" s="24"/>
      <x:c r="D26" s="27"/>
      <x:c r="E26" s="22"/>
      <x:c r="F26" s="34">
        <x:v>1</x:v>
      </x:c>
      <x:c r="G26" s="32">
        <x:v>3.69</x:v>
      </x:c>
      <x:c r="H26" s="20">
        <x:f t="shared" si="2"/>
        <x:v>0.85</x:v>
      </x:c>
      <x:c r="I26" s="21">
        <x:f t="shared" si="1"/>
        <x:v>4.34117647058823</x:v>
      </x:c>
      <x:c r="J26" s="21">
        <x:v>1.1</x:v>
      </x:c>
      <x:c r="K26" s="21">
        <x:f t="shared" si="0"/>
        <x:v>4.77529411764706</x:v>
      </x:c>
      <x:c r="L26" s="22"/>
    </x:row>
    <x:row r="27" s="2" customFormat="1" ht="39" customHeight="1">
      <x:c r="A27" s="37" t="s">
        <x:v>78</x:v>
      </x:c>
      <x:c r="B27" s="28"/>
      <x:c r="C27" s="24"/>
      <x:c r="D27" s="27"/>
      <x:c r="E27" s="22"/>
      <x:c r="F27" s="34">
        <x:v>1</x:v>
      </x:c>
      <x:c r="G27" s="32">
        <x:v>1.595</x:v>
      </x:c>
      <x:c r="H27" s="20">
        <x:f t="shared" si="2"/>
        <x:v>0.85</x:v>
      </x:c>
      <x:c r="I27" s="21">
        <x:f t="shared" si="1"/>
        <x:v>1.87647058823529</x:v>
      </x:c>
      <x:c r="J27" s="21">
        <x:v>1.1</x:v>
      </x:c>
      <x:c r="K27" s="21">
        <x:f t="shared" si="0"/>
        <x:v>2.06411764705882</x:v>
      </x:c>
      <x:c r="L27" s="22"/>
    </x:row>
    <x:row r="28" s="2" customFormat="1" ht="39" customHeight="1">
      <x:c r="A28" s="22"/>
      <x:c r="B28" s="38"/>
      <x:c r="C28" s="22"/>
      <x:c r="D28" s="27"/>
      <x:c r="E28" s="22"/>
      <x:c r="F28" s="32"/>
      <x:c r="G28" s="21"/>
      <x:c r="H28" s="21"/>
      <x:c r="I28" s="21"/>
      <x:c r="J28" s="39" t="s">
        <x:v>30</x:v>
      </x:c>
      <x:c r="K28" s="40" t="n">
        <x:f>SUM(K3:K27)</x:f>
        <x:v>41.90015081228894</x:v>
      </x:c>
      <x:c r="L28" s="22"/>
    </x:row>
  </x:sheetData>
  <x:pageMargins left="0.7" right="0.7" top="0.75" bottom="0.75" header="0.3" footer="0.3"/>
  <x:drawing xmlns:r="http://schemas.openxmlformats.org/officeDocument/2006/relationships" r:id="R38b47cc66a2a4919"/>
</x:worksheet>
</file>