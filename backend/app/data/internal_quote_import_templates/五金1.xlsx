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外购" sheetId="1" r:id="rId1"/>
  </sheets>
  <externalReferences>
    <externalReference r:id="rId2"/>
    <externalReference r:id="rId3"/>
  </externalReferences>
  <definedNames>
    <definedName name="EE">#REF!</definedName>
    <definedName name="Fabric">#REF!</definedName>
    <definedName name="Labour">#REF!</definedName>
    <definedName name="Others">#REF!</definedName>
    <definedName name="PKG">#REF!</definedName>
    <definedName name="Purchase">#REF!</definedName>
    <definedName name="Resin">#REF!</definedName>
    <definedName name="cavity">'[1]Form-003'!#REF!</definedName>
    <definedName name="\d">#REF!</definedName>
    <definedName name="cycle.time">'[1]Form-003'!#REF!</definedName>
    <definedName name="mold.color">'[1]Form-003'!#REF!</definedName>
    <definedName name="mold.cost">'[1]Form-003'!#REF!</definedName>
    <definedName name="mold.height">'[1]Form-003'!#REF!</definedName>
    <definedName name="mold.length">'[1]Form-003'!#REF!</definedName>
    <definedName name="mold.material">'[1]Form-003'!#REF!</definedName>
    <definedName name="mold.name">'[1]Form-003'!#REF!</definedName>
    <definedName name="mold.number">'[1]Form-003'!#REF!</definedName>
    <definedName name="mold.partweight">'[1]Form-003'!#REF!</definedName>
    <definedName name="mold.usage">'[1]Form-003'!#REF!</definedName>
    <definedName name="mold.width">'[1]Form-003'!#REF!</definedName>
    <definedName name="part.list">'[1]Form-003'!#REF!</definedName>
    <definedName name="Prepared.By">'[1]Form-003'!#REF!</definedName>
    <definedName name="Ref.Number">'[1]Form-003'!#REF!</definedName>
    <definedName name="Revised.By">'[1]Form-003'!#REF!</definedName>
    <definedName name="tool.plan">'[1]Form-003'!#REF!</definedName>
    <definedName name="up">'[1]Form-003'!#REF!</definedName>
    <definedName name="Vendor">'[1]Form-003'!#REF!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<sst xmlns="http://schemas.openxmlformats.org/spreadsheetml/2006/main" count="67" uniqueCount="42">
  <si>
    <t>編製</t>
  </si>
  <si>
    <t>審核</t>
  </si>
  <si>
    <t>批   准</t>
  </si>
  <si>
    <t>持有部门</t>
  </si>
  <si>
    <t>分发号</t>
  </si>
  <si>
    <t>生效日期</t>
  </si>
  <si>
    <t>（五金电子部分）</t>
  </si>
  <si>
    <t>货号:1</t>
  </si>
  <si>
    <t>客名：360</t>
  </si>
  <si>
    <t>产品名称：</t>
  </si>
  <si>
    <t>零件名称</t>
  </si>
  <si>
    <t>配件用处</t>
  </si>
  <si>
    <t>规格</t>
  </si>
  <si>
    <t>用量</t>
  </si>
  <si>
    <t>单位</t>
  </si>
  <si>
    <t>单价RMB</t>
  </si>
  <si>
    <t>总价</t>
  </si>
  <si>
    <t>质料</t>
  </si>
  <si>
    <t>表面处理</t>
  </si>
  <si>
    <t>供应商</t>
  </si>
  <si>
    <t>联系人/电话</t>
  </si>
  <si>
    <t>备    注</t>
  </si>
  <si>
    <t>图片</t>
  </si>
  <si>
    <t>螺丝</t>
  </si>
  <si>
    <t>尿兜</t>
  </si>
  <si>
    <t>2.6*8PB</t>
  </si>
  <si>
    <t>pcs</t>
  </si>
  <si>
    <t>铁</t>
  </si>
  <si>
    <t>镀镍</t>
  </si>
  <si>
    <t>港正</t>
  </si>
  <si>
    <t>机牙螺丝</t>
  </si>
  <si>
    <t>3.0*8PM</t>
  </si>
  <si>
    <t>螺母</t>
  </si>
  <si>
    <t>M3.0*2.4H</t>
  </si>
  <si>
    <t>AAA正片</t>
  </si>
  <si>
    <t>AAA负片</t>
  </si>
  <si>
    <t>AAA正负片</t>
  </si>
  <si>
    <t>拉簧</t>
  </si>
  <si>
    <t>调羹</t>
  </si>
  <si>
    <t>0.45*OD5.0*15L*9T</t>
  </si>
  <si>
    <t>碳钢/镀镍</t>
  </si>
  <si>
    <t>附:五金尺寸標準表(其它配件及包装物料请参照客签板)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</si>
</sst>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_ "/>
    <numFmt numFmtId="177" formatCode="&quot;￥&quot;#,##0.0000;&quot;￥&quot;\-#,##0.0000"/>
  </numFmts>
  <fonts count="30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sz val="11"/>
      <name val="宋体"/>
      <charset val="134"/>
    </font>
    <font>
      <b/>
      <sz val="16"/>
      <name val="宋体"/>
      <charset val="134"/>
    </font>
    <font>
      <b/>
      <sz val="14"/>
      <name val="宋体"/>
      <charset val="134"/>
    </font>
    <font>
      <b/>
      <sz val="11"/>
      <name val="宋体"/>
      <charset val="134"/>
    </font>
    <font>
      <sz val="14"/>
      <color rgb="FF000000"/>
      <name val="SimSun"/>
      <charset val="134"/>
    </font>
    <font>
      <sz val="12"/>
      <color theme="1"/>
      <name val="宋体"/>
      <charset val="134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2" applyNumberFormat="0" applyAlignment="0" applyProtection="0">
      <alignment vertical="center"/>
    </xf>
    <xf numFmtId="0" fontId="19" fillId="5" borderId="13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6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9" fillId="0" borderId="0"/>
  </cellStyleXfs>
  <cellXfs count="41">
    <xf numFmtId="0" fontId="0" fillId="0" borderId="0" xfId="0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49" applyFont="1" applyFill="1" applyBorder="1" applyAlignment="1" applyProtection="1">
      <alignment horizontal="center" vertical="center"/>
    </xf>
    <xf numFmtId="0" fontId="1" fillId="0" borderId="2" xfId="49" applyFont="1" applyFill="1" applyBorder="1" applyAlignment="1" applyProtection="1">
      <alignment horizontal="center" vertical="center" wrapText="1"/>
    </xf>
    <xf numFmtId="0" fontId="1" fillId="0" borderId="3" xfId="49" applyFont="1" applyFill="1" applyBorder="1" applyAlignment="1" applyProtection="1">
      <alignment horizontal="center" vertical="center"/>
    </xf>
    <xf numFmtId="0" fontId="1" fillId="0" borderId="4" xfId="49" applyFont="1" applyFill="1" applyBorder="1" applyAlignment="1" applyProtection="1">
      <alignment horizontal="center" vertical="center"/>
    </xf>
    <xf numFmtId="31" fontId="1" fillId="0" borderId="2" xfId="49" applyNumberFormat="1" applyFont="1" applyFill="1" applyBorder="1" applyAlignment="1" applyProtection="1">
      <alignment horizontal="center" vertical="center"/>
    </xf>
    <xf numFmtId="0" fontId="4" fillId="0" borderId="0" xfId="49" applyFont="1" applyFill="1" applyAlignment="1" applyProtection="1">
      <alignment horizontal="center" vertical="center"/>
    </xf>
    <xf numFmtId="0" fontId="5" fillId="0" borderId="1" xfId="49" applyFont="1" applyFill="1" applyBorder="1" applyAlignment="1" applyProtection="1">
      <alignment horizontal="left" vertical="center"/>
    </xf>
    <xf numFmtId="0" fontId="5" fillId="0" borderId="0" xfId="49" applyFont="1" applyFill="1" applyAlignment="1" applyProtection="1">
      <alignment horizontal="center" vertical="center"/>
    </xf>
    <xf numFmtId="0" fontId="5" fillId="0" borderId="0" xfId="49" applyFont="1" applyFill="1" applyAlignment="1" applyProtection="1">
      <alignment horizontal="left" vertical="center"/>
    </xf>
    <xf numFmtId="0" fontId="6" fillId="0" borderId="2" xfId="49" applyFont="1" applyFill="1" applyBorder="1" applyAlignment="1" applyProtection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0" borderId="5" xfId="49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1" fillId="0" borderId="2" xfId="49" applyFont="1" applyFill="1" applyBorder="1" applyAlignment="1">
      <alignment horizontal="center" vertical="center" wrapText="1"/>
    </xf>
    <xf numFmtId="0" fontId="1" fillId="0" borderId="6" xfId="49" applyFont="1" applyFill="1" applyBorder="1" applyAlignment="1" applyProtection="1">
      <alignment horizontal="center" vertical="center" wrapText="1"/>
    </xf>
    <xf numFmtId="176" fontId="1" fillId="0" borderId="6" xfId="49" applyNumberFormat="1" applyFont="1" applyFill="1" applyBorder="1" applyAlignment="1" applyProtection="1">
      <alignment horizontal="center" vertical="center" wrapText="1"/>
    </xf>
    <xf numFmtId="177" fontId="1" fillId="0" borderId="6" xfId="49" applyNumberFormat="1" applyFont="1" applyFill="1" applyBorder="1" applyAlignment="1" applyProtection="1">
      <alignment horizontal="center" vertical="center" wrapText="1"/>
    </xf>
    <xf numFmtId="0" fontId="1" fillId="0" borderId="7" xfId="49" applyFont="1" applyFill="1" applyBorder="1" applyAlignment="1" applyProtection="1">
      <alignment horizontal="center" vertical="center" wrapText="1"/>
    </xf>
    <xf numFmtId="0" fontId="1" fillId="0" borderId="8" xfId="49" applyFont="1" applyFill="1" applyBorder="1" applyAlignment="1" applyProtection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77" fontId="1" fillId="2" borderId="6" xfId="49" applyNumberFormat="1" applyFont="1" applyFill="1" applyBorder="1" applyAlignment="1" applyProtection="1">
      <alignment horizontal="center" vertical="center" wrapText="1"/>
    </xf>
    <xf numFmtId="0" fontId="1" fillId="0" borderId="7" xfId="49" applyFont="1" applyFill="1" applyBorder="1" applyAlignment="1">
      <alignment horizontal="center" vertical="center" wrapText="1"/>
    </xf>
    <xf numFmtId="5" fontId="1" fillId="2" borderId="6" xfId="49" applyNumberFormat="1" applyFont="1" applyFill="1" applyBorder="1" applyAlignment="1" applyProtection="1">
      <alignment horizontal="center" vertical="center" wrapText="1"/>
    </xf>
    <xf numFmtId="0" fontId="1" fillId="2" borderId="2" xfId="49" applyFont="1" applyFill="1" applyBorder="1" applyAlignment="1" applyProtection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/>
    </xf>
    <xf numFmtId="0" fontId="1" fillId="2" borderId="6" xfId="49" applyFont="1" applyFill="1" applyBorder="1" applyAlignment="1" applyProtection="1">
      <alignment horizontal="center" vertical="center" wrapText="1"/>
    </xf>
    <xf numFmtId="177" fontId="1" fillId="0" borderId="6" xfId="49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/>
    </xf>
    <xf numFmtId="49" fontId="8" fillId="0" borderId="2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177" fontId="2" fillId="0" borderId="6" xfId="49" applyNumberFormat="1" applyFont="1" applyFill="1" applyBorder="1" applyAlignment="1" applyProtection="1">
      <alignment horizontal="center" vertical="center" wrapText="1"/>
    </xf>
    <xf numFmtId="49" fontId="9" fillId="0" borderId="2" xfId="49" applyNumberFormat="1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M:\SHARED\FORMS\RND\RNDFOR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ink%20&amp;%20Wet%20Baby%20Doll%20BOM%20(2025-6-25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orm-003"/>
      <sheetName val="Form-004"/>
      <sheetName val="Sheet2"/>
      <sheetName val="Sheet3"/>
      <sheetName val="Form_003"/>
      <sheetName val="COG&amp;Quote-asst"/>
      <sheetName val="COST"/>
      <sheetName val="Vendor Quotation"/>
      <sheetName val="quote"/>
      <sheetName val="Set-up sheet"/>
      <sheetName val="String"/>
      <sheetName val="RNDFOR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xample"/>
      <sheetName val="Breakdown（国内价）MOQ 10K"/>
      <sheetName val="Breakdown（国内价）MOQ 20K"/>
      <sheetName val="Breakdown（印尼价）MOQ20K"/>
      <sheetName val="内部明细 (国内价)"/>
      <sheetName val="内部明细 (印尼价) "/>
      <sheetName val="喷油"/>
      <sheetName val="上衣+三角裤报价（新）"/>
      <sheetName val="电子"/>
      <sheetName val="啤机"/>
      <sheetName val="外购"/>
      <sheetName val="彩盒"/>
      <sheetName val="搪胶"/>
      <sheetName val="组装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17"/>
  <sheetViews>
    <sheetView tabSelected="1" zoomScale="90" zoomScaleNormal="90" workbookViewId="0">
      <selection activeCell="C14" sqref="C14"/>
    </sheetView>
  </sheetViews>
  <sheetFormatPr defaultColWidth="9.6" defaultRowHeight="15"/>
  <cols>
    <col min="1" max="1" width="23.8909090909091" style="5" customWidth="1"/>
    <col min="2" max="2" width="33.5727272727273" style="5" customWidth="1"/>
    <col min="3" max="3" width="31.7636363636364" style="5" customWidth="1"/>
    <col min="4" max="4" width="6.43636363636364" style="1" customWidth="1"/>
    <col min="5" max="5" width="7.2" style="5" customWidth="1"/>
    <col min="6" max="6" width="11.8181818181818" style="5" customWidth="1"/>
    <col min="7" max="7" width="14.9090909090909" style="5" customWidth="1"/>
    <col min="8" max="8" width="12.9818181818182" style="5" customWidth="1"/>
    <col min="9" max="9" width="14.8909090909091" style="5" customWidth="1"/>
    <col min="10" max="10" width="10.4" style="1" customWidth="1"/>
    <col min="11" max="11" width="12.3" style="1" customWidth="1"/>
    <col min="12" max="12" width="17.4818181818182" style="1" customWidth="1"/>
    <col min="13" max="13" width="17.2090909090909" style="1" customWidth="1"/>
    <col min="14" max="14" width="14.0636363636364" style="1"/>
    <col min="15" max="16384" width="9.6" style="1"/>
  </cols>
  <sheetData>
    <row r="1" s="1" customFormat="1" spans="1:14">
      <c r="A1" s="5"/>
      <c r="B1" s="5"/>
      <c r="L1" s="6"/>
    </row>
    <row r="2" s="1" customFormat="1" spans="1:14">
      <c r="A2" s="7" t="s">
        <v>0</v>
      </c>
      <c r="B2" s="8"/>
      <c r="C2" s="7" t="s">
        <v>1</v>
      </c>
      <c r="D2" s="7"/>
      <c r="E2" s="7"/>
      <c r="F2" s="7"/>
      <c r="G2" s="7"/>
      <c r="H2" s="7"/>
      <c r="I2" s="7" t="s">
        <v>2</v>
      </c>
      <c r="J2" s="7"/>
      <c r="K2" s="9"/>
      <c r="L2" s="10"/>
    </row>
    <row r="3" s="1" customFormat="1" spans="1:14">
      <c r="A3" s="7" t="s">
        <v>3</v>
      </c>
      <c r="B3" s="8"/>
      <c r="C3" s="7" t="s">
        <v>4</v>
      </c>
      <c r="D3" s="7"/>
      <c r="E3" s="7"/>
      <c r="F3" s="7"/>
      <c r="G3" s="7"/>
      <c r="H3" s="7"/>
      <c r="I3" s="7" t="s">
        <v>5</v>
      </c>
      <c r="J3" s="7"/>
      <c r="K3" s="11">
        <v>45824</v>
      </c>
      <c r="L3" s="11"/>
    </row>
    <row r="4" s="1" customFormat="1" ht="21" spans="1:14">
      <c r="A4" s="12" t="s">
        <v>6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="2" customFormat="1" ht="17.5" spans="1:14">
      <c r="A5" s="13" t="s">
        <v>7</v>
      </c>
      <c r="B5" s="13"/>
      <c r="C5" s="14" t="s">
        <v>8</v>
      </c>
      <c r="D5" s="13"/>
      <c r="E5" s="13"/>
      <c r="F5" s="13"/>
      <c r="G5" s="13"/>
      <c r="H5" s="15" t="s">
        <v>9</v>
      </c>
      <c r="I5" s="15"/>
      <c r="J5" s="15"/>
      <c r="K5" s="15"/>
      <c r="L5" s="15"/>
    </row>
    <row r="6" s="3" customFormat="1" spans="1:14">
      <c r="A6" s="16" t="s">
        <v>10</v>
      </c>
      <c r="B6" s="17" t="s">
        <v>11</v>
      </c>
      <c r="C6" s="16" t="s">
        <v>12</v>
      </c>
      <c r="D6" s="16" t="s">
        <v>13</v>
      </c>
      <c r="E6" s="16" t="s">
        <v>14</v>
      </c>
      <c r="F6" s="16" t="s">
        <v>15</v>
      </c>
      <c r="G6" s="16" t="s">
        <v>16</v>
      </c>
      <c r="H6" s="18" t="s">
        <v>17</v>
      </c>
      <c r="I6" s="18" t="s">
        <v>18</v>
      </c>
      <c r="J6" s="18" t="s">
        <v>19</v>
      </c>
      <c r="K6" s="18" t="s">
        <v>20</v>
      </c>
      <c r="L6" s="18" t="s">
        <v>21</v>
      </c>
      <c r="M6" s="19" t="s">
        <v>22</v>
      </c>
    </row>
    <row r="7" s="4" customFormat="1" ht="23" customHeight="1" spans="1:14">
      <c r="A7" s="8"/>
      <c r="B7" s="8"/>
      <c r="C7" s="20"/>
      <c r="D7" s="21"/>
      <c r="E7" s="8"/>
      <c r="F7" s="22"/>
      <c r="G7" s="23"/>
      <c r="H7" s="21"/>
      <c r="I7" s="24"/>
      <c r="J7" s="8"/>
      <c r="K7" s="25"/>
      <c r="L7" s="8"/>
      <c r="M7" s="26"/>
    </row>
    <row r="8" s="4" customFormat="1" ht="30" customHeight="1" spans="1:14">
      <c r="A8" s="27" t="s">
        <v>23</v>
      </c>
      <c r="B8" s="8" t="s">
        <v>24</v>
      </c>
      <c r="C8" s="8" t="s">
        <v>25</v>
      </c>
      <c r="D8" s="21">
        <v>3</v>
      </c>
      <c r="E8" s="21" t="s">
        <v>26</v>
      </c>
      <c r="F8" s="28">
        <v>0.0044</v>
      </c>
      <c r="G8" s="23">
        <f t="shared" ref="G8:G15" si="0">D8*F8</f>
        <v>0.0132</v>
      </c>
      <c r="H8" s="21" t="s">
        <v>27</v>
      </c>
      <c r="I8" s="29" t="s">
        <v>28</v>
      </c>
      <c r="J8" s="21" t="s">
        <v>29</v>
      </c>
      <c r="K8" s="25"/>
      <c r="L8" s="30"/>
      <c r="M8" s="26"/>
      <c r="N8" s="4">
        <f t="shared" ref="N8:N17" si="1">F8/0.9/0.98/7.8</f>
        <v>0.000639572068143497</v>
      </c>
    </row>
    <row r="9" s="4" customFormat="1" ht="30" customHeight="1" spans="1:14">
      <c r="A9" s="27" t="s">
        <v>30</v>
      </c>
      <c r="B9" s="8" t="s">
        <v>24</v>
      </c>
      <c r="C9" s="8" t="s">
        <v>31</v>
      </c>
      <c r="D9" s="21">
        <v>1</v>
      </c>
      <c r="E9" s="21" t="s">
        <v>26</v>
      </c>
      <c r="F9" s="28">
        <v>0.0096</v>
      </c>
      <c r="G9" s="23">
        <f t="shared" si="0"/>
        <v>0.0096</v>
      </c>
      <c r="H9" s="21" t="s">
        <v>27</v>
      </c>
      <c r="I9" s="29" t="s">
        <v>28</v>
      </c>
      <c r="J9" s="21" t="s">
        <v>29</v>
      </c>
      <c r="K9" s="25"/>
      <c r="L9" s="30"/>
      <c r="M9" s="26"/>
      <c r="N9" s="4">
        <f t="shared" si="1"/>
        <v>0.00139542996685854</v>
      </c>
    </row>
    <row r="10" s="4" customFormat="1" ht="30" customHeight="1" spans="1:14">
      <c r="A10" s="27" t="s">
        <v>32</v>
      </c>
      <c r="B10" s="8" t="s">
        <v>24</v>
      </c>
      <c r="C10" s="8" t="s">
        <v>33</v>
      </c>
      <c r="D10" s="21">
        <v>1</v>
      </c>
      <c r="E10" s="21" t="s">
        <v>26</v>
      </c>
      <c r="F10" s="28">
        <v>0.0315</v>
      </c>
      <c r="G10" s="23">
        <f t="shared" si="0"/>
        <v>0.0315</v>
      </c>
      <c r="H10" s="21" t="s">
        <v>27</v>
      </c>
      <c r="I10" s="29" t="s">
        <v>28</v>
      </c>
      <c r="J10" s="21" t="s">
        <v>29</v>
      </c>
      <c r="K10" s="25"/>
      <c r="L10" s="30"/>
      <c r="M10" s="26"/>
      <c r="N10" s="4">
        <f t="shared" si="1"/>
        <v>0.00457875457875458</v>
      </c>
    </row>
    <row r="11" s="4" customFormat="1" ht="30" customHeight="1" spans="1:14">
      <c r="A11" s="27" t="s">
        <v>34</v>
      </c>
      <c r="B11" s="8"/>
      <c r="C11" s="8"/>
      <c r="D11" s="21">
        <v>1</v>
      </c>
      <c r="E11" s="21" t="s">
        <v>26</v>
      </c>
      <c r="F11" s="28">
        <v>0.0317</v>
      </c>
      <c r="G11" s="23">
        <f t="shared" si="0"/>
        <v>0.0317</v>
      </c>
      <c r="H11" s="21" t="s">
        <v>27</v>
      </c>
      <c r="I11" s="29" t="s">
        <v>28</v>
      </c>
      <c r="J11" s="21" t="s">
        <v>29</v>
      </c>
      <c r="K11" s="25"/>
      <c r="L11" s="30"/>
      <c r="M11" s="26"/>
      <c r="N11" s="4">
        <f t="shared" si="1"/>
        <v>0.00460782603639746</v>
      </c>
    </row>
    <row r="12" s="4" customFormat="1" ht="30" customHeight="1" spans="1:14">
      <c r="A12" s="27" t="s">
        <v>35</v>
      </c>
      <c r="B12" s="8"/>
      <c r="C12" s="8"/>
      <c r="D12" s="21">
        <v>1</v>
      </c>
      <c r="E12" s="21" t="s">
        <v>26</v>
      </c>
      <c r="F12" s="28">
        <v>0.0485</v>
      </c>
      <c r="G12" s="23">
        <f t="shared" si="0"/>
        <v>0.0485</v>
      </c>
      <c r="H12" s="21" t="s">
        <v>27</v>
      </c>
      <c r="I12" s="29" t="s">
        <v>28</v>
      </c>
      <c r="J12" s="21" t="s">
        <v>29</v>
      </c>
      <c r="K12" s="25"/>
      <c r="L12" s="30"/>
      <c r="M12" s="26"/>
      <c r="N12" s="4">
        <f t="shared" si="1"/>
        <v>0.00704982847839991</v>
      </c>
    </row>
    <row r="13" s="4" customFormat="1" ht="30" customHeight="1" spans="1:14">
      <c r="A13" s="27" t="s">
        <v>36</v>
      </c>
      <c r="B13" s="8"/>
      <c r="C13" s="8"/>
      <c r="D13" s="21">
        <v>1</v>
      </c>
      <c r="E13" s="21" t="s">
        <v>26</v>
      </c>
      <c r="F13" s="28">
        <v>0.0551</v>
      </c>
      <c r="G13" s="23">
        <f t="shared" si="0"/>
        <v>0.0551</v>
      </c>
      <c r="H13" s="21" t="s">
        <v>27</v>
      </c>
      <c r="I13" s="29" t="s">
        <v>28</v>
      </c>
      <c r="J13" s="21" t="s">
        <v>29</v>
      </c>
      <c r="K13" s="25"/>
      <c r="L13" s="30"/>
      <c r="M13" s="26"/>
      <c r="N13" s="4">
        <f t="shared" si="1"/>
        <v>0.00800918658061515</v>
      </c>
    </row>
    <row r="14" s="4" customFormat="1" ht="30" customHeight="1" spans="1:14">
      <c r="A14" s="27" t="s">
        <v>37</v>
      </c>
      <c r="B14" s="8" t="s">
        <v>38</v>
      </c>
      <c r="C14" s="8" t="s">
        <v>39</v>
      </c>
      <c r="D14" s="21">
        <v>1</v>
      </c>
      <c r="E14" s="21" t="s">
        <v>26</v>
      </c>
      <c r="F14" s="28">
        <v>0.0568</v>
      </c>
      <c r="G14" s="23">
        <f t="shared" si="0"/>
        <v>0.0568</v>
      </c>
      <c r="H14" s="21" t="s">
        <v>40</v>
      </c>
      <c r="I14" s="29" t="s">
        <v>28</v>
      </c>
      <c r="J14" s="21" t="s">
        <v>29</v>
      </c>
      <c r="K14" s="25"/>
      <c r="L14" s="30"/>
      <c r="M14" s="26"/>
      <c r="N14" s="4">
        <f t="shared" si="1"/>
        <v>0.00825629397057969</v>
      </c>
    </row>
    <row r="15" s="1" customFormat="1" ht="23" customHeight="1" spans="1:14">
      <c r="A15" s="31"/>
      <c r="B15" s="32"/>
      <c r="C15" s="20"/>
      <c r="D15" s="33"/>
      <c r="E15" s="20"/>
      <c r="F15" s="34"/>
      <c r="G15" s="23"/>
      <c r="H15" s="21"/>
      <c r="I15" s="24"/>
      <c r="J15" s="21"/>
      <c r="K15" s="8"/>
      <c r="L15" s="8"/>
      <c r="M15" s="35"/>
      <c r="N15" s="4">
        <f>F15/0.9/0.98/7.8</f>
        <v>0</v>
      </c>
    </row>
    <row r="16" s="1" customFormat="1" ht="23" customHeight="1" spans="1:14">
      <c r="A16" s="36"/>
      <c r="B16" s="37"/>
      <c r="C16" s="32"/>
      <c r="D16" s="32"/>
      <c r="E16" s="21"/>
      <c r="F16" s="21"/>
      <c r="G16" s="38">
        <f>SUM(G8:G15)</f>
        <v>0.2464</v>
      </c>
      <c r="H16" s="21"/>
      <c r="I16" s="24"/>
      <c r="J16" s="21"/>
      <c r="K16" s="8"/>
      <c r="L16" s="8"/>
      <c r="M16" s="35"/>
    </row>
    <row r="17" s="1" customFormat="1" ht="23" customHeight="1" spans="1:13">
      <c r="A17" s="39" t="s">
        <v>41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40"/>
    </row>
  </sheetData>
  <mergeCells count="10">
    <mergeCell ref="D2:H2"/>
    <mergeCell ref="I2:J2"/>
    <mergeCell ref="D3:H3"/>
    <mergeCell ref="I3:J3"/>
    <mergeCell ref="K3:L3"/>
    <mergeCell ref="A4:L4"/>
    <mergeCell ref="A5:B5"/>
    <mergeCell ref="D5:E5"/>
    <mergeCell ref="H5:L5"/>
    <mergeCell ref="A17:L17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外购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郑大能</cp:lastModifiedBy>
  <dcterms:created xsi:type="dcterms:W3CDTF">2026-07-14T01:11:36Z</dcterms:created>
  <dcterms:modified xsi:type="dcterms:W3CDTF">2026-07-14T01:27:22Z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68BAF9B7840F438A826467991CC944D7_13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