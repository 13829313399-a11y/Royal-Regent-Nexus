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组装" sheetId="1" r:id="rId1"/>
  </sheets>
  <externalReferences>
    <externalReference r:id="rId2"/>
    <externalReference r:id="rId3"/>
  </externalReferences>
  <definedNames>
    <definedName name="EE">#REF!</definedName>
    <definedName name="Fabric">#REF!</definedName>
    <definedName name="Labour">#REF!</definedName>
    <definedName name="Others">#REF!</definedName>
    <definedName name="PKG">#REF!</definedName>
    <definedName name="Purchase">#REF!</definedName>
    <definedName name="Resin">#REF!</definedName>
    <definedName name="cavity">'[1]Form-003'!#REF!</definedName>
    <definedName name="\d">#REF!</definedName>
    <definedName name="cycle.time">'[1]Form-003'!#REF!</definedName>
    <definedName name="mold.color">'[1]Form-003'!#REF!</definedName>
    <definedName name="mold.cost">'[1]Form-003'!#REF!</definedName>
    <definedName name="mold.height">'[1]Form-003'!#REF!</definedName>
    <definedName name="mold.length">'[1]Form-003'!#REF!</definedName>
    <definedName name="mold.material">'[1]Form-003'!#REF!</definedName>
    <definedName name="mold.name">'[1]Form-003'!#REF!</definedName>
    <definedName name="mold.number">'[1]Form-003'!#REF!</definedName>
    <definedName name="mold.partweight">'[1]Form-003'!#REF!</definedName>
    <definedName name="mold.usage">'[1]Form-003'!#REF!</definedName>
    <definedName name="mold.width">'[1]Form-003'!#REF!</definedName>
    <definedName name="part.list">'[1]Form-003'!#REF!</definedName>
    <definedName name="Prepared.By">'[1]Form-003'!#REF!</definedName>
    <definedName name="Ref.Number">'[1]Form-003'!#REF!</definedName>
    <definedName name="Revised.By">'[1]Form-003'!#REF!</definedName>
    <definedName name="tool.plan">'[1]Form-003'!#REF!</definedName>
    <definedName name="up">'[1]Form-003'!#REF!</definedName>
    <definedName name="Vendor">'[1]Form-003'!#REF!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<sst xmlns="http://schemas.openxmlformats.org/spreadsheetml/2006/main" count="138" uniqueCount="75">
  <si>
    <t>报客价/港币</t>
  </si>
  <si>
    <t>报价人</t>
  </si>
  <si>
    <t>货号或图片</t>
  </si>
  <si>
    <t>做工名称</t>
  </si>
  <si>
    <t>总目标数量</t>
  </si>
  <si>
    <t>人数</t>
  </si>
  <si>
    <t>写报表的工价(￥)</t>
  </si>
  <si>
    <t>正班时间</t>
  </si>
  <si>
    <t>正班生产目标数</t>
  </si>
  <si>
    <t>正班8小时工资</t>
  </si>
  <si>
    <t>加班时间</t>
  </si>
  <si>
    <t>加班生产数</t>
  </si>
  <si>
    <t>加班工资</t>
  </si>
  <si>
    <t>合计工资(含加班)</t>
  </si>
  <si>
    <t>用量</t>
  </si>
  <si>
    <t>合计工价($)</t>
  </si>
  <si>
    <t>报客工价(HK$)</t>
  </si>
  <si>
    <t>报价人工标准</t>
  </si>
  <si>
    <t>车间标准工资(不含加班)</t>
  </si>
  <si>
    <t>报价日期</t>
  </si>
  <si>
    <t>备注（看图、手办、样板、参考办）</t>
  </si>
  <si>
    <t>车间填写</t>
  </si>
  <si>
    <t>不用填</t>
  </si>
  <si>
    <t>265标准</t>
  </si>
  <si>
    <t>80标准</t>
  </si>
  <si>
    <t>组装马桶</t>
  </si>
  <si>
    <t>测试lC板</t>
  </si>
  <si>
    <t>手办报价</t>
  </si>
  <si>
    <t>焊喇叭</t>
  </si>
  <si>
    <t>焊lC板</t>
  </si>
  <si>
    <t>装lC板</t>
  </si>
  <si>
    <t>装开按</t>
  </si>
  <si>
    <t>装电池片</t>
  </si>
  <si>
    <t>装螺母</t>
  </si>
  <si>
    <t>合盖</t>
  </si>
  <si>
    <t>测试功能</t>
  </si>
  <si>
    <t>打螺丝</t>
  </si>
  <si>
    <t>装箱/杂工</t>
  </si>
  <si>
    <t>奶瓶</t>
  </si>
  <si>
    <t>检查奶瓶</t>
  </si>
  <si>
    <t>装奶瓶嘴</t>
  </si>
  <si>
    <t>合盖/装箱</t>
  </si>
  <si>
    <t>勺子</t>
  </si>
  <si>
    <t>组装勺子</t>
  </si>
  <si>
    <t>超声/装箱</t>
  </si>
  <si>
    <t>瓶子</t>
  </si>
  <si>
    <t>检查瓶子</t>
  </si>
  <si>
    <t>组装瓶子</t>
  </si>
  <si>
    <t>超声</t>
  </si>
  <si>
    <t>贴贴纸/装箱</t>
  </si>
  <si>
    <t>组装公仔</t>
  </si>
  <si>
    <t>剪软管</t>
  </si>
  <si>
    <t>软管装公仔头</t>
  </si>
  <si>
    <t>软管装公仔身</t>
  </si>
  <si>
    <t>大身装公仔头、水管、左右手、左右脚</t>
  </si>
  <si>
    <t>检查公仔大身</t>
  </si>
  <si>
    <t>包装公仔</t>
  </si>
  <si>
    <t>彩盒印日期码</t>
  </si>
  <si>
    <t>过针</t>
  </si>
  <si>
    <t>检查公仔</t>
  </si>
  <si>
    <t>检查衣服/内裤</t>
  </si>
  <si>
    <t>穿衣服</t>
  </si>
  <si>
    <t>穿内裤</t>
  </si>
  <si>
    <t>勺子打胶针固定彩盒</t>
  </si>
  <si>
    <t>奶瓶打胶针固定彩盒</t>
  </si>
  <si>
    <t>瓶子打胶针固定彩盒</t>
  </si>
  <si>
    <t>口水巾打胶针固定彩盒</t>
  </si>
  <si>
    <t>马桶绑像皮筋固定彩盒</t>
  </si>
  <si>
    <t>脖子打胶针固定彩盒</t>
  </si>
  <si>
    <t>双脚绑像皮筋固定彩盒</t>
  </si>
  <si>
    <t>检查</t>
  </si>
  <si>
    <t>折彩盒</t>
  </si>
  <si>
    <t>拉胶纸</t>
  </si>
  <si>
    <t>装箱、封箱</t>
  </si>
  <si>
    <t>杂工+助拉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</si>
</sst>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.000_);[Red]\(0.000\)"/>
    <numFmt numFmtId="178" formatCode="0_);[Red]\(0\)"/>
    <numFmt numFmtId="179" formatCode="0.00_);[Red]\(0.00\)"/>
    <numFmt numFmtId="180" formatCode="0.000_ "/>
    <numFmt numFmtId="181" formatCode="m&quot;月&quot;d&quot;日&quot;;@"/>
    <numFmt numFmtId="182" formatCode="0_ "/>
    <numFmt numFmtId="183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0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5" fillId="0" borderId="0"/>
  </cellStyleXfs>
  <cellXfs count="42">
    <xf numFmtId="0" fontId="0" fillId="0" borderId="0" xfId="0"/>
    <xf numFmtId="0" fontId="0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49" applyFont="1" applyFill="1" applyBorder="1" applyAlignment="1">
      <alignment horizontal="center" vertical="center" wrapText="1" shrinkToFit="1"/>
    </xf>
    <xf numFmtId="0" fontId="2" fillId="3" borderId="0" xfId="49" applyFont="1" applyFill="1" applyBorder="1" applyAlignment="1">
      <alignment horizontal="center" vertical="center" wrapText="1" shrinkToFit="1"/>
    </xf>
    <xf numFmtId="0" fontId="2" fillId="0" borderId="0" xfId="49" applyFont="1" applyFill="1" applyBorder="1" applyAlignment="1">
      <alignment horizontal="center" vertical="center" wrapText="1"/>
    </xf>
    <xf numFmtId="176" fontId="2" fillId="0" borderId="0" xfId="49" applyNumberFormat="1" applyFont="1" applyFill="1" applyBorder="1" applyAlignment="1">
      <alignment horizontal="center" vertical="center" wrapText="1"/>
    </xf>
    <xf numFmtId="177" fontId="2" fillId="0" borderId="0" xfId="49" applyNumberFormat="1" applyFont="1" applyFill="1" applyBorder="1" applyAlignment="1">
      <alignment horizontal="center" vertical="center" wrapText="1"/>
    </xf>
    <xf numFmtId="178" fontId="2" fillId="0" borderId="0" xfId="49" applyNumberFormat="1" applyFont="1" applyFill="1" applyBorder="1" applyAlignment="1">
      <alignment horizontal="center" vertical="center" wrapText="1"/>
    </xf>
    <xf numFmtId="179" fontId="2" fillId="0" borderId="0" xfId="49" applyNumberFormat="1" applyFont="1" applyFill="1" applyBorder="1" applyAlignment="1">
      <alignment horizontal="center" vertical="center" wrapText="1"/>
    </xf>
    <xf numFmtId="2" fontId="2" fillId="0" borderId="0" xfId="49" applyNumberFormat="1" applyFont="1" applyFill="1" applyAlignment="1">
      <alignment horizontal="center" vertical="center" wrapText="1"/>
    </xf>
    <xf numFmtId="0" fontId="3" fillId="0" borderId="0" xfId="49" applyFont="1" applyFill="1" applyBorder="1" applyAlignment="1">
      <alignment horizontal="center" vertical="center" wrapText="1"/>
    </xf>
    <xf numFmtId="180" fontId="2" fillId="0" borderId="0" xfId="49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78" fontId="2" fillId="0" borderId="0" xfId="0" applyNumberFormat="1" applyFont="1" applyFill="1" applyBorder="1" applyAlignment="1">
      <alignment horizontal="center" vertical="center" wrapText="1"/>
    </xf>
    <xf numFmtId="181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shrinkToFit="1"/>
    </xf>
    <xf numFmtId="181" fontId="2" fillId="0" borderId="0" xfId="49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" xfId="49" applyFont="1" applyFill="1" applyBorder="1" applyAlignment="1">
      <alignment horizontal="center" vertical="center" wrapText="1" shrinkToFit="1"/>
    </xf>
    <xf numFmtId="0" fontId="2" fillId="3" borderId="1" xfId="49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 wrapText="1" shrinkToFit="1"/>
    </xf>
    <xf numFmtId="183" fontId="2" fillId="0" borderId="1" xfId="0" applyNumberFormat="1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58" fontId="2" fillId="4" borderId="1" xfId="0" applyNumberFormat="1" applyFont="1" applyFill="1" applyBorder="1" applyAlignment="1">
      <alignment horizontal="center" vertical="center"/>
    </xf>
    <xf numFmtId="0" fontId="2" fillId="5" borderId="1" xfId="49" applyFont="1" applyFill="1" applyBorder="1" applyAlignment="1">
      <alignment horizontal="center" vertical="center" wrapText="1" shrinkToFit="1"/>
    </xf>
    <xf numFmtId="0" fontId="2" fillId="5" borderId="1" xfId="0" applyFont="1" applyFill="1" applyBorder="1" applyAlignment="1">
      <alignment horizontal="center" vertical="center"/>
    </xf>
    <xf numFmtId="180" fontId="2" fillId="5" borderId="1" xfId="0" applyNumberFormat="1" applyFont="1" applyFill="1" applyBorder="1" applyAlignment="1">
      <alignment horizontal="center" vertical="center"/>
    </xf>
    <xf numFmtId="182" fontId="2" fillId="5" borderId="1" xfId="0" applyNumberFormat="1" applyFont="1" applyFill="1" applyBorder="1" applyAlignment="1">
      <alignment horizontal="center" vertical="center"/>
    </xf>
    <xf numFmtId="183" fontId="2" fillId="5" borderId="1" xfId="0" applyNumberFormat="1" applyFont="1" applyFill="1" applyBorder="1" applyAlignment="1">
      <alignment horizontal="center" vertical="center"/>
    </xf>
    <xf numFmtId="58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80" fontId="2" fillId="6" borderId="1" xfId="0" applyNumberFormat="1" applyFont="1" applyFill="1" applyBorder="1" applyAlignment="1">
      <alignment horizontal="center" vertical="center"/>
    </xf>
    <xf numFmtId="182" fontId="2" fillId="6" borderId="1" xfId="0" applyNumberFormat="1" applyFont="1" applyFill="1" applyBorder="1" applyAlignment="1">
      <alignment horizontal="center" vertical="center"/>
    </xf>
    <xf numFmtId="58" fontId="2" fillId="6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14 注料部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674370</xdr:colOff>
      <xdr:row>2</xdr:row>
      <xdr:rowOff>414655</xdr:rowOff>
    </xdr:from>
    <xdr:to>
      <xdr:col>26</xdr:col>
      <xdr:colOff>0</xdr:colOff>
      <xdr:row>10</xdr:row>
      <xdr:rowOff>176530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567785" y="1532255"/>
          <a:ext cx="2754630" cy="3419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546735</xdr:colOff>
      <xdr:row>14</xdr:row>
      <xdr:rowOff>133350</xdr:rowOff>
    </xdr:from>
    <xdr:to>
      <xdr:col>24</xdr:col>
      <xdr:colOff>226695</xdr:colOff>
      <xdr:row>17</xdr:row>
      <xdr:rowOff>281940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440150" y="6737350"/>
          <a:ext cx="1737360" cy="1520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603885</xdr:colOff>
      <xdr:row>18</xdr:row>
      <xdr:rowOff>50800</xdr:rowOff>
    </xdr:from>
    <xdr:to>
      <xdr:col>25</xdr:col>
      <xdr:colOff>282575</xdr:colOff>
      <xdr:row>20</xdr:row>
      <xdr:rowOff>205740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6200000">
          <a:off x="17173575" y="7807325"/>
          <a:ext cx="1069340" cy="2421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135255</xdr:colOff>
      <xdr:row>21</xdr:row>
      <xdr:rowOff>238760</xdr:rowOff>
    </xdr:from>
    <xdr:to>
      <xdr:col>23</xdr:col>
      <xdr:colOff>330200</xdr:colOff>
      <xdr:row>24</xdr:row>
      <xdr:rowOff>156210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714470" y="10043160"/>
          <a:ext cx="880745" cy="1289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485775</xdr:colOff>
      <xdr:row>26</xdr:row>
      <xdr:rowOff>314325</xdr:rowOff>
    </xdr:from>
    <xdr:to>
      <xdr:col>22</xdr:col>
      <xdr:colOff>571500</xdr:colOff>
      <xdr:row>30</xdr:row>
      <xdr:rowOff>404495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379190" y="12404725"/>
          <a:ext cx="771525" cy="1880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401320</xdr:colOff>
      <xdr:row>35</xdr:row>
      <xdr:rowOff>52705</xdr:rowOff>
    </xdr:from>
    <xdr:to>
      <xdr:col>25</xdr:col>
      <xdr:colOff>163195</xdr:colOff>
      <xdr:row>42</xdr:row>
      <xdr:rowOff>24130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608935" y="16219805"/>
          <a:ext cx="3190875" cy="3171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M:\SHARED\FORMS\RND\RNDFOR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ink%20&amp;%20Wet%20Baby%20Doll%20BOM%20(2025-6-25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orm-003"/>
      <sheetName val="Form-004"/>
      <sheetName val="Sheet2"/>
      <sheetName val="Sheet3"/>
      <sheetName val="Form_003"/>
      <sheetName val="COG&amp;Quote-asst"/>
      <sheetName val="COST"/>
      <sheetName val="Vendor Quotation"/>
      <sheetName val="quote"/>
      <sheetName val="Set-up sheet"/>
      <sheetName val="String"/>
      <sheetName val="RND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xample"/>
      <sheetName val="Breakdown（国内价）MOQ 10K"/>
      <sheetName val="Breakdown（国内价）MOQ 20K"/>
      <sheetName val="Breakdown（印尼价）MOQ20K"/>
      <sheetName val="内部明细 (国内价)"/>
      <sheetName val="内部明细 (印尼价) "/>
      <sheetName val="喷油"/>
      <sheetName val="上衣+三角裤报价（新）"/>
      <sheetName val="电子"/>
      <sheetName val="啤机"/>
      <sheetName val="外购"/>
      <sheetName val="彩盒"/>
      <sheetName val="搪胶"/>
      <sheetName val="组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55"/>
  <sheetViews>
    <sheetView tabSelected="1" zoomScale="80" zoomScaleNormal="80" workbookViewId="0">
      <selection activeCell="Q55" sqref="Q55"/>
    </sheetView>
  </sheetViews>
  <sheetFormatPr defaultColWidth="9.81818181818182" defaultRowHeight="14"/>
  <cols>
    <col min="1" max="2" width="9.81818181818182" style="1"/>
    <col min="3" max="3" width="15.7545454545455" style="1" customWidth="1"/>
    <col min="4" max="4" width="20.7272727272727" style="1" customWidth="1"/>
    <col min="5" max="6" width="9.81818181818182" style="1"/>
    <col min="7" max="7" width="12" style="1" customWidth="1"/>
    <col min="8" max="15" width="9.81818181818182" style="1"/>
    <col min="16" max="17" width="10.9090909090909" style="1" customWidth="1"/>
    <col min="18" max="19" width="9.81818181818182" style="1"/>
    <col min="20" max="20" width="9.96363636363636" style="1"/>
    <col min="21" max="16384" width="9.81818181818182" style="1"/>
  </cols>
  <sheetData>
    <row r="1" s="1" customFormat="1" ht="56" spans="1:21">
      <c r="A1" s="2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8" t="s">
        <v>11</v>
      </c>
      <c r="M1" s="9" t="s">
        <v>12</v>
      </c>
      <c r="N1" s="9" t="s">
        <v>13</v>
      </c>
      <c r="O1" s="11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5" t="s">
        <v>19</v>
      </c>
      <c r="U1" s="13" t="s">
        <v>20</v>
      </c>
    </row>
    <row r="2" s="1" customFormat="1" ht="32" customHeight="1" spans="1:21">
      <c r="A2" s="16" t="s">
        <v>21</v>
      </c>
      <c r="B2" s="3" t="s">
        <v>21</v>
      </c>
      <c r="C2" s="4" t="s">
        <v>21</v>
      </c>
      <c r="D2" s="3" t="s">
        <v>21</v>
      </c>
      <c r="E2" s="5" t="s">
        <v>21</v>
      </c>
      <c r="F2" s="5" t="s">
        <v>21</v>
      </c>
      <c r="G2" s="6" t="s">
        <v>22</v>
      </c>
      <c r="H2" s="8"/>
      <c r="I2" s="8" t="s">
        <v>22</v>
      </c>
      <c r="J2" s="9" t="s">
        <v>22</v>
      </c>
      <c r="K2" s="10"/>
      <c r="L2" s="8" t="s">
        <v>22</v>
      </c>
      <c r="M2" s="9" t="s">
        <v>22</v>
      </c>
      <c r="N2" s="9" t="s">
        <v>22</v>
      </c>
      <c r="O2" s="11" t="s">
        <v>21</v>
      </c>
      <c r="P2" s="7" t="s">
        <v>22</v>
      </c>
      <c r="Q2" s="7" t="s">
        <v>22</v>
      </c>
      <c r="R2" s="8" t="s">
        <v>23</v>
      </c>
      <c r="S2" s="13" t="s">
        <v>24</v>
      </c>
      <c r="T2" s="17" t="s">
        <v>21</v>
      </c>
      <c r="U2" s="5" t="s">
        <v>21</v>
      </c>
    </row>
    <row r="3" s="1" customFormat="1" ht="36" customHeight="1" spans="1:21">
      <c r="A3" s="18"/>
      <c r="B3" s="19">
        <v>8</v>
      </c>
      <c r="C3" s="20" t="s">
        <v>25</v>
      </c>
      <c r="D3" s="19" t="s">
        <v>26</v>
      </c>
      <c r="E3" s="21">
        <v>3000</v>
      </c>
      <c r="F3" s="21">
        <v>1</v>
      </c>
      <c r="G3" s="22">
        <f t="shared" ref="G3:G13" si="0">127.6*F3/E3</f>
        <v>0.0425333333333333</v>
      </c>
      <c r="H3" s="21">
        <v>8</v>
      </c>
      <c r="I3" s="23">
        <f t="shared" ref="I3:I13" si="1">+E3/11*H3</f>
        <v>2181.81818181818</v>
      </c>
      <c r="J3" s="23">
        <f t="shared" ref="J3:J13" si="2">+I3*G3/F3</f>
        <v>92.8</v>
      </c>
      <c r="K3" s="21">
        <v>3</v>
      </c>
      <c r="L3" s="23">
        <f t="shared" ref="L3:L13" si="3">+E3-I3</f>
        <v>818.181818181818</v>
      </c>
      <c r="M3" s="23">
        <f t="shared" ref="M3:M13" si="4">+L3*G3*1.5/F3</f>
        <v>52.2</v>
      </c>
      <c r="N3" s="23">
        <f t="shared" ref="N3:N13" si="5">+M3+J3</f>
        <v>145</v>
      </c>
      <c r="O3" s="21">
        <v>1</v>
      </c>
      <c r="P3" s="24">
        <f t="shared" ref="P3:P13" si="6">G3*O3/0.9</f>
        <v>0.0472592592592593</v>
      </c>
      <c r="Q3" s="25">
        <f t="shared" ref="Q3:Q13" si="7">+R3*F3/E3*O3</f>
        <v>0.0866666666666667</v>
      </c>
      <c r="R3" s="21">
        <v>260</v>
      </c>
      <c r="S3" s="21">
        <v>80</v>
      </c>
      <c r="T3" s="26">
        <v>45815</v>
      </c>
      <c r="U3" s="27" t="s">
        <v>27</v>
      </c>
    </row>
    <row r="4" s="1" customFormat="1" ht="36" customHeight="1" spans="1:21">
      <c r="A4" s="18"/>
      <c r="B4" s="19"/>
      <c r="C4" s="20"/>
      <c r="D4" s="19" t="s">
        <v>28</v>
      </c>
      <c r="E4" s="21">
        <v>3000</v>
      </c>
      <c r="F4" s="21">
        <v>2</v>
      </c>
      <c r="G4" s="22">
        <f t="shared" si="0"/>
        <v>0.0850666666666667</v>
      </c>
      <c r="H4" s="21">
        <v>8</v>
      </c>
      <c r="I4" s="23">
        <f t="shared" si="1"/>
        <v>2181.81818181818</v>
      </c>
      <c r="J4" s="23">
        <f t="shared" si="2"/>
        <v>92.8</v>
      </c>
      <c r="K4" s="21">
        <v>3</v>
      </c>
      <c r="L4" s="23">
        <f t="shared" si="3"/>
        <v>818.181818181818</v>
      </c>
      <c r="M4" s="23">
        <f t="shared" si="4"/>
        <v>52.2</v>
      </c>
      <c r="N4" s="23">
        <f t="shared" si="5"/>
        <v>145</v>
      </c>
      <c r="O4" s="21">
        <v>1</v>
      </c>
      <c r="P4" s="24">
        <f t="shared" si="6"/>
        <v>0.0945185185185185</v>
      </c>
      <c r="Q4" s="25">
        <f t="shared" si="7"/>
        <v>0.173333333333333</v>
      </c>
      <c r="R4" s="21">
        <v>260</v>
      </c>
      <c r="S4" s="21">
        <v>80</v>
      </c>
      <c r="T4" s="26">
        <v>45815</v>
      </c>
      <c r="U4" s="27" t="s">
        <v>27</v>
      </c>
    </row>
    <row r="5" s="1" customFormat="1" ht="36" customHeight="1" spans="1:21">
      <c r="A5" s="18"/>
      <c r="B5" s="19"/>
      <c r="C5" s="20"/>
      <c r="D5" s="19" t="s">
        <v>29</v>
      </c>
      <c r="E5" s="21">
        <v>3000</v>
      </c>
      <c r="F5" s="21">
        <v>2</v>
      </c>
      <c r="G5" s="22">
        <f t="shared" si="0"/>
        <v>0.0850666666666667</v>
      </c>
      <c r="H5" s="21">
        <v>8</v>
      </c>
      <c r="I5" s="23">
        <f t="shared" si="1"/>
        <v>2181.81818181818</v>
      </c>
      <c r="J5" s="23">
        <f t="shared" si="2"/>
        <v>92.8</v>
      </c>
      <c r="K5" s="21">
        <v>3</v>
      </c>
      <c r="L5" s="23">
        <f t="shared" si="3"/>
        <v>818.181818181818</v>
      </c>
      <c r="M5" s="23">
        <f t="shared" si="4"/>
        <v>52.2</v>
      </c>
      <c r="N5" s="23">
        <f t="shared" si="5"/>
        <v>145</v>
      </c>
      <c r="O5" s="21">
        <v>1</v>
      </c>
      <c r="P5" s="24">
        <f t="shared" si="6"/>
        <v>0.0945185185185185</v>
      </c>
      <c r="Q5" s="25">
        <f t="shared" si="7"/>
        <v>0.173333333333333</v>
      </c>
      <c r="R5" s="21">
        <v>260</v>
      </c>
      <c r="S5" s="21">
        <v>80</v>
      </c>
      <c r="T5" s="26">
        <v>45815</v>
      </c>
      <c r="U5" s="27" t="s">
        <v>27</v>
      </c>
    </row>
    <row r="6" s="1" customFormat="1" ht="36" customHeight="1" spans="1:21">
      <c r="A6" s="18"/>
      <c r="B6" s="19"/>
      <c r="C6" s="20"/>
      <c r="D6" s="19" t="s">
        <v>30</v>
      </c>
      <c r="E6" s="21">
        <v>3000</v>
      </c>
      <c r="F6" s="21">
        <v>1</v>
      </c>
      <c r="G6" s="22">
        <f t="shared" si="0"/>
        <v>0.0425333333333333</v>
      </c>
      <c r="H6" s="21">
        <v>8</v>
      </c>
      <c r="I6" s="23">
        <f t="shared" si="1"/>
        <v>2181.81818181818</v>
      </c>
      <c r="J6" s="23">
        <f t="shared" si="2"/>
        <v>92.8</v>
      </c>
      <c r="K6" s="21">
        <v>3</v>
      </c>
      <c r="L6" s="23">
        <f t="shared" si="3"/>
        <v>818.181818181818</v>
      </c>
      <c r="M6" s="23">
        <f t="shared" si="4"/>
        <v>52.2</v>
      </c>
      <c r="N6" s="23">
        <f t="shared" si="5"/>
        <v>145</v>
      </c>
      <c r="O6" s="21">
        <v>1</v>
      </c>
      <c r="P6" s="24">
        <f t="shared" si="6"/>
        <v>0.0472592592592593</v>
      </c>
      <c r="Q6" s="25">
        <f t="shared" si="7"/>
        <v>0.0866666666666667</v>
      </c>
      <c r="R6" s="21">
        <v>260</v>
      </c>
      <c r="S6" s="21">
        <v>80</v>
      </c>
      <c r="T6" s="26">
        <v>45815</v>
      </c>
      <c r="U6" s="27" t="s">
        <v>27</v>
      </c>
    </row>
    <row r="7" s="1" customFormat="1" ht="36" customHeight="1" spans="1:21">
      <c r="A7" s="18"/>
      <c r="B7" s="19"/>
      <c r="C7" s="20"/>
      <c r="D7" s="19" t="s">
        <v>31</v>
      </c>
      <c r="E7" s="21">
        <v>3000</v>
      </c>
      <c r="F7" s="21">
        <v>1</v>
      </c>
      <c r="G7" s="22">
        <f t="shared" si="0"/>
        <v>0.0425333333333333</v>
      </c>
      <c r="H7" s="21">
        <v>8</v>
      </c>
      <c r="I7" s="23">
        <f t="shared" si="1"/>
        <v>2181.81818181818</v>
      </c>
      <c r="J7" s="23">
        <f t="shared" si="2"/>
        <v>92.8</v>
      </c>
      <c r="K7" s="21">
        <v>3</v>
      </c>
      <c r="L7" s="23">
        <f t="shared" si="3"/>
        <v>818.181818181818</v>
      </c>
      <c r="M7" s="23">
        <f t="shared" si="4"/>
        <v>52.2</v>
      </c>
      <c r="N7" s="23">
        <f t="shared" si="5"/>
        <v>145</v>
      </c>
      <c r="O7" s="21">
        <v>1</v>
      </c>
      <c r="P7" s="24">
        <f t="shared" si="6"/>
        <v>0.0472592592592593</v>
      </c>
      <c r="Q7" s="25">
        <f t="shared" si="7"/>
        <v>0.0866666666666667</v>
      </c>
      <c r="R7" s="21">
        <v>260</v>
      </c>
      <c r="S7" s="21">
        <v>80</v>
      </c>
      <c r="T7" s="26">
        <v>45815</v>
      </c>
      <c r="U7" s="27" t="s">
        <v>27</v>
      </c>
    </row>
    <row r="8" s="1" customFormat="1" ht="36" customHeight="1" spans="1:21">
      <c r="A8" s="18"/>
      <c r="B8" s="19"/>
      <c r="C8" s="20"/>
      <c r="D8" s="28" t="s">
        <v>32</v>
      </c>
      <c r="E8" s="29">
        <v>3000</v>
      </c>
      <c r="F8" s="29">
        <v>3</v>
      </c>
      <c r="G8" s="30">
        <f t="shared" si="0"/>
        <v>0.1276</v>
      </c>
      <c r="H8" s="29">
        <v>8</v>
      </c>
      <c r="I8" s="31">
        <f t="shared" si="1"/>
        <v>2181.81818181818</v>
      </c>
      <c r="J8" s="31">
        <f t="shared" si="2"/>
        <v>92.8</v>
      </c>
      <c r="K8" s="29">
        <v>3</v>
      </c>
      <c r="L8" s="31">
        <f t="shared" si="3"/>
        <v>818.181818181818</v>
      </c>
      <c r="M8" s="31">
        <f t="shared" si="4"/>
        <v>52.2</v>
      </c>
      <c r="N8" s="31">
        <f t="shared" si="5"/>
        <v>145</v>
      </c>
      <c r="O8" s="29">
        <v>1</v>
      </c>
      <c r="P8" s="24">
        <f t="shared" si="6"/>
        <v>0.141777777777778</v>
      </c>
      <c r="Q8" s="32">
        <f t="shared" si="7"/>
        <v>0.26</v>
      </c>
      <c r="R8" s="29">
        <v>260</v>
      </c>
      <c r="S8" s="29">
        <v>80</v>
      </c>
      <c r="T8" s="33">
        <v>45815</v>
      </c>
      <c r="U8" s="33" t="s">
        <v>27</v>
      </c>
    </row>
    <row r="9" s="1" customFormat="1" ht="36" customHeight="1" spans="1:21">
      <c r="A9" s="18"/>
      <c r="B9" s="19"/>
      <c r="C9" s="20"/>
      <c r="D9" s="19" t="s">
        <v>33</v>
      </c>
      <c r="E9" s="21">
        <v>3000</v>
      </c>
      <c r="F9" s="21">
        <v>1</v>
      </c>
      <c r="G9" s="22">
        <f t="shared" si="0"/>
        <v>0.0425333333333333</v>
      </c>
      <c r="H9" s="21">
        <v>8</v>
      </c>
      <c r="I9" s="23">
        <f t="shared" si="1"/>
        <v>2181.81818181818</v>
      </c>
      <c r="J9" s="23">
        <f t="shared" si="2"/>
        <v>92.8</v>
      </c>
      <c r="K9" s="21">
        <v>3</v>
      </c>
      <c r="L9" s="23">
        <f t="shared" si="3"/>
        <v>818.181818181818</v>
      </c>
      <c r="M9" s="23">
        <f t="shared" si="4"/>
        <v>52.2</v>
      </c>
      <c r="N9" s="23">
        <f t="shared" si="5"/>
        <v>145</v>
      </c>
      <c r="O9" s="21">
        <v>1</v>
      </c>
      <c r="P9" s="24">
        <f t="shared" si="6"/>
        <v>0.0472592592592593</v>
      </c>
      <c r="Q9" s="25">
        <f t="shared" si="7"/>
        <v>0.0866666666666667</v>
      </c>
      <c r="R9" s="21">
        <v>260</v>
      </c>
      <c r="S9" s="21">
        <v>80</v>
      </c>
      <c r="T9" s="26">
        <v>45815</v>
      </c>
      <c r="U9" s="27" t="s">
        <v>27</v>
      </c>
    </row>
    <row r="10" s="1" customFormat="1" ht="36" customHeight="1" spans="1:21">
      <c r="A10" s="18"/>
      <c r="B10" s="19"/>
      <c r="C10" s="20"/>
      <c r="D10" s="19" t="s">
        <v>34</v>
      </c>
      <c r="E10" s="21">
        <v>3000</v>
      </c>
      <c r="F10" s="21">
        <v>2</v>
      </c>
      <c r="G10" s="22">
        <f t="shared" si="0"/>
        <v>0.0850666666666667</v>
      </c>
      <c r="H10" s="21">
        <v>8</v>
      </c>
      <c r="I10" s="23">
        <f t="shared" si="1"/>
        <v>2181.81818181818</v>
      </c>
      <c r="J10" s="23">
        <f t="shared" si="2"/>
        <v>92.8</v>
      </c>
      <c r="K10" s="21">
        <v>3</v>
      </c>
      <c r="L10" s="23">
        <f t="shared" si="3"/>
        <v>818.181818181818</v>
      </c>
      <c r="M10" s="23">
        <f t="shared" si="4"/>
        <v>52.2</v>
      </c>
      <c r="N10" s="23">
        <f t="shared" si="5"/>
        <v>145</v>
      </c>
      <c r="O10" s="21">
        <v>1</v>
      </c>
      <c r="P10" s="24">
        <f t="shared" si="6"/>
        <v>0.0945185185185185</v>
      </c>
      <c r="Q10" s="25">
        <f t="shared" si="7"/>
        <v>0.173333333333333</v>
      </c>
      <c r="R10" s="21">
        <v>260</v>
      </c>
      <c r="S10" s="21">
        <v>80</v>
      </c>
      <c r="T10" s="26">
        <v>45815</v>
      </c>
      <c r="U10" s="27" t="s">
        <v>27</v>
      </c>
    </row>
    <row r="11" s="1" customFormat="1" ht="36" customHeight="1" spans="1:21">
      <c r="A11" s="18"/>
      <c r="B11" s="19"/>
      <c r="C11" s="20"/>
      <c r="D11" s="19" t="s">
        <v>35</v>
      </c>
      <c r="E11" s="21">
        <v>3000</v>
      </c>
      <c r="F11" s="21">
        <v>1</v>
      </c>
      <c r="G11" s="22">
        <f t="shared" si="0"/>
        <v>0.0425333333333333</v>
      </c>
      <c r="H11" s="21">
        <v>8</v>
      </c>
      <c r="I11" s="23">
        <f t="shared" si="1"/>
        <v>2181.81818181818</v>
      </c>
      <c r="J11" s="23">
        <f t="shared" si="2"/>
        <v>92.8</v>
      </c>
      <c r="K11" s="21">
        <v>3</v>
      </c>
      <c r="L11" s="23">
        <f t="shared" si="3"/>
        <v>818.181818181818</v>
      </c>
      <c r="M11" s="23">
        <f t="shared" si="4"/>
        <v>52.2</v>
      </c>
      <c r="N11" s="23">
        <f t="shared" si="5"/>
        <v>145</v>
      </c>
      <c r="O11" s="21">
        <v>1</v>
      </c>
      <c r="P11" s="24">
        <f t="shared" si="6"/>
        <v>0.0472592592592593</v>
      </c>
      <c r="Q11" s="25">
        <f t="shared" si="7"/>
        <v>0.0866666666666667</v>
      </c>
      <c r="R11" s="21">
        <v>260</v>
      </c>
      <c r="S11" s="21">
        <v>80</v>
      </c>
      <c r="T11" s="26">
        <v>45815</v>
      </c>
      <c r="U11" s="27" t="s">
        <v>27</v>
      </c>
    </row>
    <row r="12" s="1" customFormat="1" ht="36" customHeight="1" spans="1:21">
      <c r="A12" s="18"/>
      <c r="B12" s="19"/>
      <c r="C12" s="20"/>
      <c r="D12" s="19" t="s">
        <v>36</v>
      </c>
      <c r="E12" s="21">
        <v>3000</v>
      </c>
      <c r="F12" s="21">
        <v>1</v>
      </c>
      <c r="G12" s="22">
        <f t="shared" si="0"/>
        <v>0.0425333333333333</v>
      </c>
      <c r="H12" s="21">
        <v>8</v>
      </c>
      <c r="I12" s="23">
        <f t="shared" si="1"/>
        <v>2181.81818181818</v>
      </c>
      <c r="J12" s="23">
        <f t="shared" si="2"/>
        <v>92.8</v>
      </c>
      <c r="K12" s="21">
        <v>3</v>
      </c>
      <c r="L12" s="23">
        <f t="shared" si="3"/>
        <v>818.181818181818</v>
      </c>
      <c r="M12" s="23">
        <f t="shared" si="4"/>
        <v>52.2</v>
      </c>
      <c r="N12" s="23">
        <f t="shared" si="5"/>
        <v>145</v>
      </c>
      <c r="O12" s="21">
        <v>1</v>
      </c>
      <c r="P12" s="24">
        <f t="shared" si="6"/>
        <v>0.0472592592592593</v>
      </c>
      <c r="Q12" s="25">
        <f t="shared" si="7"/>
        <v>0.0866666666666667</v>
      </c>
      <c r="R12" s="21">
        <v>260</v>
      </c>
      <c r="S12" s="21">
        <v>80</v>
      </c>
      <c r="T12" s="26">
        <v>45815</v>
      </c>
      <c r="U12" s="27" t="s">
        <v>27</v>
      </c>
    </row>
    <row r="13" s="1" customFormat="1" ht="36" customHeight="1" spans="1:21">
      <c r="A13" s="18"/>
      <c r="B13" s="19"/>
      <c r="C13" s="20"/>
      <c r="D13" s="19" t="s">
        <v>37</v>
      </c>
      <c r="E13" s="21">
        <v>3000</v>
      </c>
      <c r="F13" s="21">
        <v>2</v>
      </c>
      <c r="G13" s="22">
        <f t="shared" si="0"/>
        <v>0.0850666666666667</v>
      </c>
      <c r="H13" s="21">
        <v>8</v>
      </c>
      <c r="I13" s="23">
        <f t="shared" si="1"/>
        <v>2181.81818181818</v>
      </c>
      <c r="J13" s="23">
        <f t="shared" si="2"/>
        <v>92.8</v>
      </c>
      <c r="K13" s="21">
        <v>3</v>
      </c>
      <c r="L13" s="23">
        <f t="shared" si="3"/>
        <v>818.181818181818</v>
      </c>
      <c r="M13" s="23">
        <f t="shared" si="4"/>
        <v>52.2</v>
      </c>
      <c r="N13" s="23">
        <f t="shared" si="5"/>
        <v>145</v>
      </c>
      <c r="O13" s="21">
        <v>1</v>
      </c>
      <c r="P13" s="24">
        <f t="shared" si="6"/>
        <v>0.0945185185185185</v>
      </c>
      <c r="Q13" s="25">
        <f t="shared" si="7"/>
        <v>0.173333333333333</v>
      </c>
      <c r="R13" s="21">
        <v>260</v>
      </c>
      <c r="S13" s="21">
        <v>80</v>
      </c>
      <c r="T13" s="26">
        <v>45815</v>
      </c>
      <c r="U13" s="27" t="s">
        <v>27</v>
      </c>
    </row>
    <row r="14" s="1" customFormat="1" ht="36" customHeight="1" spans="1:21">
      <c r="A14" s="34"/>
      <c r="B14" s="35"/>
      <c r="C14" s="35"/>
      <c r="D14" s="35"/>
      <c r="E14" s="34"/>
      <c r="F14" s="34">
        <f>SUM(F3:F13)</f>
        <v>17</v>
      </c>
      <c r="G14" s="36">
        <f>SUM(G3:G13)</f>
        <v>0.723066666666667</v>
      </c>
      <c r="H14" s="34"/>
      <c r="I14" s="37"/>
      <c r="J14" s="37"/>
      <c r="K14" s="34"/>
      <c r="L14" s="37"/>
      <c r="M14" s="37"/>
      <c r="N14" s="37"/>
      <c r="O14" s="34"/>
      <c r="P14" s="36">
        <f>SUM(P3:P13)</f>
        <v>0.803407407407407</v>
      </c>
      <c r="Q14" s="36">
        <f>SUM(Q3:Q13)</f>
        <v>1.47333333333333</v>
      </c>
      <c r="R14" s="34"/>
      <c r="S14" s="34"/>
      <c r="T14" s="38"/>
      <c r="U14" s="38"/>
    </row>
    <row r="15" s="1" customFormat="1" ht="36" customHeight="1" spans="1:21">
      <c r="A15" s="18"/>
      <c r="B15" s="19"/>
      <c r="C15" s="20" t="s">
        <v>38</v>
      </c>
      <c r="D15" s="39" t="s">
        <v>39</v>
      </c>
      <c r="E15" s="21">
        <v>3000</v>
      </c>
      <c r="F15" s="21">
        <v>1</v>
      </c>
      <c r="G15" s="22">
        <f t="shared" ref="G15:G17" si="8">127.6*F15/E15</f>
        <v>0.0425333333333333</v>
      </c>
      <c r="H15" s="21">
        <v>8</v>
      </c>
      <c r="I15" s="23">
        <f t="shared" ref="I15:I17" si="9">+E15/11*H15</f>
        <v>2181.81818181818</v>
      </c>
      <c r="J15" s="23">
        <f t="shared" ref="J15:J17" si="10">+I15*G15/F15</f>
        <v>92.8</v>
      </c>
      <c r="K15" s="21">
        <v>3</v>
      </c>
      <c r="L15" s="23">
        <f t="shared" ref="L15:L17" si="11">+E15-I15</f>
        <v>818.181818181818</v>
      </c>
      <c r="M15" s="23">
        <f t="shared" ref="M15:M17" si="12">+L15*G15*1.5/F15</f>
        <v>52.2</v>
      </c>
      <c r="N15" s="23">
        <f t="shared" ref="N15:N17" si="13">+M15+J15</f>
        <v>145</v>
      </c>
      <c r="O15" s="21">
        <v>1</v>
      </c>
      <c r="P15" s="24">
        <f t="shared" ref="P15:P17" si="14">G15*O15/0.9</f>
        <v>0.0472592592592593</v>
      </c>
      <c r="Q15" s="25">
        <f t="shared" ref="Q15:Q17" si="15">+R15*F15/E15*O15</f>
        <v>0.0866666666666667</v>
      </c>
      <c r="R15" s="21">
        <v>260</v>
      </c>
      <c r="S15" s="21">
        <v>80</v>
      </c>
      <c r="T15" s="26">
        <v>45815</v>
      </c>
      <c r="U15" s="27" t="s">
        <v>27</v>
      </c>
    </row>
    <row r="16" s="1" customFormat="1" ht="36" customHeight="1" spans="1:21">
      <c r="A16" s="18"/>
      <c r="B16" s="19"/>
      <c r="C16" s="20"/>
      <c r="D16" s="19" t="s">
        <v>40</v>
      </c>
      <c r="E16" s="21">
        <v>3000</v>
      </c>
      <c r="F16" s="21">
        <v>4</v>
      </c>
      <c r="G16" s="22">
        <f t="shared" si="8"/>
        <v>0.170133333333333</v>
      </c>
      <c r="H16" s="21">
        <v>8</v>
      </c>
      <c r="I16" s="23">
        <f t="shared" si="9"/>
        <v>2181.81818181818</v>
      </c>
      <c r="J16" s="23">
        <f t="shared" si="10"/>
        <v>92.8</v>
      </c>
      <c r="K16" s="21">
        <v>3</v>
      </c>
      <c r="L16" s="23">
        <f t="shared" si="11"/>
        <v>818.181818181818</v>
      </c>
      <c r="M16" s="23">
        <f t="shared" si="12"/>
        <v>52.2</v>
      </c>
      <c r="N16" s="23">
        <f t="shared" si="13"/>
        <v>145</v>
      </c>
      <c r="O16" s="21">
        <v>1</v>
      </c>
      <c r="P16" s="24">
        <f t="shared" si="14"/>
        <v>0.189037037037037</v>
      </c>
      <c r="Q16" s="25">
        <f t="shared" si="15"/>
        <v>0.346666666666667</v>
      </c>
      <c r="R16" s="21">
        <v>260</v>
      </c>
      <c r="S16" s="21">
        <v>80</v>
      </c>
      <c r="T16" s="26">
        <v>45815</v>
      </c>
      <c r="U16" s="27" t="s">
        <v>27</v>
      </c>
    </row>
    <row r="17" s="1" customFormat="1" ht="36" customHeight="1" spans="1:21">
      <c r="A17" s="18"/>
      <c r="B17" s="19"/>
      <c r="C17" s="20"/>
      <c r="D17" s="19" t="s">
        <v>41</v>
      </c>
      <c r="E17" s="21">
        <v>3000</v>
      </c>
      <c r="F17" s="21">
        <v>2</v>
      </c>
      <c r="G17" s="22">
        <f t="shared" si="8"/>
        <v>0.0850666666666667</v>
      </c>
      <c r="H17" s="21">
        <v>8</v>
      </c>
      <c r="I17" s="23">
        <f t="shared" si="9"/>
        <v>2181.81818181818</v>
      </c>
      <c r="J17" s="23">
        <f t="shared" si="10"/>
        <v>92.8</v>
      </c>
      <c r="K17" s="21">
        <v>3</v>
      </c>
      <c r="L17" s="23">
        <f t="shared" si="11"/>
        <v>818.181818181818</v>
      </c>
      <c r="M17" s="23">
        <f t="shared" si="12"/>
        <v>52.2</v>
      </c>
      <c r="N17" s="23">
        <f t="shared" si="13"/>
        <v>145</v>
      </c>
      <c r="O17" s="21">
        <v>1</v>
      </c>
      <c r="P17" s="24">
        <f t="shared" si="14"/>
        <v>0.0945185185185185</v>
      </c>
      <c r="Q17" s="25">
        <f t="shared" si="15"/>
        <v>0.173333333333333</v>
      </c>
      <c r="R17" s="21">
        <v>260</v>
      </c>
      <c r="S17" s="21">
        <v>80</v>
      </c>
      <c r="T17" s="26">
        <v>45815</v>
      </c>
      <c r="U17" s="27" t="s">
        <v>27</v>
      </c>
    </row>
    <row r="18" s="1" customFormat="1" ht="36" customHeight="1" spans="1:21">
      <c r="A18" s="34"/>
      <c r="B18" s="35"/>
      <c r="C18" s="35"/>
      <c r="D18" s="35"/>
      <c r="E18" s="34"/>
      <c r="F18" s="34">
        <f>SUM(F15:F17)</f>
        <v>7</v>
      </c>
      <c r="G18" s="36">
        <f>SUM(G15:G17)</f>
        <v>0.297733333333333</v>
      </c>
      <c r="H18" s="34"/>
      <c r="I18" s="37"/>
      <c r="J18" s="37"/>
      <c r="K18" s="34"/>
      <c r="L18" s="37"/>
      <c r="M18" s="37"/>
      <c r="N18" s="37"/>
      <c r="O18" s="34"/>
      <c r="P18" s="36">
        <f>SUM(P15:P17)</f>
        <v>0.330814814814815</v>
      </c>
      <c r="Q18" s="36">
        <f>SUM(Q15:Q17)</f>
        <v>0.606666666666667</v>
      </c>
      <c r="R18" s="34"/>
      <c r="S18" s="34"/>
      <c r="T18" s="38"/>
      <c r="U18" s="38"/>
    </row>
    <row r="19" s="1" customFormat="1" ht="36" customHeight="1" spans="1:21">
      <c r="A19" s="18"/>
      <c r="B19" s="19"/>
      <c r="C19" s="20" t="s">
        <v>42</v>
      </c>
      <c r="D19" s="19" t="s">
        <v>43</v>
      </c>
      <c r="E19" s="21">
        <v>6000</v>
      </c>
      <c r="F19" s="21">
        <v>3</v>
      </c>
      <c r="G19" s="22">
        <f t="shared" ref="G19:G25" si="16">127.6*F19/E19</f>
        <v>0.0638</v>
      </c>
      <c r="H19" s="21">
        <v>8</v>
      </c>
      <c r="I19" s="23">
        <f t="shared" ref="I19:I25" si="17">+E19/11*H19</f>
        <v>4363.63636363636</v>
      </c>
      <c r="J19" s="23">
        <f t="shared" ref="J19:J25" si="18">+I19*G19/F19</f>
        <v>92.8</v>
      </c>
      <c r="K19" s="21">
        <v>3</v>
      </c>
      <c r="L19" s="23">
        <f t="shared" ref="L19:L25" si="19">+E19-I19</f>
        <v>1636.36363636364</v>
      </c>
      <c r="M19" s="23">
        <f t="shared" ref="M19:M25" si="20">+L19*G19*1.5/F19</f>
        <v>52.2</v>
      </c>
      <c r="N19" s="23">
        <f t="shared" ref="N19:N25" si="21">+M19+J19</f>
        <v>145</v>
      </c>
      <c r="O19" s="21">
        <v>1</v>
      </c>
      <c r="P19" s="24">
        <f t="shared" ref="P19:P25" si="22">G19*O19/0.9</f>
        <v>0.0708888888888889</v>
      </c>
      <c r="Q19" s="25">
        <f t="shared" ref="Q19:Q25" si="23">+R19*F19/E19*O19</f>
        <v>0.13</v>
      </c>
      <c r="R19" s="21">
        <v>260</v>
      </c>
      <c r="S19" s="21">
        <v>80</v>
      </c>
      <c r="T19" s="26">
        <v>45815</v>
      </c>
      <c r="U19" s="27" t="s">
        <v>27</v>
      </c>
    </row>
    <row r="20" s="1" customFormat="1" ht="36" customHeight="1" spans="1:21">
      <c r="A20" s="18"/>
      <c r="B20" s="19"/>
      <c r="C20" s="20"/>
      <c r="D20" s="19" t="s">
        <v>44</v>
      </c>
      <c r="E20" s="21">
        <v>6000</v>
      </c>
      <c r="F20" s="21">
        <v>2</v>
      </c>
      <c r="G20" s="22">
        <f t="shared" si="16"/>
        <v>0.0425333333333333</v>
      </c>
      <c r="H20" s="21">
        <v>8</v>
      </c>
      <c r="I20" s="23">
        <f t="shared" si="17"/>
        <v>4363.63636363636</v>
      </c>
      <c r="J20" s="23">
        <f t="shared" si="18"/>
        <v>92.8</v>
      </c>
      <c r="K20" s="21">
        <v>3</v>
      </c>
      <c r="L20" s="23">
        <f t="shared" si="19"/>
        <v>1636.36363636364</v>
      </c>
      <c r="M20" s="23">
        <f t="shared" si="20"/>
        <v>52.2</v>
      </c>
      <c r="N20" s="23">
        <f t="shared" si="21"/>
        <v>145</v>
      </c>
      <c r="O20" s="21">
        <v>1</v>
      </c>
      <c r="P20" s="24">
        <f t="shared" si="22"/>
        <v>0.0472592592592593</v>
      </c>
      <c r="Q20" s="25">
        <f t="shared" si="23"/>
        <v>0.0866666666666667</v>
      </c>
      <c r="R20" s="21">
        <v>260</v>
      </c>
      <c r="S20" s="21">
        <v>80</v>
      </c>
      <c r="T20" s="26">
        <v>45815</v>
      </c>
      <c r="U20" s="27" t="s">
        <v>27</v>
      </c>
    </row>
    <row r="21" s="1" customFormat="1" ht="36" customHeight="1" spans="1:21">
      <c r="A21" s="34"/>
      <c r="B21" s="35"/>
      <c r="C21" s="35"/>
      <c r="D21" s="35"/>
      <c r="E21" s="34"/>
      <c r="F21" s="34">
        <f>SUM(F19:F20)</f>
        <v>5</v>
      </c>
      <c r="G21" s="36">
        <f>SUM(G19:G20)</f>
        <v>0.106333333333333</v>
      </c>
      <c r="H21" s="34"/>
      <c r="I21" s="37"/>
      <c r="J21" s="37"/>
      <c r="K21" s="34"/>
      <c r="L21" s="37"/>
      <c r="M21" s="37"/>
      <c r="N21" s="37"/>
      <c r="O21" s="34"/>
      <c r="P21" s="36">
        <f>SUM(P19:P20)</f>
        <v>0.118148148148148</v>
      </c>
      <c r="Q21" s="36">
        <f>SUM(Q19:Q20)</f>
        <v>0.216666666666667</v>
      </c>
      <c r="R21" s="34"/>
      <c r="S21" s="34"/>
      <c r="T21" s="38"/>
      <c r="U21" s="38"/>
    </row>
    <row r="22" s="1" customFormat="1" ht="36" customHeight="1" spans="1:21">
      <c r="A22" s="18"/>
      <c r="B22" s="19"/>
      <c r="C22" s="20" t="s">
        <v>45</v>
      </c>
      <c r="D22" s="39" t="s">
        <v>46</v>
      </c>
      <c r="E22" s="21">
        <v>3000</v>
      </c>
      <c r="F22" s="21">
        <v>1</v>
      </c>
      <c r="G22" s="22">
        <f t="shared" si="16"/>
        <v>0.0425333333333333</v>
      </c>
      <c r="H22" s="21">
        <v>8</v>
      </c>
      <c r="I22" s="23">
        <f t="shared" si="17"/>
        <v>2181.81818181818</v>
      </c>
      <c r="J22" s="23">
        <f t="shared" si="18"/>
        <v>92.8</v>
      </c>
      <c r="K22" s="21">
        <v>3</v>
      </c>
      <c r="L22" s="23">
        <f t="shared" si="19"/>
        <v>818.181818181818</v>
      </c>
      <c r="M22" s="23">
        <f t="shared" si="20"/>
        <v>52.2</v>
      </c>
      <c r="N22" s="23">
        <f t="shared" si="21"/>
        <v>145</v>
      </c>
      <c r="O22" s="21">
        <v>1</v>
      </c>
      <c r="P22" s="24">
        <f t="shared" si="22"/>
        <v>0.0472592592592593</v>
      </c>
      <c r="Q22" s="25">
        <f t="shared" si="23"/>
        <v>0.0866666666666667</v>
      </c>
      <c r="R22" s="21">
        <v>260</v>
      </c>
      <c r="S22" s="21">
        <v>80</v>
      </c>
      <c r="T22" s="26">
        <v>45815</v>
      </c>
      <c r="U22" s="27" t="s">
        <v>27</v>
      </c>
    </row>
    <row r="23" s="1" customFormat="1" ht="36" customHeight="1" spans="1:21">
      <c r="A23" s="18"/>
      <c r="B23" s="19"/>
      <c r="C23" s="20"/>
      <c r="D23" s="19" t="s">
        <v>47</v>
      </c>
      <c r="E23" s="21">
        <v>3000</v>
      </c>
      <c r="F23" s="21">
        <v>3</v>
      </c>
      <c r="G23" s="22">
        <f t="shared" si="16"/>
        <v>0.1276</v>
      </c>
      <c r="H23" s="21">
        <v>8</v>
      </c>
      <c r="I23" s="23">
        <f t="shared" si="17"/>
        <v>2181.81818181818</v>
      </c>
      <c r="J23" s="23">
        <f t="shared" si="18"/>
        <v>92.8</v>
      </c>
      <c r="K23" s="21">
        <v>3</v>
      </c>
      <c r="L23" s="23">
        <f t="shared" si="19"/>
        <v>818.181818181818</v>
      </c>
      <c r="M23" s="23">
        <f t="shared" si="20"/>
        <v>52.2</v>
      </c>
      <c r="N23" s="23">
        <f t="shared" si="21"/>
        <v>145</v>
      </c>
      <c r="O23" s="21">
        <v>1</v>
      </c>
      <c r="P23" s="24">
        <f t="shared" si="22"/>
        <v>0.141777777777778</v>
      </c>
      <c r="Q23" s="25">
        <f t="shared" si="23"/>
        <v>0.26</v>
      </c>
      <c r="R23" s="21">
        <v>260</v>
      </c>
      <c r="S23" s="21">
        <v>80</v>
      </c>
      <c r="T23" s="26">
        <v>45815</v>
      </c>
      <c r="U23" s="27" t="s">
        <v>27</v>
      </c>
    </row>
    <row r="24" s="1" customFormat="1" ht="36" customHeight="1" spans="1:21">
      <c r="A24" s="18"/>
      <c r="B24" s="19"/>
      <c r="C24" s="20"/>
      <c r="D24" s="19" t="s">
        <v>48</v>
      </c>
      <c r="E24" s="21">
        <v>3000</v>
      </c>
      <c r="F24" s="21">
        <v>1</v>
      </c>
      <c r="G24" s="22">
        <f t="shared" si="16"/>
        <v>0.0425333333333333</v>
      </c>
      <c r="H24" s="21">
        <v>8</v>
      </c>
      <c r="I24" s="23">
        <f t="shared" si="17"/>
        <v>2181.81818181818</v>
      </c>
      <c r="J24" s="23">
        <f t="shared" si="18"/>
        <v>92.8</v>
      </c>
      <c r="K24" s="21">
        <v>3</v>
      </c>
      <c r="L24" s="23">
        <f t="shared" si="19"/>
        <v>818.181818181818</v>
      </c>
      <c r="M24" s="23">
        <f t="shared" si="20"/>
        <v>52.2</v>
      </c>
      <c r="N24" s="23">
        <f t="shared" si="21"/>
        <v>145</v>
      </c>
      <c r="O24" s="21">
        <v>1</v>
      </c>
      <c r="P24" s="24">
        <f t="shared" si="22"/>
        <v>0.0472592592592593</v>
      </c>
      <c r="Q24" s="25">
        <f t="shared" si="23"/>
        <v>0.0866666666666667</v>
      </c>
      <c r="R24" s="21">
        <v>260</v>
      </c>
      <c r="S24" s="21">
        <v>80</v>
      </c>
      <c r="T24" s="26">
        <v>45815</v>
      </c>
      <c r="U24" s="27" t="s">
        <v>27</v>
      </c>
    </row>
    <row r="25" s="1" customFormat="1" ht="36" customHeight="1" spans="1:21">
      <c r="A25" s="18"/>
      <c r="B25" s="19"/>
      <c r="C25" s="20"/>
      <c r="D25" s="19" t="s">
        <v>49</v>
      </c>
      <c r="E25" s="21">
        <v>3000</v>
      </c>
      <c r="F25" s="21">
        <v>2</v>
      </c>
      <c r="G25" s="22">
        <f t="shared" si="16"/>
        <v>0.0850666666666667</v>
      </c>
      <c r="H25" s="21">
        <v>8</v>
      </c>
      <c r="I25" s="23">
        <f t="shared" si="17"/>
        <v>2181.81818181818</v>
      </c>
      <c r="J25" s="23">
        <f t="shared" si="18"/>
        <v>92.8</v>
      </c>
      <c r="K25" s="21">
        <v>3</v>
      </c>
      <c r="L25" s="23">
        <f t="shared" si="19"/>
        <v>818.181818181818</v>
      </c>
      <c r="M25" s="23">
        <f t="shared" si="20"/>
        <v>52.2</v>
      </c>
      <c r="N25" s="23">
        <f t="shared" si="21"/>
        <v>145</v>
      </c>
      <c r="O25" s="21">
        <v>1</v>
      </c>
      <c r="P25" s="24">
        <f t="shared" si="22"/>
        <v>0.0945185185185185</v>
      </c>
      <c r="Q25" s="25">
        <f t="shared" si="23"/>
        <v>0.173333333333333</v>
      </c>
      <c r="R25" s="21">
        <v>260</v>
      </c>
      <c r="S25" s="21">
        <v>80</v>
      </c>
      <c r="T25" s="26">
        <v>45815</v>
      </c>
      <c r="U25" s="27" t="s">
        <v>27</v>
      </c>
    </row>
    <row r="26" s="1" customFormat="1" ht="36" customHeight="1" spans="1:21">
      <c r="A26" s="34"/>
      <c r="B26" s="35"/>
      <c r="C26" s="35"/>
      <c r="D26" s="35"/>
      <c r="E26" s="34"/>
      <c r="F26" s="34">
        <f>SUM(F22:F25)</f>
        <v>7</v>
      </c>
      <c r="G26" s="36">
        <f>SUM(G22:G25)</f>
        <v>0.297733333333333</v>
      </c>
      <c r="H26" s="34"/>
      <c r="I26" s="37"/>
      <c r="J26" s="37"/>
      <c r="K26" s="34"/>
      <c r="L26" s="37"/>
      <c r="M26" s="37"/>
      <c r="N26" s="37"/>
      <c r="O26" s="34"/>
      <c r="P26" s="36">
        <f>SUM(P22:P25)</f>
        <v>0.330814814814815</v>
      </c>
      <c r="Q26" s="36">
        <f>SUM(Q22:Q25)</f>
        <v>0.606666666666667</v>
      </c>
      <c r="R26" s="34"/>
      <c r="S26" s="34"/>
      <c r="T26" s="38"/>
      <c r="U26" s="38"/>
    </row>
    <row r="27" s="1" customFormat="1" ht="36" customHeight="1" spans="1:21">
      <c r="A27" s="18"/>
      <c r="B27" s="19"/>
      <c r="C27" s="28" t="s">
        <v>50</v>
      </c>
      <c r="D27" s="40" t="s">
        <v>51</v>
      </c>
      <c r="E27" s="29">
        <v>3000</v>
      </c>
      <c r="F27" s="41">
        <v>1</v>
      </c>
      <c r="G27" s="22">
        <f t="shared" ref="G27:G32" si="24">127.6*F27/E27</f>
        <v>0.0425333333333333</v>
      </c>
      <c r="H27" s="21">
        <v>8</v>
      </c>
      <c r="I27" s="23">
        <f t="shared" ref="I27:I32" si="25">+E27/11*H27</f>
        <v>2181.81818181818</v>
      </c>
      <c r="J27" s="23">
        <f t="shared" ref="J27:J32" si="26">+I27*G27/F27</f>
        <v>92.8</v>
      </c>
      <c r="K27" s="21">
        <v>3</v>
      </c>
      <c r="L27" s="23">
        <f t="shared" ref="L27:L32" si="27">+E27-I27</f>
        <v>818.181818181818</v>
      </c>
      <c r="M27" s="23">
        <f t="shared" ref="M27:M32" si="28">+L27*G27*1.5/F27</f>
        <v>52.2</v>
      </c>
      <c r="N27" s="23">
        <f t="shared" ref="N27:N32" si="29">+M27+J27</f>
        <v>145</v>
      </c>
      <c r="O27" s="21">
        <v>1</v>
      </c>
      <c r="P27" s="24">
        <f t="shared" ref="P27:P32" si="30">G27*O27/0.9</f>
        <v>0.0472592592592593</v>
      </c>
      <c r="Q27" s="25">
        <f t="shared" ref="Q27:Q32" si="31">+R27*F27/E27*O27</f>
        <v>0.0866666666666667</v>
      </c>
      <c r="R27" s="21">
        <v>260</v>
      </c>
      <c r="S27" s="21">
        <v>80</v>
      </c>
      <c r="T27" s="26">
        <v>45815</v>
      </c>
      <c r="U27" s="27" t="s">
        <v>27</v>
      </c>
    </row>
    <row r="28" s="1" customFormat="1" ht="36" customHeight="1" spans="1:21">
      <c r="A28" s="18"/>
      <c r="B28" s="19"/>
      <c r="C28" s="28"/>
      <c r="D28" s="40" t="s">
        <v>52</v>
      </c>
      <c r="E28" s="29">
        <v>3000</v>
      </c>
      <c r="F28" s="41">
        <v>1</v>
      </c>
      <c r="G28" s="22">
        <f t="shared" si="24"/>
        <v>0.0425333333333333</v>
      </c>
      <c r="H28" s="21">
        <v>8</v>
      </c>
      <c r="I28" s="23">
        <f t="shared" si="25"/>
        <v>2181.81818181818</v>
      </c>
      <c r="J28" s="23">
        <f t="shared" si="26"/>
        <v>92.8</v>
      </c>
      <c r="K28" s="21">
        <v>3</v>
      </c>
      <c r="L28" s="23">
        <f t="shared" si="27"/>
        <v>818.181818181818</v>
      </c>
      <c r="M28" s="23">
        <f t="shared" si="28"/>
        <v>52.2</v>
      </c>
      <c r="N28" s="23">
        <f t="shared" si="29"/>
        <v>145</v>
      </c>
      <c r="O28" s="21">
        <v>1</v>
      </c>
      <c r="P28" s="24">
        <f t="shared" si="30"/>
        <v>0.0472592592592593</v>
      </c>
      <c r="Q28" s="25">
        <f t="shared" si="31"/>
        <v>0.0866666666666667</v>
      </c>
      <c r="R28" s="21">
        <v>260</v>
      </c>
      <c r="S28" s="21">
        <v>80</v>
      </c>
      <c r="T28" s="26">
        <v>45815</v>
      </c>
      <c r="U28" s="27" t="s">
        <v>27</v>
      </c>
    </row>
    <row r="29" s="1" customFormat="1" ht="36" customHeight="1" spans="1:21">
      <c r="A29" s="18"/>
      <c r="B29" s="19"/>
      <c r="C29" s="28"/>
      <c r="D29" s="40" t="s">
        <v>53</v>
      </c>
      <c r="E29" s="29">
        <v>3000</v>
      </c>
      <c r="F29" s="40">
        <v>2</v>
      </c>
      <c r="G29" s="22">
        <f t="shared" si="24"/>
        <v>0.0850666666666667</v>
      </c>
      <c r="H29" s="21">
        <v>8</v>
      </c>
      <c r="I29" s="23">
        <f t="shared" si="25"/>
        <v>2181.81818181818</v>
      </c>
      <c r="J29" s="23">
        <f t="shared" si="26"/>
        <v>92.8</v>
      </c>
      <c r="K29" s="21">
        <v>3</v>
      </c>
      <c r="L29" s="23">
        <f t="shared" si="27"/>
        <v>818.181818181818</v>
      </c>
      <c r="M29" s="23">
        <f t="shared" si="28"/>
        <v>52.2</v>
      </c>
      <c r="N29" s="23">
        <f t="shared" si="29"/>
        <v>145</v>
      </c>
      <c r="O29" s="21">
        <v>1</v>
      </c>
      <c r="P29" s="24">
        <f t="shared" si="30"/>
        <v>0.0945185185185185</v>
      </c>
      <c r="Q29" s="25">
        <f t="shared" si="31"/>
        <v>0.173333333333333</v>
      </c>
      <c r="R29" s="21">
        <v>260</v>
      </c>
      <c r="S29" s="21">
        <v>80</v>
      </c>
      <c r="T29" s="26">
        <v>45815</v>
      </c>
      <c r="U29" s="27" t="s">
        <v>27</v>
      </c>
    </row>
    <row r="30" s="1" customFormat="1" ht="33" spans="1:21">
      <c r="A30" s="18"/>
      <c r="B30" s="19"/>
      <c r="C30" s="28"/>
      <c r="D30" s="40" t="s">
        <v>54</v>
      </c>
      <c r="E30" s="29">
        <v>3000</v>
      </c>
      <c r="F30" s="29">
        <v>5</v>
      </c>
      <c r="G30" s="22">
        <f t="shared" si="24"/>
        <v>0.212666666666667</v>
      </c>
      <c r="H30" s="21">
        <v>8</v>
      </c>
      <c r="I30" s="23">
        <f t="shared" si="25"/>
        <v>2181.81818181818</v>
      </c>
      <c r="J30" s="23">
        <f t="shared" si="26"/>
        <v>92.8</v>
      </c>
      <c r="K30" s="21">
        <v>3</v>
      </c>
      <c r="L30" s="23">
        <f t="shared" si="27"/>
        <v>818.181818181818</v>
      </c>
      <c r="M30" s="23">
        <f t="shared" si="28"/>
        <v>52.2</v>
      </c>
      <c r="N30" s="23">
        <f t="shared" si="29"/>
        <v>145</v>
      </c>
      <c r="O30" s="21">
        <v>1</v>
      </c>
      <c r="P30" s="24">
        <f t="shared" si="30"/>
        <v>0.236296296296296</v>
      </c>
      <c r="Q30" s="25">
        <f t="shared" si="31"/>
        <v>0.433333333333333</v>
      </c>
      <c r="R30" s="21">
        <v>260</v>
      </c>
      <c r="S30" s="21">
        <v>80</v>
      </c>
      <c r="T30" s="26">
        <v>45815</v>
      </c>
      <c r="U30" s="27" t="s">
        <v>27</v>
      </c>
    </row>
    <row r="31" s="1" customFormat="1" ht="36" customHeight="1" spans="1:21">
      <c r="A31" s="18"/>
      <c r="B31" s="19"/>
      <c r="C31" s="28"/>
      <c r="D31" s="40" t="s">
        <v>55</v>
      </c>
      <c r="E31" s="29">
        <v>3000</v>
      </c>
      <c r="F31" s="29">
        <v>2</v>
      </c>
      <c r="G31" s="22">
        <f t="shared" si="24"/>
        <v>0.0850666666666667</v>
      </c>
      <c r="H31" s="21">
        <v>8</v>
      </c>
      <c r="I31" s="23">
        <f t="shared" si="25"/>
        <v>2181.81818181818</v>
      </c>
      <c r="J31" s="23">
        <f t="shared" si="26"/>
        <v>92.8</v>
      </c>
      <c r="K31" s="21">
        <v>3</v>
      </c>
      <c r="L31" s="23">
        <f t="shared" si="27"/>
        <v>818.181818181818</v>
      </c>
      <c r="M31" s="23">
        <f t="shared" si="28"/>
        <v>52.2</v>
      </c>
      <c r="N31" s="23">
        <f t="shared" si="29"/>
        <v>145</v>
      </c>
      <c r="O31" s="21">
        <v>1</v>
      </c>
      <c r="P31" s="24">
        <f t="shared" si="30"/>
        <v>0.0945185185185185</v>
      </c>
      <c r="Q31" s="25">
        <f t="shared" si="31"/>
        <v>0.173333333333333</v>
      </c>
      <c r="R31" s="21">
        <v>260</v>
      </c>
      <c r="S31" s="21">
        <v>80</v>
      </c>
      <c r="T31" s="26">
        <v>45815</v>
      </c>
      <c r="U31" s="27" t="s">
        <v>27</v>
      </c>
    </row>
    <row r="32" s="1" customFormat="1" ht="36" customHeight="1" spans="1:21">
      <c r="A32" s="18"/>
      <c r="B32" s="19"/>
      <c r="C32" s="28"/>
      <c r="D32" s="40" t="s">
        <v>37</v>
      </c>
      <c r="E32" s="29">
        <v>3000</v>
      </c>
      <c r="F32" s="29">
        <v>2</v>
      </c>
      <c r="G32" s="22">
        <f t="shared" si="24"/>
        <v>0.0850666666666667</v>
      </c>
      <c r="H32" s="21">
        <v>8</v>
      </c>
      <c r="I32" s="23">
        <f t="shared" si="25"/>
        <v>2181.81818181818</v>
      </c>
      <c r="J32" s="23">
        <f t="shared" si="26"/>
        <v>92.8</v>
      </c>
      <c r="K32" s="21">
        <v>3</v>
      </c>
      <c r="L32" s="23">
        <f t="shared" si="27"/>
        <v>818.181818181818</v>
      </c>
      <c r="M32" s="23">
        <f t="shared" si="28"/>
        <v>52.2</v>
      </c>
      <c r="N32" s="23">
        <f t="shared" si="29"/>
        <v>145</v>
      </c>
      <c r="O32" s="21">
        <v>1</v>
      </c>
      <c r="P32" s="24">
        <f t="shared" si="30"/>
        <v>0.0945185185185185</v>
      </c>
      <c r="Q32" s="25">
        <f t="shared" si="31"/>
        <v>0.173333333333333</v>
      </c>
      <c r="R32" s="21">
        <v>260</v>
      </c>
      <c r="S32" s="21">
        <v>80</v>
      </c>
      <c r="T32" s="26">
        <v>45815</v>
      </c>
      <c r="U32" s="27" t="s">
        <v>27</v>
      </c>
    </row>
    <row r="33" s="1" customFormat="1" ht="36" customHeight="1" spans="1:21">
      <c r="A33" s="34"/>
      <c r="B33" s="35"/>
      <c r="C33" s="35"/>
      <c r="D33" s="35"/>
      <c r="E33" s="34"/>
      <c r="F33" s="34">
        <f>SUM(F27:F32)</f>
        <v>13</v>
      </c>
      <c r="G33" s="36">
        <f>SUM(G27:G32)</f>
        <v>0.552933333333333</v>
      </c>
      <c r="H33" s="34"/>
      <c r="I33" s="37"/>
      <c r="J33" s="37"/>
      <c r="K33" s="34"/>
      <c r="L33" s="37"/>
      <c r="M33" s="37"/>
      <c r="N33" s="37"/>
      <c r="O33" s="34"/>
      <c r="P33" s="36">
        <f>SUM(P27:P32)</f>
        <v>0.61437037037037</v>
      </c>
      <c r="Q33" s="36">
        <f>SUM(Q27:Q32)</f>
        <v>1.12666666666667</v>
      </c>
      <c r="R33" s="34"/>
      <c r="S33" s="34"/>
      <c r="T33" s="38"/>
      <c r="U33" s="38"/>
    </row>
    <row r="34" s="1" customFormat="1" ht="36" customHeight="1" spans="1:21">
      <c r="A34" s="18"/>
      <c r="B34" s="19">
        <v>9</v>
      </c>
      <c r="C34" s="20" t="s">
        <v>56</v>
      </c>
      <c r="D34" s="19" t="s">
        <v>57</v>
      </c>
      <c r="E34" s="21">
        <v>3000</v>
      </c>
      <c r="F34" s="21">
        <v>1</v>
      </c>
      <c r="G34" s="22">
        <f t="shared" ref="G34:G53" si="32">127.6*F34/E34</f>
        <v>0.0425333333333333</v>
      </c>
      <c r="H34" s="21">
        <v>8</v>
      </c>
      <c r="I34" s="23">
        <f t="shared" ref="I34:I53" si="33">+E34/11*H34</f>
        <v>2181.81818181818</v>
      </c>
      <c r="J34" s="23">
        <f t="shared" ref="J34:J53" si="34">+I34*G34/F34</f>
        <v>92.8</v>
      </c>
      <c r="K34" s="21">
        <v>3</v>
      </c>
      <c r="L34" s="23">
        <f t="shared" ref="L34:L53" si="35">+E34-I34</f>
        <v>818.181818181818</v>
      </c>
      <c r="M34" s="23">
        <f t="shared" ref="M34:M53" si="36">+L34*G34*1.5/F34</f>
        <v>52.2</v>
      </c>
      <c r="N34" s="23">
        <f t="shared" ref="N34:N53" si="37">+M34+J34</f>
        <v>145</v>
      </c>
      <c r="O34" s="21">
        <v>1</v>
      </c>
      <c r="P34" s="24">
        <f t="shared" ref="P34:P53" si="38">G34*O34/0.9</f>
        <v>0.0472592592592593</v>
      </c>
      <c r="Q34" s="25">
        <f t="shared" ref="Q34:Q53" si="39">+R34*F34/E34*O34</f>
        <v>0.0866666666666667</v>
      </c>
      <c r="R34" s="21">
        <v>260</v>
      </c>
      <c r="S34" s="21">
        <v>80</v>
      </c>
      <c r="T34" s="26">
        <v>45815</v>
      </c>
      <c r="U34" s="27" t="s">
        <v>27</v>
      </c>
    </row>
    <row r="35" s="1" customFormat="1" ht="36" customHeight="1" spans="1:21">
      <c r="A35" s="18"/>
      <c r="B35" s="19"/>
      <c r="C35" s="20"/>
      <c r="D35" s="19" t="s">
        <v>58</v>
      </c>
      <c r="E35" s="21">
        <v>3000</v>
      </c>
      <c r="F35" s="21">
        <v>1</v>
      </c>
      <c r="G35" s="22">
        <f t="shared" si="32"/>
        <v>0.0425333333333333</v>
      </c>
      <c r="H35" s="21">
        <v>8</v>
      </c>
      <c r="I35" s="23">
        <f t="shared" si="33"/>
        <v>2181.81818181818</v>
      </c>
      <c r="J35" s="23">
        <f t="shared" si="34"/>
        <v>92.8</v>
      </c>
      <c r="K35" s="21">
        <v>3</v>
      </c>
      <c r="L35" s="23">
        <f t="shared" si="35"/>
        <v>818.181818181818</v>
      </c>
      <c r="M35" s="23">
        <f t="shared" si="36"/>
        <v>52.2</v>
      </c>
      <c r="N35" s="23">
        <f t="shared" si="37"/>
        <v>145</v>
      </c>
      <c r="O35" s="21">
        <v>1</v>
      </c>
      <c r="P35" s="24">
        <f t="shared" si="38"/>
        <v>0.0472592592592593</v>
      </c>
      <c r="Q35" s="25">
        <f t="shared" si="39"/>
        <v>0.0866666666666667</v>
      </c>
      <c r="R35" s="21">
        <v>260</v>
      </c>
      <c r="S35" s="21">
        <v>80</v>
      </c>
      <c r="T35" s="26">
        <v>45815</v>
      </c>
      <c r="U35" s="27" t="s">
        <v>27</v>
      </c>
    </row>
    <row r="36" s="1" customFormat="1" ht="36" customHeight="1" spans="1:21">
      <c r="A36" s="18"/>
      <c r="B36" s="19"/>
      <c r="C36" s="20"/>
      <c r="D36" s="19" t="s">
        <v>59</v>
      </c>
      <c r="E36" s="21">
        <v>3000</v>
      </c>
      <c r="F36" s="21">
        <v>1</v>
      </c>
      <c r="G36" s="22">
        <f t="shared" si="32"/>
        <v>0.0425333333333333</v>
      </c>
      <c r="H36" s="21">
        <v>8</v>
      </c>
      <c r="I36" s="23">
        <f t="shared" si="33"/>
        <v>2181.81818181818</v>
      </c>
      <c r="J36" s="23">
        <f t="shared" si="34"/>
        <v>92.8</v>
      </c>
      <c r="K36" s="21">
        <v>3</v>
      </c>
      <c r="L36" s="23">
        <f t="shared" si="35"/>
        <v>818.181818181818</v>
      </c>
      <c r="M36" s="23">
        <f t="shared" si="36"/>
        <v>52.2</v>
      </c>
      <c r="N36" s="23">
        <f t="shared" si="37"/>
        <v>145</v>
      </c>
      <c r="O36" s="21">
        <v>1</v>
      </c>
      <c r="P36" s="24">
        <f t="shared" si="38"/>
        <v>0.0472592592592593</v>
      </c>
      <c r="Q36" s="25">
        <f t="shared" si="39"/>
        <v>0.0866666666666667</v>
      </c>
      <c r="R36" s="21">
        <v>260</v>
      </c>
      <c r="S36" s="21">
        <v>80</v>
      </c>
      <c r="T36" s="26">
        <v>45815</v>
      </c>
      <c r="U36" s="27" t="s">
        <v>27</v>
      </c>
    </row>
    <row r="37" s="1" customFormat="1" ht="36" customHeight="1" spans="1:21">
      <c r="A37" s="18"/>
      <c r="B37" s="19"/>
      <c r="C37" s="20"/>
      <c r="D37" s="19" t="s">
        <v>60</v>
      </c>
      <c r="E37" s="21">
        <v>3000</v>
      </c>
      <c r="F37" s="21">
        <v>2</v>
      </c>
      <c r="G37" s="22">
        <f t="shared" si="32"/>
        <v>0.0850666666666667</v>
      </c>
      <c r="H37" s="21">
        <v>8</v>
      </c>
      <c r="I37" s="23">
        <f t="shared" si="33"/>
        <v>2181.81818181818</v>
      </c>
      <c r="J37" s="23">
        <f t="shared" si="34"/>
        <v>92.8</v>
      </c>
      <c r="K37" s="21">
        <v>3</v>
      </c>
      <c r="L37" s="23">
        <f t="shared" si="35"/>
        <v>818.181818181818</v>
      </c>
      <c r="M37" s="23">
        <f t="shared" si="36"/>
        <v>52.2</v>
      </c>
      <c r="N37" s="23">
        <f t="shared" si="37"/>
        <v>145</v>
      </c>
      <c r="O37" s="21">
        <v>1</v>
      </c>
      <c r="P37" s="24">
        <f t="shared" si="38"/>
        <v>0.0945185185185185</v>
      </c>
      <c r="Q37" s="25">
        <f t="shared" si="39"/>
        <v>0.173333333333333</v>
      </c>
      <c r="R37" s="21">
        <v>260</v>
      </c>
      <c r="S37" s="21">
        <v>80</v>
      </c>
      <c r="T37" s="26">
        <v>45815</v>
      </c>
      <c r="U37" s="27" t="s">
        <v>27</v>
      </c>
    </row>
    <row r="38" s="1" customFormat="1" ht="36" customHeight="1" spans="1:21">
      <c r="A38" s="18"/>
      <c r="B38" s="19"/>
      <c r="C38" s="20"/>
      <c r="D38" s="19" t="s">
        <v>61</v>
      </c>
      <c r="E38" s="21">
        <v>3000</v>
      </c>
      <c r="F38" s="21">
        <v>3</v>
      </c>
      <c r="G38" s="22">
        <f t="shared" si="32"/>
        <v>0.1276</v>
      </c>
      <c r="H38" s="21">
        <v>8</v>
      </c>
      <c r="I38" s="23">
        <f t="shared" si="33"/>
        <v>2181.81818181818</v>
      </c>
      <c r="J38" s="23">
        <f t="shared" si="34"/>
        <v>92.8</v>
      </c>
      <c r="K38" s="21">
        <v>3</v>
      </c>
      <c r="L38" s="23">
        <f t="shared" si="35"/>
        <v>818.181818181818</v>
      </c>
      <c r="M38" s="23">
        <f t="shared" si="36"/>
        <v>52.2</v>
      </c>
      <c r="N38" s="23">
        <f t="shared" si="37"/>
        <v>145</v>
      </c>
      <c r="O38" s="21">
        <v>1</v>
      </c>
      <c r="P38" s="24">
        <f t="shared" si="38"/>
        <v>0.141777777777778</v>
      </c>
      <c r="Q38" s="25">
        <f t="shared" si="39"/>
        <v>0.26</v>
      </c>
      <c r="R38" s="21">
        <v>260</v>
      </c>
      <c r="S38" s="21">
        <v>80</v>
      </c>
      <c r="T38" s="26">
        <v>45815</v>
      </c>
      <c r="U38" s="27" t="s">
        <v>27</v>
      </c>
    </row>
    <row r="39" s="1" customFormat="1" ht="36" customHeight="1" spans="1:21">
      <c r="A39" s="18"/>
      <c r="B39" s="19"/>
      <c r="C39" s="20"/>
      <c r="D39" s="19" t="s">
        <v>62</v>
      </c>
      <c r="E39" s="21">
        <v>3000</v>
      </c>
      <c r="F39" s="21">
        <v>2</v>
      </c>
      <c r="G39" s="22">
        <f t="shared" si="32"/>
        <v>0.0850666666666667</v>
      </c>
      <c r="H39" s="21">
        <v>8</v>
      </c>
      <c r="I39" s="23">
        <f t="shared" si="33"/>
        <v>2181.81818181818</v>
      </c>
      <c r="J39" s="23">
        <f t="shared" si="34"/>
        <v>92.8</v>
      </c>
      <c r="K39" s="21">
        <v>3</v>
      </c>
      <c r="L39" s="23">
        <f t="shared" si="35"/>
        <v>818.181818181818</v>
      </c>
      <c r="M39" s="23">
        <f t="shared" si="36"/>
        <v>52.2</v>
      </c>
      <c r="N39" s="23">
        <f t="shared" si="37"/>
        <v>145</v>
      </c>
      <c r="O39" s="21">
        <v>1</v>
      </c>
      <c r="P39" s="24">
        <f t="shared" si="38"/>
        <v>0.0945185185185185</v>
      </c>
      <c r="Q39" s="25">
        <f t="shared" si="39"/>
        <v>0.173333333333333</v>
      </c>
      <c r="R39" s="21">
        <v>260</v>
      </c>
      <c r="S39" s="21">
        <v>80</v>
      </c>
      <c r="T39" s="26">
        <v>45815</v>
      </c>
      <c r="U39" s="27" t="s">
        <v>27</v>
      </c>
    </row>
    <row r="40" s="1" customFormat="1" ht="36" customHeight="1" spans="1:21">
      <c r="A40" s="18"/>
      <c r="B40" s="19"/>
      <c r="C40" s="20"/>
      <c r="D40" s="19" t="s">
        <v>59</v>
      </c>
      <c r="E40" s="21">
        <v>3000</v>
      </c>
      <c r="F40" s="21">
        <v>1</v>
      </c>
      <c r="G40" s="22">
        <f t="shared" si="32"/>
        <v>0.0425333333333333</v>
      </c>
      <c r="H40" s="21">
        <v>8</v>
      </c>
      <c r="I40" s="23">
        <f t="shared" si="33"/>
        <v>2181.81818181818</v>
      </c>
      <c r="J40" s="23">
        <f t="shared" si="34"/>
        <v>92.8</v>
      </c>
      <c r="K40" s="21">
        <v>3</v>
      </c>
      <c r="L40" s="23">
        <f t="shared" si="35"/>
        <v>818.181818181818</v>
      </c>
      <c r="M40" s="23">
        <f t="shared" si="36"/>
        <v>52.2</v>
      </c>
      <c r="N40" s="23">
        <f t="shared" si="37"/>
        <v>145</v>
      </c>
      <c r="O40" s="21">
        <v>1</v>
      </c>
      <c r="P40" s="24">
        <f t="shared" si="38"/>
        <v>0.0472592592592593</v>
      </c>
      <c r="Q40" s="25">
        <f t="shared" si="39"/>
        <v>0.0866666666666667</v>
      </c>
      <c r="R40" s="21">
        <v>260</v>
      </c>
      <c r="S40" s="21">
        <v>80</v>
      </c>
      <c r="T40" s="26">
        <v>45815</v>
      </c>
      <c r="U40" s="27" t="s">
        <v>27</v>
      </c>
    </row>
    <row r="41" s="1" customFormat="1" ht="36" customHeight="1" spans="1:21">
      <c r="A41" s="18"/>
      <c r="B41" s="19"/>
      <c r="C41" s="20"/>
      <c r="D41" s="19" t="s">
        <v>63</v>
      </c>
      <c r="E41" s="21">
        <v>3000</v>
      </c>
      <c r="F41" s="21">
        <v>1</v>
      </c>
      <c r="G41" s="22">
        <f t="shared" si="32"/>
        <v>0.0425333333333333</v>
      </c>
      <c r="H41" s="21">
        <v>8</v>
      </c>
      <c r="I41" s="23">
        <f t="shared" si="33"/>
        <v>2181.81818181818</v>
      </c>
      <c r="J41" s="23">
        <f t="shared" si="34"/>
        <v>92.8</v>
      </c>
      <c r="K41" s="21">
        <v>3</v>
      </c>
      <c r="L41" s="23">
        <f t="shared" si="35"/>
        <v>818.181818181818</v>
      </c>
      <c r="M41" s="23">
        <f t="shared" si="36"/>
        <v>52.2</v>
      </c>
      <c r="N41" s="23">
        <f t="shared" si="37"/>
        <v>145</v>
      </c>
      <c r="O41" s="21">
        <v>1</v>
      </c>
      <c r="P41" s="24">
        <f t="shared" si="38"/>
        <v>0.0472592592592593</v>
      </c>
      <c r="Q41" s="25">
        <f t="shared" si="39"/>
        <v>0.0866666666666667</v>
      </c>
      <c r="R41" s="21">
        <v>260</v>
      </c>
      <c r="S41" s="21">
        <v>80</v>
      </c>
      <c r="T41" s="26">
        <v>45815</v>
      </c>
      <c r="U41" s="27" t="s">
        <v>27</v>
      </c>
    </row>
    <row r="42" s="1" customFormat="1" ht="36" customHeight="1" spans="1:21">
      <c r="A42" s="18"/>
      <c r="B42" s="19"/>
      <c r="C42" s="20"/>
      <c r="D42" s="19" t="s">
        <v>64</v>
      </c>
      <c r="E42" s="21">
        <v>3000</v>
      </c>
      <c r="F42" s="21">
        <v>1</v>
      </c>
      <c r="G42" s="22">
        <f t="shared" si="32"/>
        <v>0.0425333333333333</v>
      </c>
      <c r="H42" s="21">
        <v>8</v>
      </c>
      <c r="I42" s="23">
        <f t="shared" si="33"/>
        <v>2181.81818181818</v>
      </c>
      <c r="J42" s="23">
        <f t="shared" si="34"/>
        <v>92.8</v>
      </c>
      <c r="K42" s="21">
        <v>3</v>
      </c>
      <c r="L42" s="23">
        <f t="shared" si="35"/>
        <v>818.181818181818</v>
      </c>
      <c r="M42" s="23">
        <f t="shared" si="36"/>
        <v>52.2</v>
      </c>
      <c r="N42" s="23">
        <f t="shared" si="37"/>
        <v>145</v>
      </c>
      <c r="O42" s="21">
        <v>1</v>
      </c>
      <c r="P42" s="24">
        <f t="shared" si="38"/>
        <v>0.0472592592592593</v>
      </c>
      <c r="Q42" s="25">
        <f t="shared" si="39"/>
        <v>0.0866666666666667</v>
      </c>
      <c r="R42" s="21">
        <v>260</v>
      </c>
      <c r="S42" s="21">
        <v>80</v>
      </c>
      <c r="T42" s="26">
        <v>45815</v>
      </c>
      <c r="U42" s="27" t="s">
        <v>27</v>
      </c>
    </row>
    <row r="43" s="1" customFormat="1" ht="36" customHeight="1" spans="1:21">
      <c r="A43" s="18"/>
      <c r="B43" s="19"/>
      <c r="C43" s="20"/>
      <c r="D43" s="19" t="s">
        <v>65</v>
      </c>
      <c r="E43" s="21">
        <v>3000</v>
      </c>
      <c r="F43" s="21">
        <v>1</v>
      </c>
      <c r="G43" s="22">
        <f t="shared" si="32"/>
        <v>0.0425333333333333</v>
      </c>
      <c r="H43" s="21">
        <v>8</v>
      </c>
      <c r="I43" s="23">
        <f t="shared" si="33"/>
        <v>2181.81818181818</v>
      </c>
      <c r="J43" s="23">
        <f t="shared" si="34"/>
        <v>92.8</v>
      </c>
      <c r="K43" s="21">
        <v>3</v>
      </c>
      <c r="L43" s="23">
        <f t="shared" si="35"/>
        <v>818.181818181818</v>
      </c>
      <c r="M43" s="23">
        <f t="shared" si="36"/>
        <v>52.2</v>
      </c>
      <c r="N43" s="23">
        <f t="shared" si="37"/>
        <v>145</v>
      </c>
      <c r="O43" s="21">
        <v>1</v>
      </c>
      <c r="P43" s="24">
        <f t="shared" si="38"/>
        <v>0.0472592592592593</v>
      </c>
      <c r="Q43" s="25">
        <f t="shared" si="39"/>
        <v>0.0866666666666667</v>
      </c>
      <c r="R43" s="21">
        <v>260</v>
      </c>
      <c r="S43" s="21">
        <v>80</v>
      </c>
      <c r="T43" s="26">
        <v>45815</v>
      </c>
      <c r="U43" s="27" t="s">
        <v>27</v>
      </c>
    </row>
    <row r="44" s="1" customFormat="1" ht="36" customHeight="1" spans="1:21">
      <c r="A44" s="18"/>
      <c r="B44" s="19"/>
      <c r="C44" s="20"/>
      <c r="D44" s="19" t="s">
        <v>66</v>
      </c>
      <c r="E44" s="21">
        <v>3000</v>
      </c>
      <c r="F44" s="21">
        <v>1</v>
      </c>
      <c r="G44" s="22">
        <f t="shared" si="32"/>
        <v>0.0425333333333333</v>
      </c>
      <c r="H44" s="21">
        <v>8</v>
      </c>
      <c r="I44" s="23">
        <f t="shared" si="33"/>
        <v>2181.81818181818</v>
      </c>
      <c r="J44" s="23">
        <f t="shared" si="34"/>
        <v>92.8</v>
      </c>
      <c r="K44" s="21">
        <v>3</v>
      </c>
      <c r="L44" s="23">
        <f t="shared" si="35"/>
        <v>818.181818181818</v>
      </c>
      <c r="M44" s="23">
        <f t="shared" si="36"/>
        <v>52.2</v>
      </c>
      <c r="N44" s="23">
        <f t="shared" si="37"/>
        <v>145</v>
      </c>
      <c r="O44" s="21">
        <v>1</v>
      </c>
      <c r="P44" s="24">
        <f t="shared" si="38"/>
        <v>0.0472592592592593</v>
      </c>
      <c r="Q44" s="25">
        <f t="shared" si="39"/>
        <v>0.0866666666666667</v>
      </c>
      <c r="R44" s="21">
        <v>260</v>
      </c>
      <c r="S44" s="21">
        <v>80</v>
      </c>
      <c r="T44" s="26">
        <v>45815</v>
      </c>
      <c r="U44" s="27" t="s">
        <v>27</v>
      </c>
    </row>
    <row r="45" s="1" customFormat="1" ht="36" customHeight="1" spans="1:21">
      <c r="A45" s="18"/>
      <c r="B45" s="19"/>
      <c r="C45" s="20"/>
      <c r="D45" s="19" t="s">
        <v>67</v>
      </c>
      <c r="E45" s="21">
        <v>3000</v>
      </c>
      <c r="F45" s="21">
        <v>3</v>
      </c>
      <c r="G45" s="22">
        <f t="shared" si="32"/>
        <v>0.1276</v>
      </c>
      <c r="H45" s="21">
        <v>8</v>
      </c>
      <c r="I45" s="23">
        <f t="shared" si="33"/>
        <v>2181.81818181818</v>
      </c>
      <c r="J45" s="23">
        <f t="shared" si="34"/>
        <v>92.8</v>
      </c>
      <c r="K45" s="21">
        <v>3</v>
      </c>
      <c r="L45" s="23">
        <f t="shared" si="35"/>
        <v>818.181818181818</v>
      </c>
      <c r="M45" s="23">
        <f t="shared" si="36"/>
        <v>52.2</v>
      </c>
      <c r="N45" s="23">
        <f t="shared" si="37"/>
        <v>145</v>
      </c>
      <c r="O45" s="21">
        <v>1</v>
      </c>
      <c r="P45" s="24">
        <f t="shared" si="38"/>
        <v>0.141777777777778</v>
      </c>
      <c r="Q45" s="25">
        <f t="shared" si="39"/>
        <v>0.26</v>
      </c>
      <c r="R45" s="21">
        <v>260</v>
      </c>
      <c r="S45" s="21">
        <v>80</v>
      </c>
      <c r="T45" s="26">
        <v>45815</v>
      </c>
      <c r="U45" s="27" t="s">
        <v>27</v>
      </c>
    </row>
    <row r="46" s="1" customFormat="1" ht="36" customHeight="1" spans="1:21">
      <c r="A46" s="18"/>
      <c r="B46" s="19"/>
      <c r="C46" s="20"/>
      <c r="D46" s="19" t="s">
        <v>68</v>
      </c>
      <c r="E46" s="21">
        <v>3000</v>
      </c>
      <c r="F46" s="21">
        <v>1</v>
      </c>
      <c r="G46" s="22">
        <f t="shared" si="32"/>
        <v>0.0425333333333333</v>
      </c>
      <c r="H46" s="21">
        <v>8</v>
      </c>
      <c r="I46" s="23">
        <f t="shared" si="33"/>
        <v>2181.81818181818</v>
      </c>
      <c r="J46" s="23">
        <f t="shared" si="34"/>
        <v>92.8</v>
      </c>
      <c r="K46" s="21">
        <v>3</v>
      </c>
      <c r="L46" s="23">
        <f t="shared" si="35"/>
        <v>818.181818181818</v>
      </c>
      <c r="M46" s="23">
        <f t="shared" si="36"/>
        <v>52.2</v>
      </c>
      <c r="N46" s="23">
        <f t="shared" si="37"/>
        <v>145</v>
      </c>
      <c r="O46" s="21">
        <v>1</v>
      </c>
      <c r="P46" s="24">
        <f t="shared" si="38"/>
        <v>0.0472592592592593</v>
      </c>
      <c r="Q46" s="25">
        <f t="shared" si="39"/>
        <v>0.0866666666666667</v>
      </c>
      <c r="R46" s="21">
        <v>260</v>
      </c>
      <c r="S46" s="21">
        <v>80</v>
      </c>
      <c r="T46" s="26">
        <v>45815</v>
      </c>
      <c r="U46" s="27" t="s">
        <v>27</v>
      </c>
    </row>
    <row r="47" s="1" customFormat="1" ht="36" customHeight="1" spans="1:21">
      <c r="A47" s="18"/>
      <c r="B47" s="19"/>
      <c r="C47" s="20"/>
      <c r="D47" s="19" t="s">
        <v>69</v>
      </c>
      <c r="E47" s="21">
        <v>3000</v>
      </c>
      <c r="F47" s="21">
        <v>4</v>
      </c>
      <c r="G47" s="22">
        <f t="shared" si="32"/>
        <v>0.170133333333333</v>
      </c>
      <c r="H47" s="21">
        <v>8</v>
      </c>
      <c r="I47" s="23">
        <f t="shared" si="33"/>
        <v>2181.81818181818</v>
      </c>
      <c r="J47" s="23">
        <f t="shared" si="34"/>
        <v>92.8</v>
      </c>
      <c r="K47" s="21">
        <v>3</v>
      </c>
      <c r="L47" s="23">
        <f t="shared" si="35"/>
        <v>818.181818181818</v>
      </c>
      <c r="M47" s="23">
        <f t="shared" si="36"/>
        <v>52.2</v>
      </c>
      <c r="N47" s="23">
        <f t="shared" si="37"/>
        <v>145</v>
      </c>
      <c r="O47" s="21">
        <v>1</v>
      </c>
      <c r="P47" s="24">
        <f t="shared" si="38"/>
        <v>0.189037037037037</v>
      </c>
      <c r="Q47" s="25">
        <f t="shared" si="39"/>
        <v>0.346666666666667</v>
      </c>
      <c r="R47" s="21">
        <v>260</v>
      </c>
      <c r="S47" s="21">
        <v>80</v>
      </c>
      <c r="T47" s="26">
        <v>45815</v>
      </c>
      <c r="U47" s="27" t="s">
        <v>27</v>
      </c>
    </row>
    <row r="48" s="1" customFormat="1" ht="36" customHeight="1" spans="1:21">
      <c r="A48" s="18"/>
      <c r="B48" s="19"/>
      <c r="C48" s="20"/>
      <c r="D48" s="19" t="s">
        <v>70</v>
      </c>
      <c r="E48" s="21">
        <v>3000</v>
      </c>
      <c r="F48" s="21">
        <v>1</v>
      </c>
      <c r="G48" s="22">
        <f t="shared" si="32"/>
        <v>0.0425333333333333</v>
      </c>
      <c r="H48" s="21">
        <v>8</v>
      </c>
      <c r="I48" s="23">
        <f t="shared" si="33"/>
        <v>2181.81818181818</v>
      </c>
      <c r="J48" s="23">
        <f t="shared" si="34"/>
        <v>92.8</v>
      </c>
      <c r="K48" s="21">
        <v>3</v>
      </c>
      <c r="L48" s="23">
        <f t="shared" si="35"/>
        <v>818.181818181818</v>
      </c>
      <c r="M48" s="23">
        <f t="shared" si="36"/>
        <v>52.2</v>
      </c>
      <c r="N48" s="23">
        <f t="shared" si="37"/>
        <v>145</v>
      </c>
      <c r="O48" s="21">
        <v>1</v>
      </c>
      <c r="P48" s="24">
        <f t="shared" si="38"/>
        <v>0.0472592592592593</v>
      </c>
      <c r="Q48" s="25">
        <f t="shared" si="39"/>
        <v>0.0866666666666667</v>
      </c>
      <c r="R48" s="21">
        <v>260</v>
      </c>
      <c r="S48" s="21">
        <v>80</v>
      </c>
      <c r="T48" s="26">
        <v>45815</v>
      </c>
      <c r="U48" s="27" t="s">
        <v>27</v>
      </c>
    </row>
    <row r="49" s="1" customFormat="1" ht="36" customHeight="1" spans="1:21">
      <c r="A49" s="18"/>
      <c r="B49" s="19"/>
      <c r="C49" s="20"/>
      <c r="D49" s="19" t="s">
        <v>71</v>
      </c>
      <c r="E49" s="21">
        <v>3000</v>
      </c>
      <c r="F49" s="21">
        <v>6</v>
      </c>
      <c r="G49" s="22">
        <f t="shared" si="32"/>
        <v>0.2552</v>
      </c>
      <c r="H49" s="21">
        <v>8</v>
      </c>
      <c r="I49" s="23">
        <f t="shared" si="33"/>
        <v>2181.81818181818</v>
      </c>
      <c r="J49" s="23">
        <f t="shared" si="34"/>
        <v>92.8</v>
      </c>
      <c r="K49" s="21">
        <v>3</v>
      </c>
      <c r="L49" s="23">
        <f t="shared" si="35"/>
        <v>818.181818181818</v>
      </c>
      <c r="M49" s="23">
        <f t="shared" si="36"/>
        <v>52.2</v>
      </c>
      <c r="N49" s="23">
        <f t="shared" si="37"/>
        <v>145</v>
      </c>
      <c r="O49" s="21">
        <v>1</v>
      </c>
      <c r="P49" s="24">
        <f t="shared" si="38"/>
        <v>0.283555555555556</v>
      </c>
      <c r="Q49" s="25">
        <f t="shared" si="39"/>
        <v>0.52</v>
      </c>
      <c r="R49" s="21">
        <v>260</v>
      </c>
      <c r="S49" s="21">
        <v>80</v>
      </c>
      <c r="T49" s="26">
        <v>45815</v>
      </c>
      <c r="U49" s="27" t="s">
        <v>27</v>
      </c>
    </row>
    <row r="50" s="1" customFormat="1" ht="36" customHeight="1" spans="1:21">
      <c r="A50" s="18"/>
      <c r="B50" s="19"/>
      <c r="C50" s="20"/>
      <c r="D50" s="19" t="s">
        <v>72</v>
      </c>
      <c r="E50" s="21">
        <v>3000</v>
      </c>
      <c r="F50" s="21">
        <v>2</v>
      </c>
      <c r="G50" s="22">
        <f t="shared" si="32"/>
        <v>0.0850666666666667</v>
      </c>
      <c r="H50" s="21">
        <v>8</v>
      </c>
      <c r="I50" s="23">
        <f t="shared" si="33"/>
        <v>2181.81818181818</v>
      </c>
      <c r="J50" s="23">
        <f t="shared" si="34"/>
        <v>92.8</v>
      </c>
      <c r="K50" s="21">
        <v>3</v>
      </c>
      <c r="L50" s="23">
        <f t="shared" si="35"/>
        <v>818.181818181818</v>
      </c>
      <c r="M50" s="23">
        <f t="shared" si="36"/>
        <v>52.2</v>
      </c>
      <c r="N50" s="23">
        <f t="shared" si="37"/>
        <v>145</v>
      </c>
      <c r="O50" s="21">
        <v>1</v>
      </c>
      <c r="P50" s="24">
        <f t="shared" si="38"/>
        <v>0.0945185185185185</v>
      </c>
      <c r="Q50" s="25">
        <f t="shared" si="39"/>
        <v>0.173333333333333</v>
      </c>
      <c r="R50" s="21">
        <v>260</v>
      </c>
      <c r="S50" s="21">
        <v>80</v>
      </c>
      <c r="T50" s="26">
        <v>45815</v>
      </c>
      <c r="U50" s="27" t="s">
        <v>27</v>
      </c>
    </row>
    <row r="51" s="1" customFormat="1" ht="36" customHeight="1" spans="1:21">
      <c r="A51" s="18"/>
      <c r="B51" s="19"/>
      <c r="C51" s="20"/>
      <c r="D51" s="19" t="s">
        <v>70</v>
      </c>
      <c r="E51" s="21">
        <v>3000</v>
      </c>
      <c r="F51" s="21">
        <v>1</v>
      </c>
      <c r="G51" s="22">
        <f t="shared" si="32"/>
        <v>0.0425333333333333</v>
      </c>
      <c r="H51" s="21">
        <v>8</v>
      </c>
      <c r="I51" s="23">
        <f t="shared" si="33"/>
        <v>2181.81818181818</v>
      </c>
      <c r="J51" s="23">
        <f t="shared" si="34"/>
        <v>92.8</v>
      </c>
      <c r="K51" s="21">
        <v>3</v>
      </c>
      <c r="L51" s="23">
        <f t="shared" si="35"/>
        <v>818.181818181818</v>
      </c>
      <c r="M51" s="23">
        <f t="shared" si="36"/>
        <v>52.2</v>
      </c>
      <c r="N51" s="23">
        <f t="shared" si="37"/>
        <v>145</v>
      </c>
      <c r="O51" s="21">
        <v>1</v>
      </c>
      <c r="P51" s="24">
        <f t="shared" si="38"/>
        <v>0.0472592592592593</v>
      </c>
      <c r="Q51" s="25">
        <f t="shared" si="39"/>
        <v>0.0866666666666667</v>
      </c>
      <c r="R51" s="21">
        <v>260</v>
      </c>
      <c r="S51" s="21">
        <v>80</v>
      </c>
      <c r="T51" s="26">
        <v>45815</v>
      </c>
      <c r="U51" s="27" t="s">
        <v>27</v>
      </c>
    </row>
    <row r="52" s="1" customFormat="1" ht="36" customHeight="1" spans="1:21">
      <c r="A52" s="18"/>
      <c r="B52" s="19"/>
      <c r="C52" s="20"/>
      <c r="D52" s="19" t="s">
        <v>73</v>
      </c>
      <c r="E52" s="21">
        <v>3000</v>
      </c>
      <c r="F52" s="21">
        <v>4</v>
      </c>
      <c r="G52" s="22">
        <f t="shared" si="32"/>
        <v>0.170133333333333</v>
      </c>
      <c r="H52" s="21">
        <v>8</v>
      </c>
      <c r="I52" s="23">
        <f t="shared" si="33"/>
        <v>2181.81818181818</v>
      </c>
      <c r="J52" s="23">
        <f t="shared" si="34"/>
        <v>92.8</v>
      </c>
      <c r="K52" s="21">
        <v>3</v>
      </c>
      <c r="L52" s="23">
        <f t="shared" si="35"/>
        <v>818.181818181818</v>
      </c>
      <c r="M52" s="23">
        <f t="shared" si="36"/>
        <v>52.2</v>
      </c>
      <c r="N52" s="23">
        <f t="shared" si="37"/>
        <v>145</v>
      </c>
      <c r="O52" s="21">
        <v>1</v>
      </c>
      <c r="P52" s="24">
        <f t="shared" si="38"/>
        <v>0.189037037037037</v>
      </c>
      <c r="Q52" s="25">
        <f t="shared" si="39"/>
        <v>0.346666666666667</v>
      </c>
      <c r="R52" s="21">
        <v>260</v>
      </c>
      <c r="S52" s="21">
        <v>80</v>
      </c>
      <c r="T52" s="26">
        <v>45815</v>
      </c>
      <c r="U52" s="27" t="s">
        <v>27</v>
      </c>
    </row>
    <row r="53" s="1" customFormat="1" ht="36" customHeight="1" spans="1:21">
      <c r="A53" s="18"/>
      <c r="B53" s="19"/>
      <c r="C53" s="20"/>
      <c r="D53" s="19" t="s">
        <v>74</v>
      </c>
      <c r="E53" s="21">
        <v>3000</v>
      </c>
      <c r="F53" s="21">
        <v>3</v>
      </c>
      <c r="G53" s="22">
        <f t="shared" si="32"/>
        <v>0.1276</v>
      </c>
      <c r="H53" s="21">
        <v>8</v>
      </c>
      <c r="I53" s="23">
        <f t="shared" si="33"/>
        <v>2181.81818181818</v>
      </c>
      <c r="J53" s="23">
        <f t="shared" si="34"/>
        <v>92.8</v>
      </c>
      <c r="K53" s="21">
        <v>3</v>
      </c>
      <c r="L53" s="23">
        <f t="shared" si="35"/>
        <v>818.181818181818</v>
      </c>
      <c r="M53" s="23">
        <f t="shared" si="36"/>
        <v>52.2</v>
      </c>
      <c r="N53" s="23">
        <f t="shared" si="37"/>
        <v>145</v>
      </c>
      <c r="O53" s="21">
        <v>1</v>
      </c>
      <c r="P53" s="24">
        <f t="shared" si="38"/>
        <v>0.141777777777778</v>
      </c>
      <c r="Q53" s="25">
        <f t="shared" si="39"/>
        <v>0.26</v>
      </c>
      <c r="R53" s="21">
        <v>260</v>
      </c>
      <c r="S53" s="21">
        <v>80</v>
      </c>
      <c r="T53" s="26">
        <v>45815</v>
      </c>
      <c r="U53" s="27" t="s">
        <v>27</v>
      </c>
    </row>
    <row r="54" s="1" customFormat="1" ht="36" customHeight="1" spans="1:21">
      <c r="A54" s="34"/>
      <c r="B54" s="35"/>
      <c r="C54" s="35"/>
      <c r="D54" s="35"/>
      <c r="E54" s="34"/>
      <c r="F54" s="34">
        <f>SUM(F34:F53)</f>
        <v>40</v>
      </c>
      <c r="G54" s="36">
        <f>SUM(G34:G53)</f>
        <v>1.70133333333333</v>
      </c>
      <c r="H54" s="34"/>
      <c r="I54" s="37"/>
      <c r="J54" s="37"/>
      <c r="K54" s="34"/>
      <c r="L54" s="37"/>
      <c r="M54" s="37"/>
      <c r="N54" s="37"/>
      <c r="O54" s="34"/>
      <c r="P54" s="36">
        <f>SUM(P34:P53)</f>
        <v>1.89037037037037</v>
      </c>
      <c r="Q54" s="36">
        <f>SUM(Q34:Q53)</f>
        <v>3.46666666666667</v>
      </c>
      <c r="R54" s="34"/>
      <c r="S54" s="34"/>
      <c r="T54" s="38"/>
      <c r="U54" s="38"/>
    </row>
    <row r="55" s="1" customFormat="1" ht="36" customHeight="1" spans="1:21">
      <c r="A55" s="34"/>
      <c r="B55" s="35"/>
      <c r="C55" s="35"/>
      <c r="D55" s="35"/>
      <c r="E55" s="34"/>
      <c r="F55" s="34">
        <f>F54+F33+F26+F21+F18+F14</f>
        <v>89</v>
      </c>
      <c r="G55" s="36">
        <f>G54+G33+G26+G21+G18+G14</f>
        <v>3.67913333333333</v>
      </c>
      <c r="H55" s="34"/>
      <c r="I55" s="37"/>
      <c r="J55" s="37"/>
      <c r="K55" s="34"/>
      <c r="L55" s="37"/>
      <c r="M55" s="37"/>
      <c r="N55" s="37"/>
      <c r="O55" s="34"/>
      <c r="P55" s="36">
        <f>P54+P33+P26+P21+P18+P14</f>
        <v>4.08792592592593</v>
      </c>
      <c r="Q55" s="36">
        <f>Q54+Q33+Q26+Q21+Q18+Q14</f>
        <v>7.49666666666667</v>
      </c>
      <c r="R55" s="34"/>
      <c r="S55" s="34"/>
      <c r="T55" s="38"/>
      <c r="U55" s="38"/>
    </row>
  </sheetData>
  <mergeCells count="1">
    <mergeCell ref="K1:K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郑大能</cp:lastModifiedBy>
  <dcterms:created xsi:type="dcterms:W3CDTF">2026-07-14T02:09:06Z</dcterms:created>
  <dcterms:modified xsi:type="dcterms:W3CDTF">2026-07-14T02:09:20Z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775083B3E9114CD492A03C47F756A973_11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