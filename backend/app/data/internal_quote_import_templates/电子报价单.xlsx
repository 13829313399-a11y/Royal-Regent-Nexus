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电子报价" sheetId="1" r:id="rId1"/>
  </sheets>
  <externalReferences>
    <externalReference r:id="rId2"/>
    <externalReference r:id="rId3"/>
  </externalReferences>
  <definedNames>
    <definedName name="A">#REF!</definedName>
    <definedName name="cavity">'[1]Form-003'!#REF!</definedName>
    <definedName name="cycle.time">'[1]Form-003'!#REF!</definedName>
    <definedName name="mold.color">'[1]Form-003'!#REF!</definedName>
    <definedName name="mold.cost">'[1]Form-003'!#REF!</definedName>
    <definedName name="mold.height">'[1]Form-003'!#REF!</definedName>
    <definedName name="mold.length">'[1]Form-003'!#REF!</definedName>
    <definedName name="mold.material">'[1]Form-003'!#REF!</definedName>
    <definedName name="mold.name">'[1]Form-003'!#REF!</definedName>
    <definedName name="mold.number">'[1]Form-003'!#REF!</definedName>
    <definedName name="mold.partweight">'[1]Form-003'!#REF!</definedName>
    <definedName name="mold.usage">'[1]Form-003'!#REF!</definedName>
    <definedName name="mold.width">'[1]Form-003'!#REF!</definedName>
    <definedName name="part.list">'[1]Form-003'!#REF!</definedName>
    <definedName name="Prepared.By">'[1]Form-003'!#REF!</definedName>
    <definedName name="Ref.Number">'[1]Form-003'!#REF!</definedName>
    <definedName name="Revised.By">'[1]Form-003'!#REF!</definedName>
    <definedName name="tool.plan">'[1]Form-003'!#REF!</definedName>
    <definedName name="up">'[1]Form-003'!#REF!</definedName>
    <definedName name="Vendor">'[1]Form-003'!#REF!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<sst xmlns="http://schemas.openxmlformats.org/spreadsheetml/2006/main" count="76" uniqueCount="75">
  <si>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东莞市登信电子有限公司</t>
  </si>
  <si>
    <t>香港地址:九龙尖沙咀科学馆道1号康宏广场南座12字楼07-08室　国内地址：东莞市清溪镇上元管理区登信厂　</t>
  </si>
  <si>
    <t>TEL:(852)24250720  FAX:(852)24243407            TEL:0769-87312864   FAX:0769-87312894</t>
  </si>
  <si>
    <t>电子报价单</t>
  </si>
  <si>
    <t>产品名称: 管道吹风球(DC直供无电池)         产品编号：         客户： 兴信/ Exceenis           报价日期：2026.6.13</t>
  </si>
  <si>
    <t>零件名称</t>
  </si>
  <si>
    <t>规格</t>
  </si>
  <si>
    <t>用量</t>
  </si>
  <si>
    <t>单价RMB</t>
  </si>
  <si>
    <t>合计RMB</t>
  </si>
  <si>
    <t>备注</t>
  </si>
  <si>
    <t>IC</t>
  </si>
  <si>
    <t>主控IC,QFN20,带AD</t>
  </si>
  <si>
    <t>WT7530MPR SOT-89</t>
  </si>
  <si>
    <r>
      <rPr>
        <sz val="11"/>
        <rFont val="宋体"/>
        <charset val="0"/>
      </rPr>
      <t>电阻</t>
    </r>
  </si>
  <si>
    <t>SMT0603</t>
  </si>
  <si>
    <t>SMT1206</t>
  </si>
  <si>
    <r>
      <rPr>
        <sz val="11"/>
        <rFont val="宋体"/>
        <charset val="134"/>
      </rPr>
      <t>电容</t>
    </r>
  </si>
  <si>
    <t>SMT0603   106P/16V</t>
  </si>
  <si>
    <t>SMT0603   226P/16V</t>
  </si>
  <si>
    <t>SMT0603   104P</t>
  </si>
  <si>
    <t>电解</t>
  </si>
  <si>
    <t>47uF/10V  铝壳贴片 4.0*5.5  编带</t>
  </si>
  <si>
    <t>磁珠</t>
  </si>
  <si>
    <t>1206 1K/300MHZ 2A</t>
  </si>
  <si>
    <t>按键</t>
  </si>
  <si>
    <t>6*6*5  DIP</t>
  </si>
  <si>
    <t>电位器</t>
  </si>
  <si>
    <r>
      <rPr>
        <sz val="11"/>
        <rFont val="Times New Roman"/>
        <charset val="134"/>
      </rPr>
      <t xml:space="preserve">12*10*15MM, 10K </t>
    </r>
    <r>
      <rPr>
        <sz val="11"/>
        <rFont val="宋体"/>
        <charset val="134"/>
      </rPr>
      <t>带固定脚</t>
    </r>
  </si>
  <si>
    <t>LED</t>
  </si>
  <si>
    <r>
      <rPr>
        <sz val="11"/>
        <rFont val="Times New Roman"/>
        <charset val="134"/>
      </rPr>
      <t xml:space="preserve">0603 </t>
    </r>
    <r>
      <rPr>
        <sz val="11"/>
        <rFont val="宋体"/>
        <charset val="134"/>
      </rPr>
      <t>绿光</t>
    </r>
  </si>
  <si>
    <t>二极管</t>
  </si>
  <si>
    <t>1N5819 SOD123</t>
  </si>
  <si>
    <t>SS24 SMA</t>
  </si>
  <si>
    <t>三极管</t>
  </si>
  <si>
    <t>2N7002  SOT-23</t>
  </si>
  <si>
    <t>PTC</t>
  </si>
  <si>
    <t>1812 3A 16V</t>
  </si>
  <si>
    <t>PCB</t>
  </si>
  <si>
    <r>
      <rPr>
        <sz val="11"/>
        <rFont val="Times New Roman"/>
        <charset val="134"/>
      </rPr>
      <t>75*61*1.2mm</t>
    </r>
    <r>
      <rPr>
        <sz val="11"/>
        <rFont val="宋体"/>
        <charset val="134"/>
      </rPr>
      <t xml:space="preserve"> FR4双面喷锡</t>
    </r>
  </si>
  <si>
    <t>主板</t>
  </si>
  <si>
    <r>
      <rPr>
        <sz val="11"/>
        <rFont val="Times New Roman"/>
        <charset val="134"/>
      </rPr>
      <t>33*15*1.2mm</t>
    </r>
    <r>
      <rPr>
        <sz val="11"/>
        <rFont val="宋体"/>
        <charset val="134"/>
      </rPr>
      <t xml:space="preserve"> FR4双面喷锡</t>
    </r>
  </si>
  <si>
    <t>插座板</t>
  </si>
  <si>
    <t>插座</t>
  </si>
  <si>
    <t>DS-210-Q2.0,内弯</t>
  </si>
  <si>
    <r>
      <rPr>
        <sz val="11"/>
        <rFont val="Times New Roman"/>
        <charset val="134"/>
      </rPr>
      <t xml:space="preserve">3PIN </t>
    </r>
    <r>
      <rPr>
        <sz val="11"/>
        <rFont val="宋体"/>
        <charset val="134"/>
      </rPr>
      <t>间距</t>
    </r>
    <r>
      <rPr>
        <sz val="11"/>
        <rFont val="Times New Roman"/>
        <charset val="134"/>
      </rPr>
      <t>2.54MM</t>
    </r>
  </si>
  <si>
    <t>马达/USB板</t>
  </si>
  <si>
    <t>线材</t>
  </si>
  <si>
    <r>
      <rPr>
        <sz val="11"/>
        <rFont val="Times New Roman"/>
        <charset val="134"/>
      </rPr>
      <t xml:space="preserve">PVC14/0.11*1.5*150MM  </t>
    </r>
    <r>
      <rPr>
        <sz val="11"/>
        <rFont val="宋体"/>
        <charset val="134"/>
      </rPr>
      <t>单头带</t>
    </r>
    <r>
      <rPr>
        <sz val="11"/>
        <rFont val="Times New Roman"/>
        <charset val="134"/>
      </rPr>
      <t>3PIN</t>
    </r>
    <r>
      <rPr>
        <sz val="11"/>
        <rFont val="宋体"/>
        <charset val="134"/>
      </rPr>
      <t>插头</t>
    </r>
  </si>
  <si>
    <t>Tyep-C连接板</t>
  </si>
  <si>
    <r>
      <rPr>
        <sz val="11"/>
        <rFont val="Times New Roman"/>
        <charset val="134"/>
      </rPr>
      <t>2P</t>
    </r>
    <r>
      <rPr>
        <sz val="11"/>
        <rFont val="宋体"/>
        <charset val="134"/>
      </rPr>
      <t>电池插头线，</t>
    </r>
    <r>
      <rPr>
        <sz val="11"/>
        <rFont val="Times New Roman"/>
        <charset val="134"/>
      </rPr>
      <t>PVC14/1.6mm*100</t>
    </r>
  </si>
  <si>
    <t>电池对接</t>
  </si>
  <si>
    <r>
      <rPr>
        <sz val="11"/>
        <rFont val="宋体"/>
        <charset val="0"/>
      </rPr>
      <t>焊锡</t>
    </r>
  </si>
  <si>
    <r>
      <rPr>
        <sz val="11"/>
        <rFont val="宋体"/>
        <charset val="134"/>
      </rPr>
      <t>黄胶</t>
    </r>
  </si>
  <si>
    <r>
      <rPr>
        <sz val="11"/>
        <rFont val="宋体"/>
        <charset val="134"/>
      </rPr>
      <t>辅料</t>
    </r>
  </si>
  <si>
    <r>
      <rPr>
        <sz val="12"/>
        <rFont val="Times New Roman"/>
        <charset val="0"/>
      </rPr>
      <t>PCB</t>
    </r>
    <r>
      <rPr>
        <sz val="12"/>
        <rFont val="宋体"/>
        <charset val="0"/>
      </rPr>
      <t>模费：</t>
    </r>
    <r>
      <rPr>
        <sz val="12"/>
        <rFont val="Times New Roman"/>
        <charset val="0"/>
      </rPr>
      <t>RMB3000</t>
    </r>
  </si>
  <si>
    <t>注：无刷风扇，DC充电头兴信订购</t>
  </si>
  <si>
    <r>
      <rPr>
        <sz val="12"/>
        <rFont val="宋体"/>
        <charset val="134"/>
      </rPr>
      <t>零件成本</t>
    </r>
    <r>
      <rPr>
        <sz val="12"/>
        <rFont val="Times New Roman"/>
        <charset val="0"/>
      </rPr>
      <t>:</t>
    </r>
  </si>
  <si>
    <t>邦定成本:</t>
  </si>
  <si>
    <t>贴片成本:</t>
  </si>
  <si>
    <t>人工成本:</t>
  </si>
  <si>
    <t>测试费用:</t>
  </si>
  <si>
    <t>包装运输:</t>
  </si>
  <si>
    <t>此报价为ROHS+6P不含利润</t>
  </si>
  <si>
    <r>
      <rPr>
        <sz val="12"/>
        <rFont val="宋体"/>
        <charset val="134"/>
      </rPr>
      <t>合计成本</t>
    </r>
    <r>
      <rPr>
        <sz val="12"/>
        <rFont val="Times New Roman"/>
        <charset val="0"/>
      </rPr>
      <t>:</t>
    </r>
  </si>
  <si>
    <r>
      <rPr>
        <sz val="12"/>
        <rFont val="宋体"/>
        <charset val="134"/>
      </rPr>
      <t>含*10</t>
    </r>
    <r>
      <rPr>
        <sz val="12"/>
        <rFont val="Times New Roman"/>
        <charset val="134"/>
      </rPr>
      <t>%</t>
    </r>
    <r>
      <rPr>
        <sz val="12"/>
        <rFont val="宋体"/>
        <charset val="134"/>
      </rPr>
      <t>利润价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月结以此价为准</t>
    </r>
    <r>
      <rPr>
        <sz val="12"/>
        <rFont val="Times New Roman"/>
        <charset val="134"/>
      </rPr>
      <t>)</t>
    </r>
  </si>
  <si>
    <t>含利润价:</t>
  </si>
  <si>
    <t>RMB不含税价</t>
  </si>
  <si>
    <t>抵税差额:</t>
  </si>
  <si>
    <t>应交税负:</t>
  </si>
  <si>
    <t>含税报价:</t>
  </si>
  <si>
    <t>RMB含税价</t>
  </si>
  <si>
    <t>注：此报价按MOQ:5K数量报价，</t>
  </si>
  <si>
    <t>报价人：廖小龙               审 核：冉曰明</t>
  </si>
  <si>
    <t>核准：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</si>
</sst>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_ "/>
  </numFmts>
  <fonts count="39">
    <font>
      <sz val="12"/>
      <color theme="1"/>
      <name val="宋体"/>
      <charset val="134"/>
      <scheme val="minor"/>
    </font>
    <font>
      <sz val="12"/>
      <name val="宋体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隶书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Times New Roman"/>
      <charset val="0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宋体"/>
      <charset val="0"/>
    </font>
    <font>
      <sz val="12"/>
      <name val="Times New Roman"/>
      <charset val="0"/>
    </font>
    <font>
      <sz val="12"/>
      <name val="Times New Roman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indexed="12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0"/>
    </font>
    <font>
      <sz val="12"/>
      <name val="宋体"/>
      <charset val="0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9FB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7" fillId="0" borderId="0"/>
  </cellStyleXfs>
  <cellXfs count="8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76" fontId="14" fillId="2" borderId="2" xfId="0" applyNumberFormat="1" applyFont="1" applyFill="1" applyBorder="1" applyAlignment="1">
      <alignment horizontal="center" vertical="center"/>
    </xf>
    <xf numFmtId="178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76" fontId="15" fillId="2" borderId="2" xfId="0" applyNumberFormat="1" applyFont="1" applyFill="1" applyBorder="1" applyAlignment="1">
      <alignment horizontal="center" vertical="center"/>
    </xf>
    <xf numFmtId="178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/>
    </xf>
    <xf numFmtId="176" fontId="1" fillId="0" borderId="2" xfId="0" applyNumberFormat="1" applyFont="1" applyFill="1" applyBorder="1" applyAlignment="1">
      <alignment vertical="center"/>
    </xf>
    <xf numFmtId="0" fontId="1" fillId="0" borderId="0" xfId="49" applyFont="1" applyFill="1" applyBorder="1" applyAlignment="1">
      <alignment vertical="center"/>
    </xf>
    <xf numFmtId="176" fontId="1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643224旋转体育中心 报价单 20161119 (5420)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11</xdr:col>
      <xdr:colOff>552450</xdr:colOff>
      <xdr:row>83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423775"/>
          <a:ext cx="12763500" cy="5695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M:\SHARED\FORMS\RND\RNDFO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ceenis&#23458;%202601%20&#21561;&#39118;&#29699;&#31649;&#36947;&#25253;&#20215;20260620(8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003"/>
      <sheetName val="Form-004"/>
      <sheetName val="Sheet2"/>
      <sheetName val="Sheet3"/>
      <sheetName val="Form_003"/>
      <sheetName val="COG&amp;Quote-asst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601法国吹风机"/>
      <sheetName val="模价啤工"/>
      <sheetName val="喷油"/>
      <sheetName val="装工"/>
      <sheetName val="五金 磁铁"/>
      <sheetName val="纸托盘"/>
      <sheetName val="充电器"/>
      <sheetName val="风扇"/>
      <sheetName val="球"/>
      <sheetName val="彩盒"/>
      <sheetName val="说明书卡纸"/>
      <sheetName val="电子报价"/>
      <sheetName val="珠珍棉"/>
      <sheetName val="透明管"/>
      <sheetName val="胶贴 "/>
      <sheetName val="胶袋"/>
      <sheetName val="自制拉管机价格"/>
      <sheetName val="PETG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23" workbookViewId="0">
      <selection activeCell="B40" sqref="B40"/>
    </sheetView>
  </sheetViews>
  <sheetFormatPr defaultColWidth="8" defaultRowHeight="15.75" outlineLevelCol="7"/>
  <cols>
    <col min="1" max="1" width="10.625" style="2" customWidth="1"/>
    <col min="2" max="2" width="57.625" style="2" customWidth="1"/>
    <col min="3" max="3" width="5.5" style="2" customWidth="1"/>
    <col min="4" max="4" width="10.875" style="3" customWidth="1"/>
    <col min="5" max="5" width="10.5" style="4" customWidth="1"/>
    <col min="6" max="6" width="25.125" style="2" customWidth="1"/>
    <col min="7" max="8" width="8" style="5"/>
    <col min="9" max="249" width="8" style="2"/>
    <col min="250" max="16384" width="8" style="1"/>
  </cols>
  <sheetData>
    <row r="1" ht="33" spans="1:6">
      <c r="A1" s="6" t="s">
        <v>0</v>
      </c>
      <c r="B1" s="6"/>
      <c r="C1" s="6"/>
      <c r="D1" s="6"/>
      <c r="E1" s="6"/>
      <c r="F1" s="6"/>
    </row>
    <row r="2" spans="1:6">
      <c r="A2" s="7" t="s">
        <v>1</v>
      </c>
      <c r="B2" s="7"/>
      <c r="C2" s="7"/>
      <c r="D2" s="7"/>
      <c r="E2" s="7"/>
      <c r="F2" s="7"/>
    </row>
    <row r="3" spans="1:6">
      <c r="A3" s="7" t="s">
        <v>2</v>
      </c>
      <c r="B3" s="7"/>
      <c r="C3" s="7"/>
      <c r="D3" s="7"/>
      <c r="E3" s="7"/>
      <c r="F3" s="7"/>
    </row>
    <row r="4" ht="23.25" spans="1:6">
      <c r="A4" s="8" t="s">
        <v>3</v>
      </c>
      <c r="B4" s="8"/>
      <c r="C4" s="8"/>
      <c r="D4" s="9"/>
      <c r="E4" s="10"/>
      <c r="F4" s="8"/>
    </row>
    <row r="5" ht="17.45" customHeight="1" spans="1:6">
      <c r="A5" s="11" t="s">
        <v>4</v>
      </c>
      <c r="B5" s="11"/>
      <c r="C5" s="11"/>
      <c r="D5" s="11"/>
      <c r="E5" s="12"/>
      <c r="F5" s="11"/>
    </row>
    <row r="6" ht="17.45" customHeight="1" spans="1:6">
      <c r="A6" s="13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3" t="s">
        <v>10</v>
      </c>
    </row>
    <row r="7" ht="18" customHeight="1" spans="1:6">
      <c r="A7" s="15" t="s">
        <v>11</v>
      </c>
      <c r="B7" s="16" t="s">
        <v>12</v>
      </c>
      <c r="C7" s="17">
        <v>1</v>
      </c>
      <c r="D7" s="18">
        <v>0.9</v>
      </c>
      <c r="E7" s="18">
        <f t="shared" ref="E7:E31" si="0">C7*D7</f>
        <v>0.9</v>
      </c>
      <c r="F7" s="19"/>
    </row>
    <row r="8" ht="17.45" customHeight="1" spans="1:6">
      <c r="A8" s="20"/>
      <c r="B8" s="21" t="s">
        <v>13</v>
      </c>
      <c r="C8" s="17">
        <v>1</v>
      </c>
      <c r="D8" s="18">
        <v>0.2</v>
      </c>
      <c r="E8" s="18">
        <f t="shared" si="0"/>
        <v>0.2</v>
      </c>
      <c r="F8" s="19"/>
    </row>
    <row r="9" ht="17.45" customHeight="1" spans="1:6">
      <c r="A9" s="22" t="s">
        <v>14</v>
      </c>
      <c r="B9" s="23" t="s">
        <v>15</v>
      </c>
      <c r="C9" s="24">
        <v>18</v>
      </c>
      <c r="D9" s="25">
        <v>0.0026</v>
      </c>
      <c r="E9" s="18">
        <f t="shared" si="0"/>
        <v>0.0468</v>
      </c>
      <c r="F9" s="26"/>
    </row>
    <row r="10" ht="17.45" customHeight="1" spans="1:6">
      <c r="A10" s="27"/>
      <c r="B10" s="23" t="s">
        <v>16</v>
      </c>
      <c r="C10" s="24">
        <v>6</v>
      </c>
      <c r="D10" s="25">
        <v>0.007</v>
      </c>
      <c r="E10" s="18">
        <f t="shared" si="0"/>
        <v>0.042</v>
      </c>
      <c r="F10" s="26"/>
    </row>
    <row r="11" ht="17.45" customHeight="1" spans="1:6">
      <c r="A11" s="28" t="s">
        <v>17</v>
      </c>
      <c r="B11" s="23" t="s">
        <v>18</v>
      </c>
      <c r="C11" s="24">
        <v>3</v>
      </c>
      <c r="D11" s="25">
        <v>0.06</v>
      </c>
      <c r="E11" s="18">
        <f t="shared" si="0"/>
        <v>0.18</v>
      </c>
      <c r="F11" s="29"/>
    </row>
    <row r="12" ht="17.45" customHeight="1" spans="1:6">
      <c r="A12" s="30"/>
      <c r="B12" s="23" t="s">
        <v>19</v>
      </c>
      <c r="C12" s="24">
        <v>2</v>
      </c>
      <c r="D12" s="25">
        <v>0.08</v>
      </c>
      <c r="E12" s="18">
        <f t="shared" si="0"/>
        <v>0.16</v>
      </c>
      <c r="F12" s="29"/>
    </row>
    <row r="13" ht="17.45" customHeight="1" spans="1:6">
      <c r="A13" s="31"/>
      <c r="B13" s="23" t="s">
        <v>20</v>
      </c>
      <c r="C13" s="24">
        <v>7</v>
      </c>
      <c r="D13" s="25">
        <v>0.01</v>
      </c>
      <c r="E13" s="18">
        <f t="shared" si="0"/>
        <v>0.07</v>
      </c>
      <c r="F13" s="29"/>
    </row>
    <row r="14" ht="17.45" customHeight="1" spans="1:6">
      <c r="A14" s="32" t="s">
        <v>21</v>
      </c>
      <c r="B14" s="33" t="s">
        <v>22</v>
      </c>
      <c r="C14" s="24">
        <v>1</v>
      </c>
      <c r="D14" s="25">
        <v>0.063</v>
      </c>
      <c r="E14" s="18">
        <f t="shared" si="0"/>
        <v>0.063</v>
      </c>
      <c r="F14" s="29"/>
    </row>
    <row r="15" ht="17.45" customHeight="1" spans="1:6">
      <c r="A15" s="34" t="s">
        <v>23</v>
      </c>
      <c r="B15" s="33" t="s">
        <v>24</v>
      </c>
      <c r="C15" s="24">
        <v>2</v>
      </c>
      <c r="D15" s="25">
        <v>0.06</v>
      </c>
      <c r="E15" s="18">
        <f t="shared" si="0"/>
        <v>0.12</v>
      </c>
      <c r="F15" s="29"/>
    </row>
    <row r="16" ht="17.45" customHeight="1" spans="1:6">
      <c r="A16" s="35" t="s">
        <v>25</v>
      </c>
      <c r="B16" s="36" t="s">
        <v>26</v>
      </c>
      <c r="C16" s="37">
        <v>1</v>
      </c>
      <c r="D16" s="38">
        <v>0.04</v>
      </c>
      <c r="E16" s="18">
        <f t="shared" si="0"/>
        <v>0.04</v>
      </c>
      <c r="F16" s="39"/>
    </row>
    <row r="17" ht="17.45" customHeight="1" spans="1:8">
      <c r="A17" s="40" t="s">
        <v>27</v>
      </c>
      <c r="B17" s="36" t="s">
        <v>28</v>
      </c>
      <c r="C17" s="37">
        <v>1</v>
      </c>
      <c r="D17" s="38">
        <v>0.3</v>
      </c>
      <c r="E17" s="18">
        <f t="shared" si="0"/>
        <v>0.3</v>
      </c>
      <c r="F17" s="39"/>
    </row>
    <row r="18" ht="17.45" customHeight="1" spans="1:8">
      <c r="A18" s="41" t="s">
        <v>29</v>
      </c>
      <c r="B18" s="41" t="s">
        <v>30</v>
      </c>
      <c r="C18" s="37">
        <v>5</v>
      </c>
      <c r="D18" s="38">
        <v>0.035</v>
      </c>
      <c r="E18" s="18">
        <f t="shared" si="0"/>
        <v>0.175</v>
      </c>
      <c r="F18" s="39"/>
    </row>
    <row r="19" ht="17.45" customHeight="1" spans="1:8">
      <c r="A19" s="42" t="s">
        <v>31</v>
      </c>
      <c r="B19" s="41" t="s">
        <v>32</v>
      </c>
      <c r="C19" s="37">
        <v>1</v>
      </c>
      <c r="D19" s="38">
        <v>0.04</v>
      </c>
      <c r="E19" s="18">
        <f t="shared" si="0"/>
        <v>0.04</v>
      </c>
      <c r="F19" s="39"/>
    </row>
    <row r="20" ht="17.45" customHeight="1" spans="1:8">
      <c r="A20" s="40"/>
      <c r="B20" s="41" t="s">
        <v>33</v>
      </c>
      <c r="C20" s="37">
        <v>1</v>
      </c>
      <c r="D20" s="38">
        <v>0.04</v>
      </c>
      <c r="E20" s="18">
        <f t="shared" si="0"/>
        <v>0.04</v>
      </c>
      <c r="F20" s="39"/>
    </row>
    <row r="21" ht="17.45" customHeight="1" spans="1:8">
      <c r="A21" s="40" t="s">
        <v>34</v>
      </c>
      <c r="B21" s="41" t="s">
        <v>35</v>
      </c>
      <c r="C21" s="37">
        <v>1</v>
      </c>
      <c r="D21" s="38">
        <v>0.03</v>
      </c>
      <c r="E21" s="18">
        <f t="shared" si="0"/>
        <v>0.03</v>
      </c>
      <c r="F21" s="39"/>
    </row>
    <row r="22" ht="17.45" customHeight="1" spans="1:8">
      <c r="A22" s="35" t="s">
        <v>36</v>
      </c>
      <c r="B22" s="43" t="s">
        <v>37</v>
      </c>
      <c r="C22" s="44">
        <v>2</v>
      </c>
      <c r="D22" s="45">
        <v>0.2</v>
      </c>
      <c r="E22" s="18">
        <f t="shared" si="0"/>
        <v>0.4</v>
      </c>
      <c r="F22" s="39"/>
    </row>
    <row r="23" ht="17.45" customHeight="1" spans="1:8">
      <c r="A23" s="46" t="s">
        <v>38</v>
      </c>
      <c r="B23" s="47" t="s">
        <v>39</v>
      </c>
      <c r="C23" s="37">
        <v>1</v>
      </c>
      <c r="D23" s="38">
        <f>7.5*6.1*0.04</f>
        <v>1.83</v>
      </c>
      <c r="E23" s="18">
        <f t="shared" si="0"/>
        <v>1.83</v>
      </c>
      <c r="F23" s="48" t="s">
        <v>40</v>
      </c>
    </row>
    <row r="24" ht="17.45" customHeight="1" spans="1:8">
      <c r="A24" s="46"/>
      <c r="B24" s="47" t="s">
        <v>41</v>
      </c>
      <c r="C24" s="37">
        <v>1</v>
      </c>
      <c r="D24" s="38">
        <f>3.3*1.5*0.04</f>
        <v>0.198</v>
      </c>
      <c r="E24" s="18">
        <f t="shared" si="0"/>
        <v>0.198</v>
      </c>
      <c r="F24" s="48" t="s">
        <v>42</v>
      </c>
    </row>
    <row r="25" ht="17.45" customHeight="1" spans="1:8">
      <c r="A25" s="49" t="s">
        <v>43</v>
      </c>
      <c r="B25" s="47" t="s">
        <v>44</v>
      </c>
      <c r="C25" s="37">
        <v>1</v>
      </c>
      <c r="D25" s="38">
        <v>0.22</v>
      </c>
      <c r="E25" s="18">
        <f t="shared" si="0"/>
        <v>0.22</v>
      </c>
      <c r="F25" s="48"/>
    </row>
    <row r="26" ht="17.45" customHeight="1" spans="1:8">
      <c r="A26" s="49"/>
      <c r="B26" s="47" t="s">
        <v>45</v>
      </c>
      <c r="C26" s="37">
        <v>2</v>
      </c>
      <c r="D26" s="38">
        <v>0.04</v>
      </c>
      <c r="E26" s="18">
        <f t="shared" si="0"/>
        <v>0.08</v>
      </c>
      <c r="F26" s="48" t="s">
        <v>46</v>
      </c>
    </row>
    <row r="27" s="1" customFormat="1" ht="17.45" customHeight="1" spans="1:8">
      <c r="A27" s="50" t="s">
        <v>47</v>
      </c>
      <c r="B27" s="51" t="s">
        <v>48</v>
      </c>
      <c r="C27" s="37">
        <v>1</v>
      </c>
      <c r="D27" s="38">
        <v>0.27</v>
      </c>
      <c r="E27" s="18">
        <f t="shared" si="0"/>
        <v>0.27</v>
      </c>
      <c r="F27" s="48" t="s">
        <v>49</v>
      </c>
      <c r="G27" s="52"/>
      <c r="H27" s="52"/>
    </row>
    <row r="28" s="1" customFormat="1" ht="17.45" customHeight="1" spans="1:8">
      <c r="A28" s="50" t="s">
        <v>47</v>
      </c>
      <c r="B28" s="51" t="s">
        <v>50</v>
      </c>
      <c r="C28" s="37">
        <v>1</v>
      </c>
      <c r="D28" s="38">
        <v>0.18</v>
      </c>
      <c r="E28" s="18">
        <f t="shared" si="0"/>
        <v>0.18</v>
      </c>
      <c r="F28" s="48" t="s">
        <v>51</v>
      </c>
      <c r="G28" s="52"/>
      <c r="H28" s="52"/>
    </row>
    <row r="29" s="1" customFormat="1" ht="17.45" customHeight="1" spans="1:8">
      <c r="A29" s="53" t="s">
        <v>52</v>
      </c>
      <c r="B29" s="54"/>
      <c r="C29" s="55">
        <v>23</v>
      </c>
      <c r="D29" s="45">
        <v>0.007</v>
      </c>
      <c r="E29" s="18">
        <f t="shared" si="0"/>
        <v>0.161</v>
      </c>
      <c r="F29" s="55"/>
      <c r="G29" s="52"/>
      <c r="H29" s="52"/>
    </row>
    <row r="30" s="1" customFormat="1" ht="17.45" customHeight="1" spans="1:8">
      <c r="A30" s="54" t="s">
        <v>53</v>
      </c>
      <c r="B30" s="56"/>
      <c r="C30" s="55">
        <v>11</v>
      </c>
      <c r="D30" s="45">
        <v>0.0035</v>
      </c>
      <c r="E30" s="18">
        <f t="shared" si="0"/>
        <v>0.0385</v>
      </c>
      <c r="F30" s="55"/>
      <c r="G30" s="52"/>
      <c r="H30" s="52"/>
    </row>
    <row r="31" s="1" customFormat="1" ht="17.45" customHeight="1" spans="1:8">
      <c r="A31" s="54" t="s">
        <v>54</v>
      </c>
      <c r="B31" s="56"/>
      <c r="C31" s="55">
        <v>1</v>
      </c>
      <c r="D31" s="45">
        <f>13*10*0.0118*0.018</f>
        <v>0.027612</v>
      </c>
      <c r="E31" s="18">
        <f t="shared" si="0"/>
        <v>0.027612</v>
      </c>
      <c r="F31" s="55"/>
      <c r="G31" s="52"/>
      <c r="H31" s="52"/>
    </row>
    <row r="32" s="1" customFormat="1" ht="17.45" customHeight="1" spans="1:8">
      <c r="A32" s="57"/>
      <c r="B32" s="58"/>
      <c r="C32" s="59"/>
      <c r="D32" s="60"/>
      <c r="E32" s="60"/>
      <c r="F32" s="59"/>
      <c r="G32" s="52"/>
      <c r="H32" s="52"/>
    </row>
    <row r="33" s="1" customFormat="1" ht="17.45" customHeight="1" spans="1:8">
      <c r="A33" s="57"/>
      <c r="B33" s="58" t="s">
        <v>55</v>
      </c>
      <c r="C33" s="61"/>
      <c r="D33" s="62"/>
      <c r="E33" s="62"/>
      <c r="F33" s="59"/>
      <c r="G33" s="52"/>
      <c r="H33" s="52"/>
    </row>
    <row r="34" s="1" customFormat="1" ht="17.45" customHeight="1" spans="1:8">
      <c r="A34" s="57"/>
      <c r="B34" s="63" t="s">
        <v>56</v>
      </c>
      <c r="C34" s="64"/>
      <c r="D34" s="65"/>
      <c r="E34" s="65"/>
      <c r="F34" s="64"/>
      <c r="G34" s="52"/>
      <c r="H34" s="52"/>
    </row>
    <row r="35" s="1" customFormat="1" ht="17.45" customHeight="1" spans="1:8">
      <c r="A35" s="57"/>
      <c r="B35" s="58"/>
      <c r="C35" s="59"/>
      <c r="D35" s="60"/>
      <c r="E35" s="60"/>
      <c r="F35" s="59"/>
      <c r="G35" s="52"/>
      <c r="H35" s="52"/>
    </row>
    <row r="36" s="1" customFormat="1" ht="17.45" customHeight="1" spans="1:8">
      <c r="A36" s="57"/>
      <c r="B36" s="58"/>
      <c r="C36" s="61"/>
      <c r="D36" s="62"/>
      <c r="E36" s="62"/>
      <c r="F36" s="59"/>
      <c r="G36" s="52"/>
      <c r="H36" s="52"/>
    </row>
    <row r="37" s="1" customFormat="1" ht="17.45" customHeight="1" spans="1:8">
      <c r="A37" s="66"/>
      <c r="B37" s="67"/>
      <c r="C37" s="68"/>
      <c r="D37" s="60" t="s">
        <v>57</v>
      </c>
      <c r="E37" s="69">
        <f>SUM(E7:E36)</f>
        <v>5.811912</v>
      </c>
      <c r="F37" s="66"/>
      <c r="G37" s="70"/>
      <c r="H37" s="70"/>
    </row>
    <row r="38" s="1" customFormat="1" ht="17.45" customHeight="1" spans="1:8">
      <c r="A38" s="66"/>
      <c r="B38" s="67"/>
      <c r="C38" s="68"/>
      <c r="D38" s="60" t="s">
        <v>58</v>
      </c>
      <c r="E38" s="60">
        <v>0</v>
      </c>
      <c r="F38" s="66"/>
      <c r="G38" s="70"/>
      <c r="H38" s="70"/>
    </row>
    <row r="39" s="1" customFormat="1" ht="17.45" customHeight="1" spans="1:8">
      <c r="A39" s="66"/>
      <c r="B39" s="67"/>
      <c r="C39" s="68"/>
      <c r="D39" s="60" t="s">
        <v>59</v>
      </c>
      <c r="E39" s="60">
        <v>0.496</v>
      </c>
      <c r="F39" s="66"/>
      <c r="G39" s="70"/>
      <c r="H39" s="70"/>
    </row>
    <row r="40" s="1" customFormat="1" ht="17.45" customHeight="1" spans="1:8">
      <c r="A40" s="66"/>
      <c r="B40" s="67"/>
      <c r="C40" s="68"/>
      <c r="D40" s="60" t="s">
        <v>60</v>
      </c>
      <c r="E40" s="60">
        <v>0.6925</v>
      </c>
      <c r="F40" s="66"/>
      <c r="G40" s="70"/>
      <c r="H40" s="70"/>
    </row>
    <row r="41" s="1" customFormat="1" ht="17.45" customHeight="1" spans="1:8">
      <c r="A41" s="66"/>
      <c r="B41" s="67"/>
      <c r="C41" s="68"/>
      <c r="D41" s="60" t="s">
        <v>61</v>
      </c>
      <c r="E41" s="60">
        <v>0.14</v>
      </c>
      <c r="F41" s="66"/>
      <c r="G41" s="70"/>
      <c r="H41" s="70"/>
    </row>
    <row r="42" s="1" customFormat="1" ht="17.45" customHeight="1" spans="1:8">
      <c r="A42" s="66"/>
      <c r="B42" s="67"/>
      <c r="C42" s="68"/>
      <c r="D42" s="60" t="s">
        <v>62</v>
      </c>
      <c r="E42" s="60">
        <v>0.023</v>
      </c>
      <c r="F42" s="66"/>
      <c r="G42" s="70"/>
      <c r="H42" s="70"/>
    </row>
    <row r="43" s="1" customFormat="1" ht="17.45" customHeight="1" spans="1:8">
      <c r="A43" s="66"/>
      <c r="B43" s="71" t="s">
        <v>63</v>
      </c>
      <c r="C43" s="71"/>
      <c r="D43" s="60" t="s">
        <v>64</v>
      </c>
      <c r="E43" s="60">
        <f>SUM(E37:E42)</f>
        <v>7.163412</v>
      </c>
      <c r="F43" s="66"/>
      <c r="G43" s="70"/>
      <c r="H43" s="70"/>
    </row>
    <row r="44" s="1" customFormat="1" ht="17.45" customHeight="1" spans="1:8">
      <c r="A44" s="72"/>
      <c r="B44" s="73" t="s">
        <v>65</v>
      </c>
      <c r="C44" s="73"/>
      <c r="D44" s="74" t="s">
        <v>66</v>
      </c>
      <c r="E44" s="75">
        <f>E43*1.1</f>
        <v>7.8797532</v>
      </c>
      <c r="F44" s="76" t="s">
        <v>67</v>
      </c>
      <c r="G44" s="70"/>
      <c r="H44" s="70"/>
    </row>
    <row r="45" s="1" customFormat="1" ht="17.45" customHeight="1" spans="1:8">
      <c r="A45" s="66"/>
      <c r="B45" s="11"/>
      <c r="C45" s="11"/>
      <c r="D45" s="60" t="s">
        <v>68</v>
      </c>
      <c r="E45" s="60">
        <f>E44*0.13-E37/1.13*0.13</f>
        <v>0.355740871752212</v>
      </c>
      <c r="F45" s="66"/>
      <c r="G45" s="70"/>
      <c r="H45" s="70"/>
    </row>
    <row r="46" s="1" customFormat="1" ht="17.45" customHeight="1" spans="1:8">
      <c r="A46" s="66"/>
      <c r="B46" s="11"/>
      <c r="C46" s="11"/>
      <c r="D46" s="60" t="s">
        <v>69</v>
      </c>
      <c r="E46" s="60">
        <f>E45*0.1</f>
        <v>0.0355740871752212</v>
      </c>
      <c r="F46" s="66"/>
      <c r="G46" s="70"/>
      <c r="H46" s="70"/>
    </row>
    <row r="47" s="1" customFormat="1" ht="17.45" customHeight="1" spans="1:8">
      <c r="A47" s="72"/>
      <c r="B47" s="73"/>
      <c r="C47" s="73"/>
      <c r="D47" s="77" t="s">
        <v>70</v>
      </c>
      <c r="E47" s="78">
        <f>E44+E45+E46</f>
        <v>8.27106815892743</v>
      </c>
      <c r="F47" s="79" t="s">
        <v>71</v>
      </c>
      <c r="G47" s="70"/>
      <c r="H47" s="70"/>
    </row>
    <row r="48" s="1" customFormat="1" ht="17.45" customHeight="1" spans="1:8">
      <c r="A48" s="66"/>
      <c r="B48" s="66"/>
      <c r="C48" s="66"/>
      <c r="D48" s="60"/>
      <c r="E48" s="80"/>
      <c r="F48" s="81"/>
      <c r="G48" s="70"/>
      <c r="H48" s="70"/>
    </row>
    <row r="49" s="1" customFormat="1" ht="17.45" customHeight="1" spans="1:8">
      <c r="A49" s="66"/>
      <c r="B49" s="82" t="s">
        <v>72</v>
      </c>
      <c r="C49" s="66"/>
      <c r="D49" s="60"/>
      <c r="E49" s="66"/>
      <c r="F49" s="66"/>
      <c r="G49" s="70"/>
      <c r="H49" s="70"/>
    </row>
    <row r="50" s="1" customFormat="1" ht="17.45" customHeight="1" spans="1:8">
      <c r="A50" s="66"/>
      <c r="B50" s="71"/>
      <c r="C50" s="71"/>
      <c r="D50" s="83"/>
      <c r="E50" s="71"/>
      <c r="F50" s="71"/>
      <c r="G50" s="70"/>
      <c r="H50" s="70"/>
    </row>
    <row r="51" s="1" customFormat="1" ht="17.45" customHeight="1" spans="1:8">
      <c r="A51" s="7"/>
      <c r="D51" s="3"/>
      <c r="E51" s="4"/>
      <c r="F51" s="4"/>
      <c r="G51" s="70"/>
      <c r="H51" s="70"/>
    </row>
    <row r="52" s="1" customFormat="1" ht="17.45" customHeight="1" spans="1:8">
      <c r="A52" s="70" t="s">
        <v>73</v>
      </c>
      <c r="D52" s="3"/>
      <c r="E52" s="4" t="s">
        <v>74</v>
      </c>
      <c r="F52" s="4"/>
      <c r="G52" s="70"/>
      <c r="H52" s="70"/>
    </row>
    <row r="53" s="1" customFormat="1" ht="17.45" customHeight="1" spans="1:8">
      <c r="D53" s="3"/>
      <c r="E53" s="4"/>
      <c r="F53" s="4"/>
      <c r="G53" s="70"/>
      <c r="H53" s="70"/>
    </row>
    <row r="54" s="1" customFormat="1" ht="17.45" customHeight="1" spans="1:8">
      <c r="D54" s="3"/>
      <c r="E54" s="4"/>
      <c r="F54" s="84"/>
      <c r="G54" s="70"/>
      <c r="H54" s="70"/>
    </row>
    <row r="55" s="1" customFormat="1" ht="17.45" customHeight="1" spans="1:8">
      <c r="D55" s="85"/>
      <c r="G55" s="70"/>
      <c r="H55" s="70"/>
    </row>
    <row r="56" s="1" customFormat="1" ht="17.45" customHeight="1" spans="1:8">
      <c r="D56" s="85"/>
      <c r="G56" s="70"/>
      <c r="H56" s="70"/>
    </row>
    <row r="57" ht="17.45" customHeight="1"/>
    <row r="58" ht="17.45" customHeight="1"/>
  </sheetData>
  <mergeCells count="11">
    <mergeCell ref="A1:F1"/>
    <mergeCell ref="A2:F2"/>
    <mergeCell ref="A3:F3"/>
    <mergeCell ref="A4:F4"/>
    <mergeCell ref="A5:F5"/>
    <mergeCell ref="A7:A8"/>
    <mergeCell ref="A9:A10"/>
    <mergeCell ref="A11:A13"/>
    <mergeCell ref="A19:A20"/>
    <mergeCell ref="A23:A24"/>
    <mergeCell ref="A25:A26"/>
  </mergeCells>
  <pageMargins left="0.179166666666667" right="0.188888888888889" top="0.118055555555556" bottom="0.118055555555556" header="0.509027777777778" footer="0.235416666666667"/>
  <pageSetup paperSize="9" orientation="portrait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</dc:creator>
  <cp:lastModifiedBy>sara</cp:lastModifiedBy>
  <dcterms:created xsi:type="dcterms:W3CDTF">2026-06-25T10:07:31Z</dcterms:created>
  <dcterms:modified xsi:type="dcterms:W3CDTF">2026-06-25T10:07:36Z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3B6F24E340274BA7A997D78A22C26862_11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