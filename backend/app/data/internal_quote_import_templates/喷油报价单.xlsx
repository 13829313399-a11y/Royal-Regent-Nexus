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喷油0923" sheetId="1" r:id="rId1"/>
  </sheets>
  <externalReferences>
    <externalReference r:id="rId2"/>
    <externalReference r:id="rId3"/>
    <externalReference r:id="rId4"/>
    <externalReference r:id="rId5"/>
  </externalReferences>
  <definedNames>
    <definedName name="_CER10">#REF!</definedName>
    <definedName name="_CER100">#REF!</definedName>
    <definedName name="_CER12">#REF!</definedName>
    <definedName name="_CER120">#REF!</definedName>
    <definedName name="_CER15">#REF!</definedName>
    <definedName name="_CER150">#REF!</definedName>
    <definedName name="_CER18">#REF!</definedName>
    <definedName name="_CER180">#REF!</definedName>
    <definedName name="_CER22">#REF!</definedName>
    <definedName name="_CER220">#REF!</definedName>
    <definedName name="_CER25">#REF!</definedName>
    <definedName name="_CER27">#REF!</definedName>
    <definedName name="_CER270">#REF!</definedName>
    <definedName name="_CER30">#REF!</definedName>
    <definedName name="_CER300">#REF!</definedName>
    <definedName name="_CER33">#REF!</definedName>
    <definedName name="_CER330">#REF!</definedName>
    <definedName name="_CER360">#REF!</definedName>
    <definedName name="_CER39">#REF!</definedName>
    <definedName name="_CER390">#REF!</definedName>
    <definedName name="_CER47">#REF!</definedName>
    <definedName name="_CER470">#REF!</definedName>
    <definedName name="_CER500">#REF!</definedName>
    <definedName name="_CER56">#REF!</definedName>
    <definedName name="_CER560">#REF!</definedName>
    <definedName name="_CER68">#REF!</definedName>
    <definedName name="_CER680">#REF!</definedName>
    <definedName name="_CER750">#REF!</definedName>
    <definedName name="_CER82">#REF!</definedName>
    <definedName name="_CER820">#REF!</definedName>
    <definedName name="_EMC22706">#REF!</definedName>
    <definedName name="_EMC22712">#REF!</definedName>
    <definedName name="_EMC22716">#REF!</definedName>
    <definedName name="_EMC22720">#REF!</definedName>
    <definedName name="_EMC22730">#REF!</definedName>
    <definedName name="_EMC22740">#REF!</definedName>
    <definedName name="_EMC22760">#REF!</definedName>
    <definedName name="_EMC57001">#REF!</definedName>
    <definedName name="_EMC57100">#REF!</definedName>
    <definedName name="_EMC57200">#REF!</definedName>
    <definedName name="_EMC57300">#REF!</definedName>
    <definedName name="_EMC57400">#REF!</definedName>
    <definedName name="_EMC57500">#REF!</definedName>
    <definedName name="_EMC57600">#REF!</definedName>
    <definedName name="_EMC57700">#REF!</definedName>
    <definedName name="_EMC58001">#REF!</definedName>
    <definedName name="_EMC58101">#REF!</definedName>
    <definedName name="_EMC58200">#REF!</definedName>
    <definedName name="_EMC58300">#REF!</definedName>
    <definedName name="_EMC58400">#REF!</definedName>
    <definedName name="_EMC58500">#REF!</definedName>
    <definedName name="_HKA5206">#REF!</definedName>
    <definedName name="_HKA5221">#REF!</definedName>
    <definedName name="_HT83060">#REF!</definedName>
    <definedName name="_HT83120">#REF!</definedName>
    <definedName name="_HT83150">#REF!</definedName>
    <definedName name="_HT83180">#REF!</definedName>
    <definedName name="_HT84003">#REF!</definedName>
    <definedName name="_HT84006">#REF!</definedName>
    <definedName name="_HT84009">#REF!</definedName>
    <definedName name="_HT84012">#REF!</definedName>
    <definedName name="_HT84018">#REF!</definedName>
    <definedName name="_HT84024">#REF!</definedName>
    <definedName name="_HT84036">#REF!</definedName>
    <definedName name="_HT84048">#REF!</definedName>
    <definedName name="_HT84072">#REF!</definedName>
    <definedName name="_HT84096">#REF!</definedName>
    <definedName name="_HT84144">#REF!</definedName>
    <definedName name="_HT84192">#REF!</definedName>
    <definedName name="_HT84384">#REF!</definedName>
    <definedName name="_IND1">#REF!</definedName>
    <definedName name="_IND10">#REF!</definedName>
    <definedName name="_IND100">#REF!</definedName>
    <definedName name="_IND12">#REF!</definedName>
    <definedName name="_IND15">#REF!</definedName>
    <definedName name="_IND18">#REF!</definedName>
    <definedName name="_IND22">#REF!</definedName>
    <definedName name="_IND27">#REF!</definedName>
    <definedName name="_IND33">#REF!</definedName>
    <definedName name="_IND39">#REF!</definedName>
    <definedName name="_IND47">#REF!</definedName>
    <definedName name="_IND68">#REF!</definedName>
    <definedName name="_IND82">#REF!</definedName>
    <definedName name="_Key1" hidden="1">[1]測試資料1!#REF!</definedName>
    <definedName name="_MFR0100025">[2]StandardParts!$F$188</definedName>
    <definedName name="_MFR0170025">[2]StandardParts!$F$189</definedName>
    <definedName name="_MFR0200025">[2]StandardParts!$F$190</definedName>
    <definedName name="_MFR0250025">[2]StandardParts!$F$191</definedName>
    <definedName name="_MFR0300025">[2]StandardParts!$F$192</definedName>
    <definedName name="_MFR0400025">[2]StandardParts!$F$193</definedName>
    <definedName name="_MFR0500025">[2]StandardParts!$F$194</definedName>
    <definedName name="_MFR0650025">[2]StandardParts!$F$195</definedName>
    <definedName name="_MFR0750025">[2]StandardParts!$F$196</definedName>
    <definedName name="_MFR0900009">[2]StandardParts!$F$198</definedName>
    <definedName name="_MFR0900025">[2]StandardParts!$F$197</definedName>
    <definedName name="_SN67003">#REF!</definedName>
    <definedName name="_SN67004">#REF!</definedName>
    <definedName name="_SN67006">#REF!</definedName>
    <definedName name="_SN67009">#REF!</definedName>
    <definedName name="_SN67012">#REF!</definedName>
    <definedName name="_SN67016">#REF!</definedName>
    <definedName name="_SN67020">#REF!</definedName>
    <definedName name="_SN67030">#REF!</definedName>
    <definedName name="_SN67040">#REF!</definedName>
    <definedName name="_SN67060">#REF!</definedName>
    <definedName name="_SN67090">#REF!</definedName>
    <definedName name="_SN67120">#REF!</definedName>
    <definedName name="_SN67168">#REF!</definedName>
    <definedName name="_SN67268">#REF!</definedName>
    <definedName name="_SN67340">#REF!</definedName>
    <definedName name="_SN68004">#REF!</definedName>
    <definedName name="_SN68006">#REF!</definedName>
    <definedName name="_SN68009">#REF!</definedName>
    <definedName name="_SN68012">#REF!</definedName>
    <definedName name="_SN68016">#REF!</definedName>
    <definedName name="_SN68020">#REF!</definedName>
    <definedName name="_SN68030">#REF!</definedName>
    <definedName name="_SN68040">#REF!</definedName>
    <definedName name="_SN68060">#REF!</definedName>
    <definedName name="_SN68090">#REF!</definedName>
    <definedName name="_SN68120">#REF!</definedName>
    <definedName name="_SN68168">#REF!</definedName>
    <definedName name="_SN68268">#REF!</definedName>
    <definedName name="_SN68340">#REF!</definedName>
    <definedName name="_Sort" hidden="1">[1]測試資料1!#REF!</definedName>
    <definedName name="_SPC1000">#REF!</definedName>
    <definedName name="_SPL190">#REF!</definedName>
    <definedName name="_SPL256">#REF!</definedName>
    <definedName name="_WIN5231">#REF!</definedName>
    <definedName name="_WIN5232">#REF!</definedName>
    <definedName name="_WIN5233">#REF!</definedName>
    <definedName name="_WIN5234">#REF!</definedName>
    <definedName name="_WIN5281">#REF!</definedName>
    <definedName name="_WIN5282">#REF!</definedName>
    <definedName name="_WIN5283">#REF!</definedName>
    <definedName name="_WIN5284">#REF!</definedName>
    <definedName name="_WIN5285">#REF!</definedName>
    <definedName name="_WIN5286">#REF!</definedName>
    <definedName name="_WIN5287">#REF!</definedName>
    <definedName name="_WIN5288">#REF!</definedName>
    <definedName name="_WIN5289">#REF!</definedName>
    <definedName name="AccelerationscrewcoilspringPCB">[2]StandardParts!$F$1123</definedName>
    <definedName name="AF3x7">#REF!</definedName>
    <definedName name="ALEL1">#REF!</definedName>
    <definedName name="ALEL10">#REF!</definedName>
    <definedName name="ALEL100">#REF!</definedName>
    <definedName name="ALEL1000">#REF!</definedName>
    <definedName name="ALEL22">#REF!</definedName>
    <definedName name="ALEL220">#REF!</definedName>
    <definedName name="ALEL2PT2">#REF!</definedName>
    <definedName name="ALEL33">#REF!</definedName>
    <definedName name="ALEL330">#REF!</definedName>
    <definedName name="ALEL3PT3">#REF!</definedName>
    <definedName name="ALEL47">#REF!</definedName>
    <definedName name="ALEL470">#REF!</definedName>
    <definedName name="ALEL4PT7">#REF!</definedName>
    <definedName name="ALELLow10">#REF!</definedName>
    <definedName name="ALELLow100">#REF!</definedName>
    <definedName name="ALELLow22">#REF!</definedName>
    <definedName name="ALELLow220">#REF!</definedName>
    <definedName name="ALELLow33">#REF!</definedName>
    <definedName name="ALELLow47">#REF!</definedName>
    <definedName name="ALELNon10">#REF!</definedName>
    <definedName name="ALELNon100">#REF!</definedName>
    <definedName name="ALELNon22">#REF!</definedName>
    <definedName name="ALELNon33">#REF!</definedName>
    <definedName name="ALELNon47">#REF!</definedName>
    <definedName name="ALELPT1">#REF!</definedName>
    <definedName name="ALELPT22">#REF!</definedName>
    <definedName name="ALELPT47">#REF!</definedName>
    <definedName name="ALKALINE9V">#REF!</definedName>
    <definedName name="ALKALINEAA">#REF!</definedName>
    <definedName name="ALKALINEAAA">#REF!</definedName>
    <definedName name="ALKALINEC">#REF!</definedName>
    <definedName name="ALLPARTS">#REF!</definedName>
    <definedName name="Alnico2.25in16ohm">#REF!</definedName>
    <definedName name="Alnico2.25in32ohm">#REF!</definedName>
    <definedName name="Alnico2.25in8ohm">#REF!</definedName>
    <definedName name="Alnico2in16ohm">#REF!</definedName>
    <definedName name="Alnico2in32ohm">#REF!</definedName>
    <definedName name="Alnico2in8ohm">#REF!</definedName>
    <definedName name="AmpLM386">#REF!</definedName>
    <definedName name="AmpLM4862">#REF!</definedName>
    <definedName name="ASD">#REF!</definedName>
    <definedName name="ButtonAG13">#REF!</definedName>
    <definedName name="ButtonCellMinus">#REF!</definedName>
    <definedName name="ButtonCellPlus">#REF!</definedName>
    <definedName name="CATEGORY94994712000">#REF!</definedName>
    <definedName name="CATEGORYTITLE">#REF!</definedName>
    <definedName name="cavity">'[3]Form-003'!#REF!</definedName>
    <definedName name="CERPT001">#REF!</definedName>
    <definedName name="CERPT0022">#REF!</definedName>
    <definedName name="CERPT0033">#REF!</definedName>
    <definedName name="CERPT0047">#REF!</definedName>
    <definedName name="CERPT01">#REF!</definedName>
    <definedName name="CERPT022">#REF!</definedName>
    <definedName name="CERPT033">#REF!</definedName>
    <definedName name="CERPT047">#REF!</definedName>
    <definedName name="CERPT1">#REF!</definedName>
    <definedName name="CERPT22">#REF!</definedName>
    <definedName name="CERPT347">#REF!</definedName>
    <definedName name="Co36mm16ohm">[2]StandardParts!$F$930</definedName>
    <definedName name="Co36mm32ohm">[2]StandardParts!$F$931</definedName>
    <definedName name="Co36mm64ohm">[2]StandardParts!$F$932</definedName>
    <definedName name="Co36mm8ohm">[2]StandardParts!$F$929</definedName>
    <definedName name="CompLM339">#REF!</definedName>
    <definedName name="CompLM393">#REF!</definedName>
    <definedName name="COPYRANGE">#REF!</definedName>
    <definedName name="Crystal10MHz">#REF!</definedName>
    <definedName name="Crystal20MHz">#REF!</definedName>
    <definedName name="Crystal27pt125MHz">#REF!</definedName>
    <definedName name="Crystal27pt145MHz">#REF!</definedName>
    <definedName name="Crystal3pt579545MHz">#REF!</definedName>
    <definedName name="Crystal49pt860MHz">#REF!</definedName>
    <definedName name="Crystal4MHz">#REF!</definedName>
    <definedName name="Crystal6Mhz">#REF!</definedName>
    <definedName name="Crystal8MHz">#REF!</definedName>
    <definedName name="CustomPlushLarge">[2]StandardParts!$F$1120</definedName>
    <definedName name="CustomPlushSmall">[2]StandardParts!$F$1119</definedName>
    <definedName name="cycle.time">'[3]Form-003'!#REF!</definedName>
    <definedName name="CylindricalCellMinus">#REF!</definedName>
    <definedName name="CylindricalCellPlus">#REF!</definedName>
    <definedName name="CylindricalCellPlusMinus">#REF!</definedName>
    <definedName name="CZAA">#REF!</definedName>
    <definedName name="CZAAA">#REF!</definedName>
    <definedName name="Date">#REF!</definedName>
    <definedName name="DDFG">#REF!</definedName>
    <definedName name="DESCRETECOMPONENTS">#REF!</definedName>
    <definedName name="Diode1N4001">#REF!</definedName>
    <definedName name="Diode1N4003">#REF!</definedName>
    <definedName name="Diode1N4148">#REF!</definedName>
    <definedName name="DISCRETECOMPONENTS">#REF!</definedName>
    <definedName name="EMC73A83">#REF!</definedName>
    <definedName name="EXCELREPORT">'[4]Home Page'!$AA$1</definedName>
    <definedName name="Fe2.25in16ohm">#REF!</definedName>
    <definedName name="Fe2.25in32ohm">#REF!</definedName>
    <definedName name="Fe2.25in8ohm">#REF!</definedName>
    <definedName name="FE27mm16ohm">#REF!</definedName>
    <definedName name="FE27mm32ohm">#REF!</definedName>
    <definedName name="FE27mm64ohm">[2]StandardParts!$F$912</definedName>
    <definedName name="FE27mm8ohm">#REF!</definedName>
    <definedName name="Fe29mm16ohm">#REF!</definedName>
    <definedName name="Fe29mm32ohm">#REF!</definedName>
    <definedName name="Fe29mm8ohm">#REF!</definedName>
    <definedName name="Fe2in16ohm">#REF!</definedName>
    <definedName name="Fe2in32ohm">#REF!</definedName>
    <definedName name="Fe2in8ohm">#REF!</definedName>
    <definedName name="Fe36mm16ohm">[2]StandardParts!$F$935</definedName>
    <definedName name="Fe36mm32ohm">[2]StandardParts!$F$936</definedName>
    <definedName name="Fe36mm64ohm">[2]StandardParts!$F$937</definedName>
    <definedName name="Fe36mm8ohm">[2]StandardParts!$F$934</definedName>
    <definedName name="Fe3in16ohm">#REF!</definedName>
    <definedName name="Fe3in32ohm">#REF!</definedName>
    <definedName name="Fe3in4ohm">#REF!</definedName>
    <definedName name="Fe3in8ohm">#REF!</definedName>
    <definedName name="Fe3in8ohm3W">#REF!</definedName>
    <definedName name="Fe40mm16ohm">#REF!</definedName>
    <definedName name="Fe40mm32ohm">#REF!</definedName>
    <definedName name="Fe40mm64ohm">[2]StandardParts!$F$952</definedName>
    <definedName name="Fe40mm8ohm">#REF!</definedName>
    <definedName name="Fe4in8ohm">#REF!</definedName>
    <definedName name="GaAIASGreebC5">#REF!</definedName>
    <definedName name="GaAIASGreenC3">#REF!</definedName>
    <definedName name="GaAIASGreenC5">#REF!</definedName>
    <definedName name="GaAIASGreenD3">#REF!</definedName>
    <definedName name="GaAIASGreenD5">#REF!</definedName>
    <definedName name="GaAIASGreenWC3">#REF!</definedName>
    <definedName name="GaAIASGreenWC5">#REF!</definedName>
    <definedName name="GaAIASOrange5">#REF!</definedName>
    <definedName name="GaAIASOrangeC3">#REF!</definedName>
    <definedName name="GaAIASOrangeC5">#REF!</definedName>
    <definedName name="GaAIASOrangeD3">#REF!</definedName>
    <definedName name="GaAIASOrangeD5">#REF!</definedName>
    <definedName name="GaAIASOrangeWC3">#REF!</definedName>
    <definedName name="GaAIASRedC3">#REF!</definedName>
    <definedName name="GaAIASRedC5">#REF!</definedName>
    <definedName name="GaAIASRedD3">#REF!</definedName>
    <definedName name="GaAIASRedD5">#REF!</definedName>
    <definedName name="GaAIASRedWC3">#REF!</definedName>
    <definedName name="GaAIASRedWC5">#REF!</definedName>
    <definedName name="GaAIASYellowC3">#REF!</definedName>
    <definedName name="GaAIASYellowC5">#REF!</definedName>
    <definedName name="GaAIASYellowD3">#REF!</definedName>
    <definedName name="GaAIASYellowD5">#REF!</definedName>
    <definedName name="GaAIASYellowWC3">#REF!</definedName>
    <definedName name="GaAIASYellowWC5">#REF!</definedName>
    <definedName name="GaAsPGreenD5">#REF!</definedName>
    <definedName name="GaAsPGreenDiff3mm">#REF!</definedName>
    <definedName name="GaAsPRedD5">#REF!</definedName>
    <definedName name="GaAspRedDiff3mm">#REF!</definedName>
    <definedName name="GaAsPYellowD5">#REF!</definedName>
    <definedName name="GaAsPYellowDiff3mm">#REF!</definedName>
    <definedName name="GaNSiCBlueWC3">[2]StandardParts!$F$307</definedName>
    <definedName name="GaNSiCBlueWC5">[2]StandardParts!$F$342</definedName>
    <definedName name="GaPGreenC5">#REF!</definedName>
    <definedName name="GaPGreenClear3mm">#REF!</definedName>
    <definedName name="GaPGreenD5">#REF!</definedName>
    <definedName name="GaPGreenDiff3mm">#REF!</definedName>
    <definedName name="GaPGreenWC3mm">#REF!</definedName>
    <definedName name="GaPGreenWC5">#REF!</definedName>
    <definedName name="GaPOrangeC5">#REF!</definedName>
    <definedName name="GaPOrangeClear3mm">#REF!</definedName>
    <definedName name="GaPOrangeD5">#REF!</definedName>
    <definedName name="GaPOrangeDiff3mm">#REF!</definedName>
    <definedName name="GaPOrangeWC3mm">#REF!</definedName>
    <definedName name="GaPOrangeWC5">#REF!</definedName>
    <definedName name="GaPRedC5">#REF!</definedName>
    <definedName name="GaPRedClear3mm">#REF!</definedName>
    <definedName name="GaPRedD5">#REF!</definedName>
    <definedName name="GapRedDiff3mm">#REF!</definedName>
    <definedName name="GaPRedWC3mm">#REF!</definedName>
    <definedName name="GaPRedWC5">#REF!</definedName>
    <definedName name="GaPYellowC5">#REF!</definedName>
    <definedName name="GaPYellowClear3mm">#REF!</definedName>
    <definedName name="GaPYellowD5">#REF!</definedName>
    <definedName name="GaPYellowDiff3mm">#REF!</definedName>
    <definedName name="GaPYellowWC3mm">#REF!</definedName>
    <definedName name="GaPYellowWC5">#REF!</definedName>
    <definedName name="GovernorAN6650">#REF!</definedName>
    <definedName name="GovernorBA6220">#REF!</definedName>
    <definedName name="GovernorNEC2200">#REF!</definedName>
    <definedName name="GOW30_100">#REF!</definedName>
    <definedName name="GOW30_300">#REF!</definedName>
    <definedName name="GOW45_80">#REF!</definedName>
    <definedName name="Gravity">#REF!</definedName>
    <definedName name="GravitydrumcagePCB">[2]StandardParts!$F$1122</definedName>
    <definedName name="HKA5202M">#REF!</definedName>
    <definedName name="HKA5208C">#REF!</definedName>
    <definedName name="HKA5208OTS">#REF!</definedName>
    <definedName name="HT2810X">#REF!</definedName>
    <definedName name="HT2812X">#REF!</definedName>
    <definedName name="HT2813X">#REF!</definedName>
    <definedName name="HT2820X">#REF!</definedName>
    <definedName name="HT2821X">#REF!</definedName>
    <definedName name="HT2830X">#REF!</definedName>
    <definedName name="HT2843X">#REF!</definedName>
    <definedName name="HT2844X">#REF!</definedName>
    <definedName name="HT2860X">#REF!</definedName>
    <definedName name="HT2880X">#REF!</definedName>
    <definedName name="HT2881A">#REF!</definedName>
    <definedName name="HT2883X">#REF!</definedName>
    <definedName name="HT2884X">#REF!</definedName>
    <definedName name="HT2885X">#REF!</definedName>
    <definedName name="HT2887X">#REF!</definedName>
    <definedName name="HT811A0">#REF!</definedName>
    <definedName name="HT812D0">#REF!</definedName>
    <definedName name="HT813D0">#REF!</definedName>
    <definedName name="HT814D0">#REF!</definedName>
    <definedName name="HT815D0">#REF!</definedName>
    <definedName name="HT817D0">#REF!</definedName>
    <definedName name="HT818D0">#REF!</definedName>
    <definedName name="HT819D0">#REF!</definedName>
    <definedName name="ICEMC">[2]StandardParts!$C$607:$C$636</definedName>
    <definedName name="ICHOLTEK">[2]StandardParts!$C$636:$C$667</definedName>
    <definedName name="ICHUAKO">[2]StandardParts!$C$494:$C$504</definedName>
    <definedName name="ICNOVATEK">[2]StandardParts!$C$667:$C$692</definedName>
    <definedName name="ICREALTEK">[2]StandardParts!$C$692:$C$719</definedName>
    <definedName name="ICSONIX">[2]StandardParts!$C$719:$C$749</definedName>
    <definedName name="ICSUNPLUS">[2]StandardParts!$C$749:$C$757</definedName>
    <definedName name="ICWINBOND">[2]StandardParts!$C$757:$C$814</definedName>
    <definedName name="IND1PT2">#REF!</definedName>
    <definedName name="IND1PT5">#REF!</definedName>
    <definedName name="IND2PT2">#REF!</definedName>
    <definedName name="IND2PT7">#REF!</definedName>
    <definedName name="IND3PT3">#REF!</definedName>
    <definedName name="IND4PT7">#REF!</definedName>
    <definedName name="IND5PT6">#REF!</definedName>
    <definedName name="IND6PT8">#REF!</definedName>
    <definedName name="INDPT22">#REF!</definedName>
    <definedName name="INDPT33">#REF!</definedName>
    <definedName name="INDPT47">#REF!</definedName>
    <definedName name="INDPT68">#REF!</definedName>
    <definedName name="Inertia">#REF!</definedName>
    <definedName name="Infared2mm">#REF!</definedName>
    <definedName name="Infared3mm">#REF!</definedName>
    <definedName name="Infared5mm">#REF!</definedName>
    <definedName name="InfaredM138TK">#REF!</definedName>
    <definedName name="INFIE320H">[2]StandardParts!$F$239</definedName>
    <definedName name="INFIE320X">[2]StandardParts!$F$240</definedName>
    <definedName name="INFIE340">[2]StandardParts!$F$241</definedName>
    <definedName name="INFIE430">[2]StandardParts!$F$246</definedName>
    <definedName name="INFIE510">[2]StandardParts!$F$242</definedName>
    <definedName name="INFIE530">[2]StandardParts!$F$243</definedName>
    <definedName name="INFIE545">[2]StandardParts!$F$244</definedName>
    <definedName name="INFIE570">[2]StandardParts!$F$245</definedName>
    <definedName name="INFPD34BR">[2]StandardParts!$F$247</definedName>
    <definedName name="INFPD34BRD">[2]StandardParts!$F$248</definedName>
    <definedName name="INFPD52BR">[2]StandardParts!$F$249</definedName>
    <definedName name="INFPD52BRD">[2]StandardParts!$F$250</definedName>
    <definedName name="INFPD54BR1">[2]StandardParts!$F$251</definedName>
    <definedName name="INFPIC830FLM">[2]StandardParts!$F$252</definedName>
    <definedName name="INFPIC830TM">[2]StandardParts!$F$253</definedName>
    <definedName name="INFWPT430L">[2]StandardParts!$F$254</definedName>
    <definedName name="INFWPTS305D">[2]StandardParts!$F$255</definedName>
    <definedName name="INFWPTS306">[2]StandardParts!$F$256</definedName>
    <definedName name="INFWPTS310">[2]StandardParts!$F$257</definedName>
    <definedName name="INFWPTS510">[2]StandardParts!$F$258</definedName>
    <definedName name="INFWPTS510D">[2]StandardParts!$F$259</definedName>
    <definedName name="INFWPTS512">[2]StandardParts!$F$260</definedName>
    <definedName name="INTEGRATEDCIRCUITS">#REF!</definedName>
    <definedName name="JJJJJJ">#REF!</definedName>
    <definedName name="LampRetainer">#REF!</definedName>
    <definedName name="LCD32x54x2pt85">#REF!</definedName>
    <definedName name="LCD63pt5x54">#REF!</definedName>
    <definedName name="LgAlnico3in8ohm">#REF!</definedName>
    <definedName name="LgCo27mm16ohm">#REF!</definedName>
    <definedName name="LgCo27mm32ohm">#REF!</definedName>
    <definedName name="LgCo27mm64ohm">[2]StandardParts!$F$902</definedName>
    <definedName name="LgCo27mm8ohm">#REF!</definedName>
    <definedName name="LgCo29mm16ohm">#REF!</definedName>
    <definedName name="LgCo29mm32ohm">#REF!</definedName>
    <definedName name="LgCo29mm64ohm">[2]StandardParts!$F$917</definedName>
    <definedName name="LgCo29mm8ohm">#REF!</definedName>
    <definedName name="LgCo40mm16ohm">#REF!</definedName>
    <definedName name="LgCo40mm32ohm">#REF!</definedName>
    <definedName name="LgCo40mm64ohm">[2]StandardParts!$F$942</definedName>
    <definedName name="LgCo40mm8ohm">#REF!</definedName>
    <definedName name="LgFe29mm16ohm">[2]StandardParts!$F$925</definedName>
    <definedName name="LgFe29mm32ohm">[2]StandardParts!$F$926</definedName>
    <definedName name="LgFe29mm64ohm">[2]StandardParts!$F$927</definedName>
    <definedName name="LgFe29mm8ohm">[2]StandardParts!$F$924</definedName>
    <definedName name="LISTBOXTEMP">#REF!</definedName>
    <definedName name="Logic40106">#REF!</definedName>
    <definedName name="Logic4011">#REF!</definedName>
    <definedName name="Logic4013">#REF!</definedName>
    <definedName name="Logic4017">#REF!</definedName>
    <definedName name="Logic4069">#REF!</definedName>
    <definedName name="Logic4093">#REF!</definedName>
    <definedName name="Logic74HC393">#REF!</definedName>
    <definedName name="Logic74HC4024">#REF!</definedName>
    <definedName name="Logic74HC4040">#REF!</definedName>
    <definedName name="MFR1100025">[2]StandardParts!$F$199</definedName>
    <definedName name="MFR1350025">[2]StandardParts!$F$200</definedName>
    <definedName name="MFR1600025">[2]StandardParts!$F$201</definedName>
    <definedName name="MFR1850025">[2]StandardParts!$F$202</definedName>
    <definedName name="MFR2500010">[2]StandardParts!$F$204</definedName>
    <definedName name="MFR2500025">[2]StandardParts!$F$203</definedName>
    <definedName name="MFR3000025">[2]StandardParts!$F$205</definedName>
    <definedName name="MFR4000025">[2]StandardParts!$F$206</definedName>
    <definedName name="MFR5000025">[2]StandardParts!$F$207</definedName>
    <definedName name="MFR6000025">[2]StandardParts!$F$208</definedName>
    <definedName name="MFR7000025">[2]StandardParts!$F$209</definedName>
    <definedName name="MFR8000025">[2]StandardParts!$F$210</definedName>
    <definedName name="MFR9000025">[2]StandardParts!$F$211</definedName>
    <definedName name="Microphone6pt5">#REF!</definedName>
    <definedName name="Microphone9pt7">#REF!</definedName>
    <definedName name="mold.color">'[3]Form-003'!#REF!</definedName>
    <definedName name="mold.cost">'[3]Form-003'!#REF!</definedName>
    <definedName name="mold.height">'[3]Form-003'!#REF!</definedName>
    <definedName name="mold.length">'[3]Form-003'!#REF!</definedName>
    <definedName name="mold.material">'[3]Form-003'!#REF!</definedName>
    <definedName name="mold.name">'[3]Form-003'!#REF!</definedName>
    <definedName name="mold.number">'[3]Form-003'!#REF!</definedName>
    <definedName name="mold.partweight">'[3]Form-003'!#REF!</definedName>
    <definedName name="mold.usage">'[3]Form-003'!#REF!</definedName>
    <definedName name="mold.width">'[3]Form-003'!#REF!</definedName>
    <definedName name="MotorFA130RA_12240">#REF!</definedName>
    <definedName name="MotorFA130RA_14150">#REF!</definedName>
    <definedName name="MotorFA130RA_18100">#REF!</definedName>
    <definedName name="MotorFA130RA_2270">#REF!</definedName>
    <definedName name="MotorFA130RB_14150">#REF!</definedName>
    <definedName name="MotorFA130RB_18100">#REF!</definedName>
    <definedName name="MotorFA130RB_2270">#REF!</definedName>
    <definedName name="MotorFA280RA_20120">#REF!</definedName>
    <definedName name="MotorFA280RA_2865">#REF!</definedName>
    <definedName name="MotorFC130RA_14150">#REF!</definedName>
    <definedName name="MotorFC130RA_1865">#REF!</definedName>
    <definedName name="MotorFC130SA_14150">#REF!</definedName>
    <definedName name="MotorFFN20PN_08260">#REF!</definedName>
    <definedName name="MotorFK280SA_18165">#REF!</definedName>
    <definedName name="MotorRE140RA_12240">#REF!</definedName>
    <definedName name="MotorRE140RA_2270">#REF!</definedName>
    <definedName name="MotorRE140RB_18100">#REF!</definedName>
    <definedName name="MotorRE140RB_2270">#REF!</definedName>
    <definedName name="MotorRE260RA_18130">#REF!</definedName>
    <definedName name="MotorRE260RA_2295">#REF!</definedName>
    <definedName name="MotorRE260RA_2670">#REF!</definedName>
    <definedName name="MotorRE260RB_18130">#REF!</definedName>
    <definedName name="MotorRE260RB_2295">#REF!</definedName>
    <definedName name="MotorRE260RB_2670">#REF!</definedName>
    <definedName name="MotorRE280RA_20120">#REF!</definedName>
    <definedName name="MotorRE280RA_2865">#REF!</definedName>
    <definedName name="MotorRE280SA_2865">#REF!</definedName>
    <definedName name="MotorSH030SA_09170">#REF!</definedName>
    <definedName name="MotorSU020RA_09170">#REF!</definedName>
    <definedName name="MotorSU020RA_12110">#REF!</definedName>
    <definedName name="mpl">#REF!</definedName>
    <definedName name="NdFeB">#REF!</definedName>
    <definedName name="NOW">#REF!</definedName>
    <definedName name="NT58000H16MB">[2]StandardParts!$F$684</definedName>
    <definedName name="NT58000H32MB">[2]StandardParts!$F$685</definedName>
    <definedName name="NT58000H4MB">[2]StandardParts!$F$682</definedName>
    <definedName name="NT58000H8MB">[2]StandardParts!$F$683</definedName>
    <definedName name="NT58001H16MB">[2]StandardParts!$F$688</definedName>
    <definedName name="NT58001H32MB">[2]StandardParts!$F$689</definedName>
    <definedName name="NT58001H4MB">[2]StandardParts!$F$686</definedName>
    <definedName name="NT58001H8MB">[2]StandardParts!$F$687</definedName>
    <definedName name="NT58004H">[2]StandardParts!$F$674</definedName>
    <definedName name="NT58006H">[2]StandardParts!$F$675</definedName>
    <definedName name="NT58012H">[2]StandardParts!$F$676</definedName>
    <definedName name="NT58020H">[2]StandardParts!$F$677</definedName>
    <definedName name="NT58030H">[2]StandardParts!$F$678</definedName>
    <definedName name="NT58046H">[2]StandardParts!$F$679</definedName>
    <definedName name="NT58060H">[2]StandardParts!$F$680</definedName>
    <definedName name="NT58080H">[2]StandardParts!$F$681</definedName>
    <definedName name="NT59003H">[2]StandardParts!$F$666</definedName>
    <definedName name="NT59006H">[2]StandardParts!$F$667</definedName>
    <definedName name="NT59010H">[2]StandardParts!$F$668</definedName>
    <definedName name="NT59020H">[2]StandardParts!$F$669</definedName>
    <definedName name="NT59030H">[2]StandardParts!$F$670</definedName>
    <definedName name="NT59046H">[2]StandardParts!$F$671</definedName>
    <definedName name="NT59060H">[2]StandardParts!$F$672</definedName>
    <definedName name="NT59080H">[2]StandardParts!$F$673</definedName>
    <definedName name="OpAmpLM324">#REF!</definedName>
    <definedName name="OpAmpLM358">#REF!</definedName>
    <definedName name="Panel1P2T">#REF!</definedName>
    <definedName name="Panel1P2TPS">[2]StandardParts!$F$1107</definedName>
    <definedName name="Panel1P3T">[2]StandardParts!$F$1094</definedName>
    <definedName name="Panel2P2T">#REF!</definedName>
    <definedName name="Panel2P2TPS">[2]StandardParts!$F$1109</definedName>
    <definedName name="Panel2P3T">[2]StandardParts!$F$1100</definedName>
    <definedName name="Panel2P3TPS">[2]StandardParts!$F$1111</definedName>
    <definedName name="part.list">'[3]Form-003'!#REF!</definedName>
    <definedName name="PCB1P2T">#REF!</definedName>
    <definedName name="PCB1P2TLF101T">[2]StandardParts!$F$1133</definedName>
    <definedName name="PCB1P2TPS">[2]StandardParts!$F$1106</definedName>
    <definedName name="PCB1P2TSK12F03">[2]StandardParts!$F$1137</definedName>
    <definedName name="PCB1P3T">[2]StandardParts!$F$1093</definedName>
    <definedName name="PCB2P2T">#REF!</definedName>
    <definedName name="PCB2P2TPS">[2]StandardParts!$F$1108</definedName>
    <definedName name="PCB2P2TPS22E08L">[2]StandardParts!$F$1143</definedName>
    <definedName name="PCB2P2TPS22F03">[2]StandardParts!$F$1141</definedName>
    <definedName name="PCB2P2TSK22F12">[2]StandardParts!$F$1138</definedName>
    <definedName name="PCB2P3T">[2]StandardParts!$F$1099</definedName>
    <definedName name="PCB2P3TPS">[2]StandardParts!$F$1110</definedName>
    <definedName name="PCB2P3TSK23E01">[2]StandardParts!$F$1139</definedName>
    <definedName name="PCB2P4T">[2]StandardParts!$F$1102</definedName>
    <definedName name="PCB4P2T">[2]StandardParts!$F$1104</definedName>
    <definedName name="PCBSWIRE">#REF!</definedName>
    <definedName name="PhotoCdS">#REF!</definedName>
    <definedName name="PhotoDiode">#REF!</definedName>
    <definedName name="PhotoTranMEL78">#REF!</definedName>
    <definedName name="PhotoTranMEL82">#REF!</definedName>
    <definedName name="PhotoTranWPTA20">#REF!</definedName>
    <definedName name="Piezo12x12">#REF!</definedName>
    <definedName name="Piezo12x12AL">#REF!</definedName>
    <definedName name="Piezo15x22">#REF!</definedName>
    <definedName name="Piezo15x22AL">#REF!</definedName>
    <definedName name="Piezo27x22">#REF!</definedName>
    <definedName name="PlushLarge">#REF!</definedName>
    <definedName name="PlushSmall">#REF!</definedName>
    <definedName name="Polyswitch1A">#REF!</definedName>
    <definedName name="PolyswitchMF_R025">#REF!</definedName>
    <definedName name="PolyswitchMF_R050">#REF!</definedName>
    <definedName name="PolyswitchMF_R110">#REF!</definedName>
    <definedName name="PolyswitchMF_R185">#REF!</definedName>
    <definedName name="Polyswitchpt25A">#REF!</definedName>
    <definedName name="Polyswitchpt5A">#REF!</definedName>
    <definedName name="POWERPOINTREPORT">'[4]Home Page'!$AC$1</definedName>
    <definedName name="Prepared.By">'[3]Form-003'!#REF!</definedName>
    <definedName name="Print_Area_MI">#REF!</definedName>
    <definedName name="PushSlide">#REF!</definedName>
    <definedName name="QuarterWatt">#REF!</definedName>
    <definedName name="RB1P1T1035AT">[2]StandardParts!$F$1135</definedName>
    <definedName name="Reed">#REF!</definedName>
    <definedName name="Ref.Number">'[3]Form-003'!#REF!</definedName>
    <definedName name="RegulatorHT1036">#REF!</definedName>
    <definedName name="REPORTFILEPATH">'[4]Control Panel'!$F$1</definedName>
    <definedName name="REPORTNAME">'[4]Control Panel'!$E$1</definedName>
    <definedName name="Resonator10MHz">#REF!</definedName>
    <definedName name="Resonator2MHz">#REF!</definedName>
    <definedName name="Resonator4Mhz">#REF!</definedName>
    <definedName name="Resonator6MHz">#REF!</definedName>
    <definedName name="Resonator8MHz">#REF!</definedName>
    <definedName name="Revised.By">'[3]Form-003'!#REF!</definedName>
    <definedName name="RP12x12mm">[2]StandardParts!$F$1115</definedName>
    <definedName name="RP1P1T212E">[2]StandardParts!$F$1127</definedName>
    <definedName name="RP1P1T212F">[2]StandardParts!$F$1128</definedName>
    <definedName name="RP1P1T212H">[2]StandardParts!$F$1129</definedName>
    <definedName name="RP1P1T212V">[2]StandardParts!$F$1130</definedName>
    <definedName name="RP1P2T12F01">[2]StandardParts!$F$1124</definedName>
    <definedName name="RP1P2T12F02">[2]StandardParts!$F$1125</definedName>
    <definedName name="RP1P2T12F03">[2]StandardParts!$F$1126</definedName>
    <definedName name="RP6x3.5mm">[2]StandardParts!$F$1113</definedName>
    <definedName name="RP6x6mm">[2]StandardParts!$F$1114</definedName>
    <definedName name="RTS3103C">[2]StandardParts!$F$691</definedName>
    <definedName name="RTS3106C">[2]StandardParts!$F$692</definedName>
    <definedName name="RTS3109C">[2]StandardParts!$F$693</definedName>
    <definedName name="RTS31120D">[2]StandardParts!$F$701</definedName>
    <definedName name="RTS3112C">[2]StandardParts!$F$694</definedName>
    <definedName name="RTS31160D">[2]StandardParts!$F$702</definedName>
    <definedName name="RTS3116C">[2]StandardParts!$F$695</definedName>
    <definedName name="RTS3120C">[2]StandardParts!$F$696</definedName>
    <definedName name="RTS3130C">[2]StandardParts!$F$697</definedName>
    <definedName name="RTS3140C">[2]StandardParts!$F$698</definedName>
    <definedName name="RTS3160D">[2]StandardParts!$F$699</definedName>
    <definedName name="RTS3180D">[2]StandardParts!$F$700</definedName>
    <definedName name="RTS3203B">[2]StandardParts!$F$703</definedName>
    <definedName name="RTS3206B">[2]StandardParts!$F$704</definedName>
    <definedName name="RTS3209B">[2]StandardParts!$F$705</definedName>
    <definedName name="RTS3212B">[2]StandardParts!$F$706</definedName>
    <definedName name="RTS3216B">[2]StandardParts!$F$707</definedName>
    <definedName name="RTS3220B">[2]StandardParts!$F$708</definedName>
    <definedName name="RTS3402B">[2]StandardParts!$F$709</definedName>
    <definedName name="RTS3404B">[2]StandardParts!$F$710</definedName>
    <definedName name="RTS3406B">[2]StandardParts!$F$711</definedName>
    <definedName name="RTS3408B">[2]StandardParts!$F$712</definedName>
    <definedName name="RTS3410B">[2]StandardParts!$F$713</definedName>
    <definedName name="RTS3412B">[2]StandardParts!$F$714</definedName>
    <definedName name="RTS3414B">[2]StandardParts!$F$715</definedName>
    <definedName name="RTS3416B">[2]StandardParts!$F$716</definedName>
    <definedName name="SERIALNO">#REF!</definedName>
    <definedName name="SiliconeLarge">#REF!</definedName>
    <definedName name="SiliconeRubberLarge">[2]StandardParts!$F$1118</definedName>
    <definedName name="SiliconeRubberSmall">[2]StandardParts!$F$1117</definedName>
    <definedName name="SiliconeSmall">#REF!</definedName>
    <definedName name="SmAlnico3in8ohm">#REF!</definedName>
    <definedName name="SmCo27mm16ohm">#REF!</definedName>
    <definedName name="SmCo27mm32ohm">#REF!</definedName>
    <definedName name="SmCo27mm64ohm">[2]StandardParts!$F$907</definedName>
    <definedName name="SmCo27mm8ohm">#REF!</definedName>
    <definedName name="SmCo29mm16ohm">#REF!</definedName>
    <definedName name="SmCo29mm32ohm">#REF!</definedName>
    <definedName name="SmCo29mm64ohm">[2]StandardParts!$F$922</definedName>
    <definedName name="SmCo29mm8ohm">#REF!</definedName>
    <definedName name="SmCo40mm16ohm">#REF!</definedName>
    <definedName name="SmCo40mm32ohm">#REF!</definedName>
    <definedName name="SmCo40mm64ohm">[2]StandardParts!$F$947</definedName>
    <definedName name="SmCo40mm8ohm">#REF!</definedName>
    <definedName name="SPC121A">#REF!</definedName>
    <definedName name="SPC21A">#REF!</definedName>
    <definedName name="SPC251A">#REF!</definedName>
    <definedName name="SPC41A">#REF!</definedName>
    <definedName name="SPC500A">#REF!</definedName>
    <definedName name="SPC81A">#REF!</definedName>
    <definedName name="SPEAKERS">[2]StandardParts!$C$870:$C$940</definedName>
    <definedName name="SPEAKERSSOUNDTRANSDUCERS">#REF!</definedName>
    <definedName name="SPL02A">#REF!</definedName>
    <definedName name="SPL03C">#REF!</definedName>
    <definedName name="SPL05A">#REF!</definedName>
    <definedName name="SPL06B">#REF!</definedName>
    <definedName name="SPL10A">#REF!</definedName>
    <definedName name="SPL128A">#REF!</definedName>
    <definedName name="SPL15A">#REF!</definedName>
    <definedName name="SPL25C">#REF!</definedName>
    <definedName name="SPL512A">#REF!</definedName>
    <definedName name="SPLB21">#REF!</definedName>
    <definedName name="SPSRS1000">#REF!</definedName>
    <definedName name="SPSRS256">#REF!</definedName>
    <definedName name="SPSRS512">#REF!</definedName>
    <definedName name="ST1P2TLF101">[2]StandardParts!$F$1132</definedName>
    <definedName name="ST2P2TPS22F17">[2]StandardParts!$F$1142</definedName>
    <definedName name="SUBASSEMBLIES">#REF!</definedName>
    <definedName name="SWITCHES">[2]StandardParts!$C$1062:$C$1095</definedName>
    <definedName name="SWITCHESCONNECTORSCONTACTS">#REF!</definedName>
    <definedName name="SwitchStampedMetal">#REF!</definedName>
    <definedName name="Tact3pt5">#REF!</definedName>
    <definedName name="Tact6">#REF!</definedName>
    <definedName name="TEST">#REF!</definedName>
    <definedName name="TESTCAT">#REF!</definedName>
    <definedName name="TimerCMOSNE555">#REF!</definedName>
    <definedName name="TimerDualCMOSNE556">#REF!</definedName>
    <definedName name="tool.plan">'[3]Form-003'!#REF!</definedName>
    <definedName name="Transducer16ohms">#REF!</definedName>
    <definedName name="Transducer42ohms">#REF!</definedName>
    <definedName name="Transistor2SB772">#REF!</definedName>
    <definedName name="Transistor2SD882">#REF!</definedName>
    <definedName name="Transistor8050">#REF!</definedName>
    <definedName name="Transistor8550">#REF!</definedName>
    <definedName name="Transistor9012">#REF!</definedName>
    <definedName name="Transistor9013">#REF!</definedName>
    <definedName name="Transistor9014">#REF!</definedName>
    <definedName name="Transistor9015">#REF!</definedName>
    <definedName name="up">'[3]Form-003'!#REF!</definedName>
    <definedName name="VariableCarbon">#REF!</definedName>
    <definedName name="Vendor">'[3]Form-003'!#REF!</definedName>
    <definedName name="VERSIONNUMBER">'[4]Control Panel'!$M$1</definedName>
    <definedName name="W55412A">#REF!</definedName>
    <definedName name="W55F05">#REF!</definedName>
    <definedName name="W55F10">#REF!</definedName>
    <definedName name="W55F20">#REF!</definedName>
    <definedName name="Wire24_10in">#REF!</definedName>
    <definedName name="Wire24_12in">#REF!</definedName>
    <definedName name="Wire24_2in">#REF!</definedName>
    <definedName name="Wire24_4in">#REF!</definedName>
    <definedName name="Wire24_6in">#REF!</definedName>
    <definedName name="Wire24_8in">#REF!</definedName>
    <definedName name="Wire26_10in">#REF!</definedName>
    <definedName name="Wire26_12in">#REF!</definedName>
    <definedName name="Wire26_2in">#REF!</definedName>
    <definedName name="Wire26_4in">#REF!</definedName>
    <definedName name="Wire26_6in">#REF!</definedName>
    <definedName name="Wire26_8in">#REF!</definedName>
    <definedName name="WORDREPORT">'[4]Home Page'!$AB$1</definedName>
    <definedName name="電子元件表1">#REF!</definedName>
    <definedName name="_xlnm.Print_Area" localSheetId="0">喷油0923!$A$1:$U$41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<sst xmlns="http://schemas.openxmlformats.org/spreadsheetml/2006/main" count="51" uniqueCount="46">
  <si>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第二代恐龙公园报价</t>
  </si>
  <si>
    <t>图片</t>
  </si>
  <si>
    <t>名称</t>
  </si>
  <si>
    <t>位置</t>
  </si>
  <si>
    <t>夹模</t>
  </si>
  <si>
    <t>夹模单价</t>
  </si>
  <si>
    <t>移印</t>
  </si>
  <si>
    <t>移印单价</t>
  </si>
  <si>
    <t>散枪</t>
  </si>
  <si>
    <t>散枪单价</t>
  </si>
  <si>
    <t>边模</t>
  </si>
  <si>
    <t>边模单价</t>
  </si>
  <si>
    <t>油色</t>
  </si>
  <si>
    <t>油色价格</t>
  </si>
  <si>
    <t>浸油</t>
  </si>
  <si>
    <t>浸油单价</t>
  </si>
  <si>
    <t>抹油</t>
  </si>
  <si>
    <t>抹油单价</t>
  </si>
  <si>
    <t>擦PP水</t>
  </si>
  <si>
    <t>擦PP水单价</t>
  </si>
  <si>
    <t>总报价</t>
  </si>
  <si>
    <t>备注</t>
  </si>
  <si>
    <t>盒板</t>
  </si>
  <si>
    <t>牙齿</t>
  </si>
  <si>
    <t>左右眼</t>
  </si>
  <si>
    <t xml:space="preserve"> 尾</t>
  </si>
  <si>
    <t>身</t>
  </si>
  <si>
    <t>头</t>
  </si>
  <si>
    <t>肚皮</t>
  </si>
  <si>
    <t>洞穴</t>
  </si>
  <si>
    <t>石头木板</t>
  </si>
  <si>
    <t>叶子</t>
  </si>
  <si>
    <t>树杆</t>
  </si>
  <si>
    <t>尾巴</t>
  </si>
  <si>
    <t>车</t>
  </si>
  <si>
    <t>树顶</t>
  </si>
  <si>
    <t>树干</t>
  </si>
  <si>
    <t>包装盒岩石</t>
  </si>
  <si>
    <t>头身尾</t>
  </si>
  <si>
    <t>左右眼睛</t>
  </si>
  <si>
    <t>内箱</t>
  </si>
  <si>
    <t>外箱</t>
  </si>
  <si>
    <t>实验门</t>
  </si>
  <si>
    <t>合计</t>
  </si>
  <si>
    <t>夹模：</t>
  </si>
  <si>
    <t>LIUWANG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</si>
</sst>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4"/>
      <color indexed="8"/>
      <name val="宋体"/>
      <charset val="134"/>
    </font>
    <font>
      <b/>
      <sz val="14"/>
      <color indexed="8"/>
      <name val="宋体"/>
      <charset val="134"/>
    </font>
    <font>
      <sz val="14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4" Type="http://schemas.openxmlformats.org/officeDocument/2006/relationships/image" Target="../media/image14.pn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151765</xdr:colOff>
      <xdr:row>4</xdr:row>
      <xdr:rowOff>120650</xdr:rowOff>
    </xdr:from>
    <xdr:to>
      <xdr:col>0</xdr:col>
      <xdr:colOff>885190</xdr:colOff>
      <xdr:row>4</xdr:row>
      <xdr:rowOff>660400</xdr:rowOff>
    </xdr:to>
    <xdr:pic>
      <xdr:nvPicPr>
        <xdr:cNvPr id="2" name="图片 1" descr="8ffecd31efadc0a637c2af59bb7d1bce"/>
        <xdr:cNvPicPr>
          <a:picLocks noChangeAspect="1"/>
        </xdr:cNvPicPr>
      </xdr:nvPicPr>
      <xdr:blipFill>
        <a:blip r:embed="rId1"/>
        <a:srcRect b="20553"/>
        <a:stretch>
          <a:fillRect/>
        </a:stretch>
      </xdr:blipFill>
      <xdr:spPr>
        <a:xfrm>
          <a:off x="151765" y="2076450"/>
          <a:ext cx="733425" cy="539750"/>
        </a:xfrm>
        <a:prstGeom prst="rect">
          <a:avLst/>
        </a:prstGeom>
      </xdr:spPr>
    </xdr:pic>
    <xdr:clientData/>
  </xdr:twoCellAnchor>
  <xdr:twoCellAnchor editAs="oneCell">
    <xdr:from>
      <xdr:col>0</xdr:col>
      <xdr:colOff>278765</xdr:colOff>
      <xdr:row>39</xdr:row>
      <xdr:rowOff>95250</xdr:rowOff>
    </xdr:from>
    <xdr:to>
      <xdr:col>0</xdr:col>
      <xdr:colOff>1119505</xdr:colOff>
      <xdr:row>39</xdr:row>
      <xdr:rowOff>652145</xdr:rowOff>
    </xdr:to>
    <xdr:pic>
      <xdr:nvPicPr>
        <xdr:cNvPr id="3" name="图片 2" descr="9d32d3a90894e6e712b2e8f1b1738db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765" y="22256750"/>
          <a:ext cx="840740" cy="556895"/>
        </a:xfrm>
        <a:prstGeom prst="rect">
          <a:avLst/>
        </a:prstGeom>
      </xdr:spPr>
    </xdr:pic>
    <xdr:clientData/>
  </xdr:twoCellAnchor>
  <xdr:twoCellAnchor editAs="oneCell">
    <xdr:from>
      <xdr:col>0</xdr:col>
      <xdr:colOff>2540</xdr:colOff>
      <xdr:row>2</xdr:row>
      <xdr:rowOff>0</xdr:rowOff>
    </xdr:from>
    <xdr:to>
      <xdr:col>0</xdr:col>
      <xdr:colOff>1082675</xdr:colOff>
      <xdr:row>2</xdr:row>
      <xdr:rowOff>588645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40" y="1016000"/>
          <a:ext cx="1080135" cy="58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451485</xdr:colOff>
      <xdr:row>11</xdr:row>
      <xdr:rowOff>71755</xdr:rowOff>
    </xdr:from>
    <xdr:to>
      <xdr:col>0</xdr:col>
      <xdr:colOff>928370</xdr:colOff>
      <xdr:row>11</xdr:row>
      <xdr:rowOff>615315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1485" y="6713855"/>
          <a:ext cx="47688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179070</xdr:colOff>
      <xdr:row>13</xdr:row>
      <xdr:rowOff>97790</xdr:rowOff>
    </xdr:from>
    <xdr:to>
      <xdr:col>0</xdr:col>
      <xdr:colOff>967740</xdr:colOff>
      <xdr:row>13</xdr:row>
      <xdr:rowOff>641985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070" y="7679690"/>
          <a:ext cx="788670" cy="54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274320</xdr:colOff>
      <xdr:row>14</xdr:row>
      <xdr:rowOff>162560</xdr:rowOff>
    </xdr:from>
    <xdr:to>
      <xdr:col>0</xdr:col>
      <xdr:colOff>1377950</xdr:colOff>
      <xdr:row>15</xdr:row>
      <xdr:rowOff>495300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4320" y="8493760"/>
          <a:ext cx="110363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165100</xdr:colOff>
      <xdr:row>17</xdr:row>
      <xdr:rowOff>102870</xdr:rowOff>
    </xdr:from>
    <xdr:to>
      <xdr:col>0</xdr:col>
      <xdr:colOff>1172210</xdr:colOff>
      <xdr:row>17</xdr:row>
      <xdr:rowOff>652145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100" y="10186670"/>
          <a:ext cx="1007110" cy="54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205740</xdr:colOff>
      <xdr:row>19</xdr:row>
      <xdr:rowOff>87630</xdr:rowOff>
    </xdr:from>
    <xdr:to>
      <xdr:col>0</xdr:col>
      <xdr:colOff>1271905</xdr:colOff>
      <xdr:row>19</xdr:row>
      <xdr:rowOff>635635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" y="11111230"/>
          <a:ext cx="106616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151765</xdr:colOff>
      <xdr:row>23</xdr:row>
      <xdr:rowOff>79375</xdr:rowOff>
    </xdr:from>
    <xdr:to>
      <xdr:col>0</xdr:col>
      <xdr:colOff>1207770</xdr:colOff>
      <xdr:row>23</xdr:row>
      <xdr:rowOff>619125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1765" y="13541375"/>
          <a:ext cx="105600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270510</xdr:colOff>
      <xdr:row>25</xdr:row>
      <xdr:rowOff>95250</xdr:rowOff>
    </xdr:from>
    <xdr:to>
      <xdr:col>0</xdr:col>
      <xdr:colOff>1170305</xdr:colOff>
      <xdr:row>26</xdr:row>
      <xdr:rowOff>586105</xdr:rowOff>
    </xdr:to>
    <xdr:pic>
      <xdr:nvPicPr>
        <xdr:cNvPr id="11" name="图片 10" descr="ce37e7b523489637dc72b4f5bca15b3d"/>
        <xdr:cNvPicPr>
          <a:picLocks noChangeAspect="1"/>
        </xdr:cNvPicPr>
      </xdr:nvPicPr>
      <xdr:blipFill>
        <a:blip r:embed="rId10"/>
        <a:srcRect t="13300" b="13300"/>
        <a:stretch>
          <a:fillRect/>
        </a:stretch>
      </xdr:blipFill>
      <xdr:spPr>
        <a:xfrm rot="16200000">
          <a:off x="100330" y="14667230"/>
          <a:ext cx="1240155" cy="899795"/>
        </a:xfrm>
        <a:prstGeom prst="rect">
          <a:avLst/>
        </a:prstGeom>
      </xdr:spPr>
    </xdr:pic>
    <xdr:clientData/>
  </xdr:twoCellAnchor>
  <xdr:twoCellAnchor editAs="oneCell">
    <xdr:from>
      <xdr:col>0</xdr:col>
      <xdr:colOff>219710</xdr:colOff>
      <xdr:row>28</xdr:row>
      <xdr:rowOff>76200</xdr:rowOff>
    </xdr:from>
    <xdr:to>
      <xdr:col>0</xdr:col>
      <xdr:colOff>1118870</xdr:colOff>
      <xdr:row>28</xdr:row>
      <xdr:rowOff>624205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9710" y="16167100"/>
          <a:ext cx="899160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246380</xdr:colOff>
      <xdr:row>30</xdr:row>
      <xdr:rowOff>136525</xdr:rowOff>
    </xdr:from>
    <xdr:to>
      <xdr:col>0</xdr:col>
      <xdr:colOff>1225550</xdr:colOff>
      <xdr:row>30</xdr:row>
      <xdr:rowOff>678815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6380" y="17230725"/>
          <a:ext cx="9791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299720</xdr:colOff>
      <xdr:row>32</xdr:row>
      <xdr:rowOff>130810</xdr:rowOff>
    </xdr:from>
    <xdr:to>
      <xdr:col>0</xdr:col>
      <xdr:colOff>948690</xdr:colOff>
      <xdr:row>32</xdr:row>
      <xdr:rowOff>708025</xdr:rowOff>
    </xdr:to>
    <xdr:pic>
      <xdr:nvPicPr>
        <xdr:cNvPr id="14" name="图片 13" descr="6aaf97f2e402b1e40f675ac1e6c78f3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9720" y="18164810"/>
          <a:ext cx="648970" cy="577215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36</xdr:row>
      <xdr:rowOff>208280</xdr:rowOff>
    </xdr:from>
    <xdr:to>
      <xdr:col>0</xdr:col>
      <xdr:colOff>1162685</xdr:colOff>
      <xdr:row>37</xdr:row>
      <xdr:rowOff>543560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90525" y="20680680"/>
          <a:ext cx="772160" cy="108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pls015\4\Z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lpartist\Downloads\file:\T:\Costs%20and%20BOM\Prices\AutoPar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HARED\FORMS\RND\RNDFO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lpartist\Downloads\file:\T:\Costs%20and%20BOM\Prices\AutoCos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測試資料1"/>
      <sheetName val="會議表"/>
      <sheetName val="會議記錄表"/>
      <sheetName val="EDM 發放一覽表"/>
      <sheetName val="EDM 發放一覽索引"/>
      <sheetName val="測試1"/>
      <sheetName val="模顏色表"/>
      <sheetName val="FEP 前總結及排期"/>
      <sheetName val="工程部手則"/>
      <sheetName val="產品發展時間表"/>
      <sheetName val="測架元件及購買表"/>
      <sheetName val="注意事項"/>
      <sheetName val="電子產品排期"/>
      <sheetName val="電子部一周表"/>
      <sheetName val="電子部產品排期"/>
      <sheetName val="測試架分發表"/>
      <sheetName val="樣辦測試報告表"/>
      <sheetName val="電子機板品質要求"/>
      <sheetName val="測試標簽"/>
      <sheetName val="樣辦時間安排"/>
      <sheetName val="工作總結"/>
      <sheetName val="Sheet1"/>
      <sheetName val="Sheet 2"/>
      <sheetName val="Sheet 3"/>
      <sheetName val="Sheet 4"/>
      <sheetName val="配件明細帳本"/>
      <sheetName val="51250"/>
      <sheetName val="三周欠數"/>
      <sheetName val="輛料申請"/>
      <sheetName val="Page1 "/>
      <sheetName val="放訂色粉及放啤搪膠表 "/>
      <sheetName val="068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UTOCOST"/>
      <sheetName val="Home Page"/>
      <sheetName val="AutoSheetMaster"/>
      <sheetName val="FAVORITES"/>
      <sheetName val="StandardParts"/>
      <sheetName val="Control Panel"/>
      <sheetName val="PASSWORD"/>
      <sheetName val="測試資料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orm-003"/>
      <sheetName val="Form-004"/>
      <sheetName val="Sheet2"/>
      <sheetName val="Sheet3"/>
      <sheetName val="Form_003"/>
      <sheetName val="COG&amp;Quote-asst"/>
      <sheetName val="COST"/>
      <sheetName val="StandardP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me Page"/>
      <sheetName val="AutoSheetMaster"/>
      <sheetName val="FAVORITES"/>
      <sheetName val="StandardParts"/>
      <sheetName val="Control Panel"/>
      <sheetName val="PASSWORD"/>
      <sheetName val="Form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3"/>
  <sheetViews>
    <sheetView tabSelected="1" view="pageBreakPreview" zoomScale="85" zoomScaleNormal="70" workbookViewId="0">
      <pane xSplit="1" ySplit="2" topLeftCell="B3" activePane="bottomRight" state="frozen"/>
      <selection/>
      <selection pane="topRight"/>
      <selection pane="bottomLeft"/>
      <selection pane="bottomRight" activeCell="S7" sqref="S7"/>
    </sheetView>
  </sheetViews>
  <sheetFormatPr defaultColWidth="11.4537037037037" defaultRowHeight="40" customHeight="1"/>
  <cols>
    <col min="1" max="2" width="20.4444444444444" style="5" customWidth="1"/>
    <col min="3" max="3" width="11.787037037037" style="5" customWidth="1"/>
    <col min="4" max="5" width="6.62962962962963" style="5" customWidth="1"/>
    <col min="6" max="6" width="7.5" style="5" customWidth="1"/>
    <col min="7" max="18" width="6.62962962962963" style="5" customWidth="1"/>
    <col min="19" max="19" width="8.88888888888889" style="5" customWidth="1"/>
    <col min="20" max="20" width="6.62962962962963" style="5" customWidth="1"/>
    <col min="21" max="21" width="18.212962962963" style="5" customWidth="1"/>
    <col min="22" max="22" width="11.4537037037037" style="1" customWidth="1"/>
    <col min="23" max="23" width="11.4537037037037" style="6" customWidth="1"/>
    <col min="24" max="16380" width="11.4537037037037" style="1" customWidth="1"/>
    <col min="16381" max="16384" width="11.4537037037037" style="1"/>
  </cols>
  <sheetData>
    <row r="1" s="1" customFormat="1" customHeight="1" spans="1:2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W1" s="6"/>
    </row>
    <row r="2" s="2" customFormat="1" customHeight="1" spans="1:23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9" t="s">
        <v>6</v>
      </c>
      <c r="G2" s="10" t="s">
        <v>7</v>
      </c>
      <c r="H2" s="9" t="s">
        <v>8</v>
      </c>
      <c r="I2" s="10" t="s">
        <v>9</v>
      </c>
      <c r="J2" s="9" t="s">
        <v>10</v>
      </c>
      <c r="K2" s="10" t="s">
        <v>11</v>
      </c>
      <c r="L2" s="9" t="s">
        <v>12</v>
      </c>
      <c r="M2" s="10" t="s">
        <v>13</v>
      </c>
      <c r="N2" s="9" t="s">
        <v>14</v>
      </c>
      <c r="O2" s="10" t="s">
        <v>15</v>
      </c>
      <c r="P2" s="9" t="s">
        <v>16</v>
      </c>
      <c r="Q2" s="10" t="s">
        <v>17</v>
      </c>
      <c r="R2" s="9" t="s">
        <v>18</v>
      </c>
      <c r="S2" s="10" t="s">
        <v>19</v>
      </c>
      <c r="T2" s="8" t="s">
        <v>20</v>
      </c>
      <c r="U2" s="8" t="s">
        <v>21</v>
      </c>
      <c r="W2" s="28"/>
    </row>
    <row r="3" s="1" customFormat="1" ht="59" customHeight="1" spans="1:23">
      <c r="A3" s="11"/>
      <c r="B3" s="11"/>
      <c r="C3" s="12" t="s">
        <v>22</v>
      </c>
      <c r="D3" s="13"/>
      <c r="E3" s="14"/>
      <c r="F3" s="14">
        <v>2</v>
      </c>
      <c r="G3" s="14">
        <v>0.15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>
        <f t="shared" ref="T3:T10" si="0">D3*E3+F3*G3+H3*I3+J3*K3+L3*M3+N3*O3+P3*Q3+R3*S3</f>
        <v>0.3</v>
      </c>
      <c r="U3" s="14"/>
      <c r="V3" s="1">
        <v>1.77</v>
      </c>
      <c r="W3" s="29"/>
    </row>
    <row r="4" s="3" customFormat="1" ht="15" customHeight="1" spans="1:23">
      <c r="A4" s="15"/>
      <c r="B4" s="15"/>
      <c r="C4" s="16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W4" s="30"/>
    </row>
    <row r="5" s="1" customFormat="1" ht="59" customHeight="1" spans="1:23">
      <c r="A5" s="14"/>
      <c r="B5" s="14"/>
      <c r="C5" s="14" t="s">
        <v>23</v>
      </c>
      <c r="D5" s="14"/>
      <c r="E5" s="14"/>
      <c r="F5" s="14">
        <v>2</v>
      </c>
      <c r="G5" s="14">
        <v>0.05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>
        <f t="shared" si="0"/>
        <v>0.1</v>
      </c>
      <c r="U5" s="14"/>
      <c r="W5" s="29"/>
    </row>
    <row r="6" s="1" customFormat="1" ht="59" customHeight="1" spans="1:23">
      <c r="A6" s="14"/>
      <c r="B6" s="14"/>
      <c r="C6" s="14" t="s">
        <v>24</v>
      </c>
      <c r="D6" s="14"/>
      <c r="E6" s="14"/>
      <c r="F6" s="14">
        <v>4</v>
      </c>
      <c r="G6" s="14">
        <v>0.05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>
        <f t="shared" si="0"/>
        <v>0.2</v>
      </c>
      <c r="U6" s="14"/>
      <c r="W6" s="29"/>
    </row>
    <row r="7" s="1" customFormat="1" ht="59" customHeight="1" spans="1:23">
      <c r="A7" s="14"/>
      <c r="B7" s="14"/>
      <c r="C7" s="14" t="s">
        <v>25</v>
      </c>
      <c r="D7" s="14"/>
      <c r="E7" s="14"/>
      <c r="F7" s="14">
        <v>2</v>
      </c>
      <c r="G7" s="14">
        <v>0.05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>
        <f t="shared" si="0"/>
        <v>0.1</v>
      </c>
      <c r="U7" s="14"/>
      <c r="W7" s="29"/>
    </row>
    <row r="8" s="1" customFormat="1" ht="59" customHeight="1" spans="1:23">
      <c r="A8" s="14"/>
      <c r="B8" s="14"/>
      <c r="C8" s="14" t="s">
        <v>26</v>
      </c>
      <c r="D8" s="14"/>
      <c r="E8" s="14"/>
      <c r="F8" s="14">
        <v>2</v>
      </c>
      <c r="G8" s="14">
        <v>0.05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f t="shared" si="0"/>
        <v>0.1</v>
      </c>
      <c r="U8" s="14"/>
      <c r="W8" s="6"/>
    </row>
    <row r="9" s="1" customFormat="1" ht="59" customHeight="1" spans="1:23">
      <c r="A9" s="14"/>
      <c r="B9" s="14"/>
      <c r="C9" s="14" t="s">
        <v>27</v>
      </c>
      <c r="D9" s="14"/>
      <c r="E9" s="14"/>
      <c r="F9" s="14">
        <v>1</v>
      </c>
      <c r="G9" s="14">
        <v>0.05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>
        <f t="shared" si="0"/>
        <v>0.05</v>
      </c>
      <c r="U9" s="14"/>
      <c r="W9" s="6"/>
    </row>
    <row r="10" s="1" customFormat="1" ht="59" customHeight="1" spans="1:23">
      <c r="A10" s="14"/>
      <c r="B10" s="14"/>
      <c r="C10" s="14" t="s">
        <v>28</v>
      </c>
      <c r="D10" s="14"/>
      <c r="E10" s="14"/>
      <c r="F10" s="14"/>
      <c r="G10" s="14"/>
      <c r="H10" s="14">
        <v>2</v>
      </c>
      <c r="I10" s="14">
        <v>0.08</v>
      </c>
      <c r="J10" s="14">
        <v>1</v>
      </c>
      <c r="K10" s="14">
        <v>0.08</v>
      </c>
      <c r="L10" s="14"/>
      <c r="M10" s="14"/>
      <c r="N10" s="14"/>
      <c r="O10" s="14"/>
      <c r="P10" s="14"/>
      <c r="Q10" s="14"/>
      <c r="R10" s="14"/>
      <c r="S10" s="14"/>
      <c r="T10" s="14">
        <f t="shared" si="0"/>
        <v>0.24</v>
      </c>
      <c r="U10" s="14"/>
      <c r="W10" s="6"/>
    </row>
    <row r="11" s="3" customFormat="1" ht="15" customHeight="1" spans="1:2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31"/>
    </row>
    <row r="12" s="1" customFormat="1" ht="59" customHeight="1" spans="1:23">
      <c r="A12" s="14"/>
      <c r="B12" s="14"/>
      <c r="C12" s="14" t="s">
        <v>29</v>
      </c>
      <c r="D12" s="14"/>
      <c r="E12" s="14"/>
      <c r="F12" s="19"/>
      <c r="G12" s="14"/>
      <c r="H12" s="14"/>
      <c r="I12" s="14"/>
      <c r="J12" s="14"/>
      <c r="K12" s="14"/>
      <c r="L12" s="14"/>
      <c r="M12" s="14"/>
      <c r="N12" s="14">
        <v>1</v>
      </c>
      <c r="O12" s="14">
        <v>0.1</v>
      </c>
      <c r="P12" s="14"/>
      <c r="Q12" s="14"/>
      <c r="R12" s="14"/>
      <c r="S12" s="14"/>
      <c r="T12" s="14">
        <f t="shared" ref="T12:T16" si="1">D12*E12+F12*G12+H12*I12+J12*K12+L12*M12+N12*O12+P12*Q12+R12*S12</f>
        <v>0.1</v>
      </c>
      <c r="U12" s="19"/>
      <c r="W12" s="6"/>
    </row>
    <row r="13" s="3" customFormat="1" ht="15" customHeight="1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W13" s="31"/>
    </row>
    <row r="14" s="1" customFormat="1" ht="59" customHeight="1" spans="1:23">
      <c r="A14" s="14"/>
      <c r="B14" s="14"/>
      <c r="C14" s="14" t="s">
        <v>30</v>
      </c>
      <c r="D14" s="14"/>
      <c r="E14" s="14"/>
      <c r="F14" s="14"/>
      <c r="G14" s="14"/>
      <c r="H14" s="20">
        <v>1</v>
      </c>
      <c r="I14" s="20">
        <v>0.08</v>
      </c>
      <c r="J14" s="14"/>
      <c r="K14" s="14"/>
      <c r="L14" s="14"/>
      <c r="M14" s="14"/>
      <c r="N14" s="14">
        <v>1</v>
      </c>
      <c r="O14" s="14">
        <v>0.1</v>
      </c>
      <c r="P14" s="14"/>
      <c r="Q14" s="14"/>
      <c r="R14" s="14"/>
      <c r="S14" s="14"/>
      <c r="T14" s="14">
        <f t="shared" si="1"/>
        <v>0.18</v>
      </c>
      <c r="U14" s="14"/>
      <c r="W14" s="6"/>
    </row>
    <row r="15" s="1" customFormat="1" ht="59" customHeight="1" spans="1:23">
      <c r="A15" s="14"/>
      <c r="B15" s="14"/>
      <c r="C15" s="14" t="s">
        <v>31</v>
      </c>
      <c r="D15" s="14"/>
      <c r="E15" s="14"/>
      <c r="F15" s="14"/>
      <c r="G15" s="14"/>
      <c r="H15" s="14">
        <v>2</v>
      </c>
      <c r="I15" s="14">
        <v>0.08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>
        <f t="shared" si="1"/>
        <v>0.16</v>
      </c>
      <c r="U15" s="14"/>
      <c r="W15" s="6"/>
    </row>
    <row r="16" s="1" customFormat="1" ht="59" customHeight="1" spans="1:23">
      <c r="A16" s="14"/>
      <c r="B16" s="14"/>
      <c r="C16" s="14" t="s">
        <v>32</v>
      </c>
      <c r="D16" s="14"/>
      <c r="E16" s="14"/>
      <c r="F16" s="14"/>
      <c r="G16" s="14"/>
      <c r="H16" s="20">
        <v>1</v>
      </c>
      <c r="I16" s="20">
        <v>0.08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>
        <f t="shared" si="1"/>
        <v>0.08</v>
      </c>
      <c r="U16" s="14"/>
      <c r="W16" s="6"/>
    </row>
    <row r="17" s="4" customFormat="1" ht="20" customHeight="1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W17" s="32"/>
    </row>
    <row r="18" s="1" customFormat="1" ht="59" customHeight="1" spans="1:23">
      <c r="A18" s="14"/>
      <c r="B18" s="22"/>
      <c r="C18" s="12" t="s">
        <v>22</v>
      </c>
      <c r="D18" s="13"/>
      <c r="E18" s="14"/>
      <c r="F18" s="14">
        <v>2</v>
      </c>
      <c r="G18" s="14">
        <v>0.15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>
        <f t="shared" ref="T18:T22" si="2">D18*E18+F18*G18+H18*I18+J18*K18+L18*M18+N18*O18+P18*Q18+R18*S18</f>
        <v>0.3</v>
      </c>
      <c r="U18" s="14"/>
      <c r="W18" s="6"/>
    </row>
    <row r="19" s="3" customFormat="1" ht="15" customHeight="1" spans="1:23">
      <c r="A19" s="18"/>
      <c r="B19" s="23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W19" s="31"/>
    </row>
    <row r="20" s="1" customFormat="1" ht="59" customHeight="1" spans="1:23">
      <c r="A20" s="14"/>
      <c r="B20" s="14"/>
      <c r="C20" s="14" t="s">
        <v>27</v>
      </c>
      <c r="D20" s="14">
        <v>3</v>
      </c>
      <c r="E20" s="14">
        <v>0.12</v>
      </c>
      <c r="F20" s="14">
        <v>2</v>
      </c>
      <c r="G20" s="14">
        <v>0.05</v>
      </c>
      <c r="H20" s="14"/>
      <c r="I20" s="14"/>
      <c r="J20" s="14"/>
      <c r="K20" s="14"/>
      <c r="L20" s="14"/>
      <c r="M20" s="14"/>
      <c r="N20" s="14">
        <v>1</v>
      </c>
      <c r="O20" s="14">
        <v>0.1</v>
      </c>
      <c r="P20" s="14">
        <v>2</v>
      </c>
      <c r="Q20" s="14">
        <v>0.1</v>
      </c>
      <c r="R20" s="14"/>
      <c r="S20" s="14"/>
      <c r="T20" s="14">
        <f t="shared" si="2"/>
        <v>0.76</v>
      </c>
      <c r="U20" s="14"/>
      <c r="W20" s="6"/>
    </row>
    <row r="21" s="1" customFormat="1" ht="59" customHeight="1" spans="1:23">
      <c r="A21" s="14"/>
      <c r="B21" s="14"/>
      <c r="C21" s="14" t="s">
        <v>26</v>
      </c>
      <c r="D21" s="14">
        <v>2</v>
      </c>
      <c r="E21" s="14">
        <v>0.12</v>
      </c>
      <c r="F21" s="14"/>
      <c r="G21" s="14"/>
      <c r="H21" s="14"/>
      <c r="I21" s="14"/>
      <c r="J21" s="14">
        <v>1</v>
      </c>
      <c r="K21" s="14">
        <v>0.08</v>
      </c>
      <c r="L21" s="14"/>
      <c r="M21" s="14"/>
      <c r="N21" s="14">
        <v>1</v>
      </c>
      <c r="O21" s="14">
        <v>0.1</v>
      </c>
      <c r="P21" s="14">
        <v>3</v>
      </c>
      <c r="Q21" s="14">
        <v>0.1</v>
      </c>
      <c r="R21" s="14"/>
      <c r="S21" s="14"/>
      <c r="T21" s="14">
        <f t="shared" si="2"/>
        <v>0.72</v>
      </c>
      <c r="U21" s="14"/>
      <c r="W21" s="6"/>
    </row>
    <row r="22" s="1" customFormat="1" ht="59" customHeight="1" spans="1:23">
      <c r="A22" s="14"/>
      <c r="B22" s="14"/>
      <c r="C22" s="14" t="s">
        <v>33</v>
      </c>
      <c r="D22" s="14">
        <v>1</v>
      </c>
      <c r="E22" s="14">
        <v>0.12</v>
      </c>
      <c r="F22" s="14"/>
      <c r="G22" s="14"/>
      <c r="H22" s="14"/>
      <c r="I22" s="14"/>
      <c r="J22" s="14"/>
      <c r="K22" s="14"/>
      <c r="L22" s="14"/>
      <c r="M22" s="14"/>
      <c r="N22" s="14">
        <v>1</v>
      </c>
      <c r="O22" s="14">
        <v>0.1</v>
      </c>
      <c r="P22" s="14">
        <v>2</v>
      </c>
      <c r="Q22" s="14">
        <v>0.1</v>
      </c>
      <c r="R22" s="14"/>
      <c r="S22" s="14"/>
      <c r="T22" s="14">
        <f t="shared" si="2"/>
        <v>0.42</v>
      </c>
      <c r="U22" s="14"/>
      <c r="W22" s="6"/>
    </row>
    <row r="23" s="3" customFormat="1" ht="15" customHeight="1" spans="1: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W23" s="31"/>
    </row>
    <row r="24" s="1" customFormat="1" ht="59" customHeight="1" spans="1:23">
      <c r="A24" s="14"/>
      <c r="B24" s="14"/>
      <c r="C24" s="14" t="s">
        <v>34</v>
      </c>
      <c r="D24" s="14">
        <v>3</v>
      </c>
      <c r="E24" s="14">
        <v>0.12</v>
      </c>
      <c r="F24" s="19"/>
      <c r="G24" s="14"/>
      <c r="H24" s="14"/>
      <c r="I24" s="14"/>
      <c r="J24" s="14">
        <v>8</v>
      </c>
      <c r="K24" s="14">
        <v>0.08</v>
      </c>
      <c r="L24" s="14"/>
      <c r="M24" s="14"/>
      <c r="N24" s="14"/>
      <c r="O24" s="14"/>
      <c r="P24" s="14"/>
      <c r="Q24" s="14"/>
      <c r="R24" s="14"/>
      <c r="S24" s="14"/>
      <c r="T24" s="14">
        <f t="shared" ref="T24:T27" si="3">D24*E24+F24*G24+H24*I24+J24*K24+L24*M24+N24*O24+P24*Q24+R24*S24</f>
        <v>1</v>
      </c>
      <c r="U24" s="14"/>
      <c r="W24" s="6"/>
    </row>
    <row r="25" s="3" customFormat="1" ht="15" customHeight="1" spans="1:2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W25" s="31"/>
    </row>
    <row r="26" s="1" customFormat="1" ht="59" customHeight="1" spans="1:23">
      <c r="A26" s="14"/>
      <c r="B26" s="14"/>
      <c r="C26" s="14" t="s">
        <v>35</v>
      </c>
      <c r="D26" s="14"/>
      <c r="E26" s="14"/>
      <c r="F26" s="14"/>
      <c r="G26" s="14"/>
      <c r="H26" s="20">
        <v>1</v>
      </c>
      <c r="I26" s="20">
        <v>0.08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>
        <f t="shared" si="3"/>
        <v>0.08</v>
      </c>
      <c r="U26" s="14"/>
      <c r="W26" s="6"/>
    </row>
    <row r="27" s="1" customFormat="1" ht="59" customHeight="1" spans="1:23">
      <c r="A27" s="14"/>
      <c r="B27" s="14"/>
      <c r="C27" s="14" t="s">
        <v>36</v>
      </c>
      <c r="D27" s="14"/>
      <c r="E27" s="14"/>
      <c r="F27" s="14"/>
      <c r="G27" s="14"/>
      <c r="H27" s="14">
        <v>2</v>
      </c>
      <c r="I27" s="14">
        <v>0.08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>
        <f t="shared" si="3"/>
        <v>0.16</v>
      </c>
      <c r="U27" s="33"/>
      <c r="W27" s="6"/>
    </row>
    <row r="28" s="3" customFormat="1" ht="15" customHeight="1" spans="1:2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34"/>
      <c r="W28" s="31"/>
    </row>
    <row r="29" s="1" customFormat="1" ht="59" customHeight="1" spans="1:23">
      <c r="A29" s="14"/>
      <c r="B29" s="14"/>
      <c r="C29" s="14" t="s">
        <v>37</v>
      </c>
      <c r="D29" s="14">
        <v>2</v>
      </c>
      <c r="E29" s="14">
        <v>0.12</v>
      </c>
      <c r="F29" s="14"/>
      <c r="G29" s="14"/>
      <c r="H29" s="20">
        <v>1</v>
      </c>
      <c r="I29" s="20">
        <v>0.08</v>
      </c>
      <c r="J29" s="14"/>
      <c r="K29" s="14"/>
      <c r="L29" s="14"/>
      <c r="M29" s="14"/>
      <c r="N29" s="14"/>
      <c r="O29" s="14"/>
      <c r="P29" s="19"/>
      <c r="Q29" s="14"/>
      <c r="R29" s="14"/>
      <c r="S29" s="14"/>
      <c r="T29" s="14">
        <f t="shared" ref="T29:T35" si="4">D29*E29+F29*G29+H29*I29+J29*K29+L29*M29+N29*O29+P29*Q29+R29*S29</f>
        <v>0.32</v>
      </c>
      <c r="U29" s="14"/>
      <c r="W29" s="6"/>
    </row>
    <row r="30" s="4" customFormat="1" ht="20" customHeight="1" spans="1:2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W30" s="32"/>
    </row>
    <row r="31" s="1" customFormat="1" ht="59" customHeight="1" spans="1:23">
      <c r="A31" s="14"/>
      <c r="B31" s="22"/>
      <c r="C31" s="12" t="s">
        <v>22</v>
      </c>
      <c r="D31" s="24"/>
      <c r="E31" s="14"/>
      <c r="F31" s="14">
        <v>2</v>
      </c>
      <c r="G31" s="14">
        <v>0.15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>
        <f t="shared" si="4"/>
        <v>0.3</v>
      </c>
      <c r="U31" s="14"/>
      <c r="W31" s="6"/>
    </row>
    <row r="32" s="3" customFormat="1" ht="15" customHeight="1" spans="1:23">
      <c r="A32" s="18"/>
      <c r="B32" s="23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W32" s="31"/>
    </row>
    <row r="33" s="1" customFormat="1" ht="59" customHeight="1" spans="1:23">
      <c r="A33" s="14"/>
      <c r="B33" s="14"/>
      <c r="C33" s="14" t="s">
        <v>38</v>
      </c>
      <c r="D33" s="13"/>
      <c r="E33" s="14"/>
      <c r="F33" s="14"/>
      <c r="G33" s="14"/>
      <c r="H33" s="14"/>
      <c r="I33" s="14"/>
      <c r="J33" s="14">
        <v>1</v>
      </c>
      <c r="K33" s="14">
        <v>0.08</v>
      </c>
      <c r="L33" s="14">
        <v>2</v>
      </c>
      <c r="M33" s="14">
        <v>0.12</v>
      </c>
      <c r="N33" s="14">
        <v>2</v>
      </c>
      <c r="O33" s="14">
        <v>0.1</v>
      </c>
      <c r="P33" s="14">
        <v>5</v>
      </c>
      <c r="Q33" s="14">
        <v>0.1</v>
      </c>
      <c r="R33" s="14"/>
      <c r="S33" s="14"/>
      <c r="T33" s="14">
        <f t="shared" si="4"/>
        <v>1.02</v>
      </c>
      <c r="U33" s="14"/>
      <c r="W33" s="6"/>
    </row>
    <row r="34" s="1" customFormat="1" ht="59" customHeight="1" spans="1:23">
      <c r="A34" s="14"/>
      <c r="B34" s="14"/>
      <c r="C34" s="14" t="s">
        <v>23</v>
      </c>
      <c r="D34" s="14"/>
      <c r="E34" s="14"/>
      <c r="F34" s="14">
        <v>2</v>
      </c>
      <c r="G34" s="14">
        <v>0.05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>
        <f t="shared" si="4"/>
        <v>0.1</v>
      </c>
      <c r="U34" s="14"/>
      <c r="W34" s="6"/>
    </row>
    <row r="35" s="1" customFormat="1" ht="59" customHeight="1" spans="1:23">
      <c r="A35" s="14"/>
      <c r="B35" s="14"/>
      <c r="C35" s="14" t="s">
        <v>39</v>
      </c>
      <c r="D35" s="14"/>
      <c r="E35" s="14"/>
      <c r="F35" s="14">
        <v>4</v>
      </c>
      <c r="G35" s="14">
        <v>0.05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>
        <f t="shared" si="4"/>
        <v>0.2</v>
      </c>
      <c r="U35" s="14"/>
      <c r="W35" s="6"/>
    </row>
    <row r="36" s="3" customFormat="1" ht="15" customHeight="1" spans="1:2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W36" s="31"/>
    </row>
    <row r="37" s="1" customFormat="1" ht="59" customHeight="1" spans="1:23">
      <c r="A37" s="14"/>
      <c r="B37" s="14"/>
      <c r="C37" s="14" t="s">
        <v>40</v>
      </c>
      <c r="D37" s="14"/>
      <c r="E37" s="14"/>
      <c r="F37" s="14">
        <v>1</v>
      </c>
      <c r="G37" s="14">
        <v>0.05</v>
      </c>
      <c r="H37" s="14"/>
      <c r="I37" s="14"/>
      <c r="J37" s="14">
        <v>3</v>
      </c>
      <c r="K37" s="14">
        <v>0.15</v>
      </c>
      <c r="L37" s="14"/>
      <c r="M37" s="14"/>
      <c r="N37" s="14"/>
      <c r="O37" s="14"/>
      <c r="P37" s="14"/>
      <c r="Q37" s="14"/>
      <c r="R37" s="14"/>
      <c r="S37" s="14"/>
      <c r="T37" s="14">
        <f t="shared" ref="T37:T40" si="5">D37*E37+F37*G37+H37*I37+J37*K37+L37*M37+N37*O37+P37*Q37+R37*S37</f>
        <v>0.5</v>
      </c>
      <c r="U37" s="14"/>
      <c r="W37" s="6"/>
    </row>
    <row r="38" s="1" customFormat="1" ht="59" customHeight="1" spans="1:23">
      <c r="A38" s="14"/>
      <c r="B38" s="14"/>
      <c r="C38" s="14" t="s">
        <v>41</v>
      </c>
      <c r="D38" s="14">
        <v>1</v>
      </c>
      <c r="E38" s="14">
        <v>0.12</v>
      </c>
      <c r="F38" s="14"/>
      <c r="G38" s="14"/>
      <c r="H38" s="14">
        <v>2</v>
      </c>
      <c r="I38" s="14">
        <v>0.08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>
        <f t="shared" si="5"/>
        <v>0.28</v>
      </c>
      <c r="U38" s="14"/>
      <c r="W38" s="6"/>
    </row>
    <row r="39" s="3" customFormat="1" ht="15" customHeight="1" spans="1:2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7"/>
      <c r="M39" s="27"/>
      <c r="N39" s="27"/>
      <c r="O39" s="27"/>
      <c r="P39" s="27"/>
      <c r="Q39" s="27"/>
      <c r="R39" s="35"/>
      <c r="S39" s="35"/>
      <c r="T39" s="18"/>
      <c r="U39" s="18"/>
      <c r="W39" s="31"/>
    </row>
    <row r="40" s="1" customFormat="1" ht="59" customHeight="1" spans="1:23">
      <c r="A40" s="14"/>
      <c r="B40" s="14"/>
      <c r="C40" s="14" t="s">
        <v>42</v>
      </c>
      <c r="D40" s="14">
        <v>1</v>
      </c>
      <c r="E40" s="14">
        <v>0.12</v>
      </c>
      <c r="F40" s="14">
        <v>1</v>
      </c>
      <c r="G40" s="14">
        <v>0.05</v>
      </c>
      <c r="H40" s="14">
        <v>2</v>
      </c>
      <c r="I40" s="14">
        <v>0.08</v>
      </c>
      <c r="J40" s="14">
        <v>3</v>
      </c>
      <c r="K40" s="14">
        <v>0.08</v>
      </c>
      <c r="L40" s="14"/>
      <c r="M40" s="14"/>
      <c r="N40" s="14"/>
      <c r="O40" s="14"/>
      <c r="P40" s="14"/>
      <c r="Q40" s="14"/>
      <c r="R40" s="14"/>
      <c r="S40" s="14"/>
      <c r="T40" s="14">
        <f t="shared" si="5"/>
        <v>0.57</v>
      </c>
      <c r="U40" s="14"/>
      <c r="W40" s="6"/>
    </row>
    <row r="41" s="1" customFormat="1" customHeight="1" spans="1:23">
      <c r="A41" s="14" t="s">
        <v>43</v>
      </c>
      <c r="B41" s="14"/>
      <c r="C41" s="14" t="s">
        <v>44</v>
      </c>
      <c r="D41" s="25">
        <f t="shared" ref="D41:R41" si="6">SUM(D3:D40)</f>
        <v>13</v>
      </c>
      <c r="E41" s="25">
        <f t="shared" si="6"/>
        <v>0.84</v>
      </c>
      <c r="F41" s="25">
        <f t="shared" si="6"/>
        <v>27</v>
      </c>
      <c r="G41" s="25">
        <f t="shared" si="6"/>
        <v>0.95</v>
      </c>
      <c r="H41" s="25">
        <f t="shared" si="6"/>
        <v>14</v>
      </c>
      <c r="I41" s="25">
        <f t="shared" si="6"/>
        <v>0.72</v>
      </c>
      <c r="J41" s="25">
        <f t="shared" si="6"/>
        <v>17</v>
      </c>
      <c r="K41" s="25">
        <f t="shared" si="6"/>
        <v>0.55</v>
      </c>
      <c r="L41" s="25">
        <f t="shared" si="6"/>
        <v>2</v>
      </c>
      <c r="M41" s="25">
        <f t="shared" si="6"/>
        <v>0.12</v>
      </c>
      <c r="N41" s="25">
        <f t="shared" si="6"/>
        <v>7</v>
      </c>
      <c r="O41" s="25">
        <f t="shared" si="6"/>
        <v>0.6</v>
      </c>
      <c r="P41" s="25">
        <f t="shared" si="6"/>
        <v>12</v>
      </c>
      <c r="Q41" s="25">
        <f t="shared" si="6"/>
        <v>0.4</v>
      </c>
      <c r="R41" s="25"/>
      <c r="S41" s="25"/>
      <c r="T41" s="25">
        <f>SUM(T3:T40)</f>
        <v>8.34</v>
      </c>
      <c r="U41" s="14"/>
      <c r="W41" s="6"/>
    </row>
    <row r="42" customHeight="1" spans="1:2">
      <c r="A42" s="26"/>
      <c r="B42" s="26"/>
    </row>
    <row r="43" customHeight="1" spans="1:1">
      <c r="A43" s="5" t="s">
        <v>45</v>
      </c>
    </row>
  </sheetData>
  <mergeCells count="1">
    <mergeCell ref="A1:U1"/>
  </mergeCells>
  <pageMargins left="0.984027777777778" right="0.75" top="1" bottom="1" header="0.5" footer="0.5"/>
  <pageSetup paperSize="9" scale="4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喷油0923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张宇婕</cp:lastModifiedBy>
  <dcterms:created xsi:type="dcterms:W3CDTF">2025-09-23T09:30:00Z</dcterms:created>
  <dcterms:modified xsi:type="dcterms:W3CDTF">2026-07-14T05:51:59Z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2422413C194745F5A3D59D729C99FD0A_13</vt:lpwstr>
  </property>
</Properties>
</file>