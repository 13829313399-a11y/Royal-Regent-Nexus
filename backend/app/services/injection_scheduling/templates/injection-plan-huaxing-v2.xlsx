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5e6e1433b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表" sheetId="1" r:id="R198be78ed010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3">
    <x:numFmt numFmtId="200" formatCode="0_ ;[Red]\-0\ "/>
    <x:numFmt numFmtId="201" formatCode="General"/>
    <x:numFmt numFmtId="202" formatCode="0_ "/>
    <x:numFmt numFmtId="203" formatCode="yyyy/m/d;@"/>
    <x:numFmt numFmtId="204" formatCode="0.00_);\(0.00\)"/>
    <x:numFmt numFmtId="205" formatCode="0.0_ ;[Red]\-0.0\ "/>
    <x:numFmt numFmtId="206" formatCode="m&quot;月&quot;d&quot;日&quot;;@"/>
    <x:numFmt numFmtId="207" formatCode="[$-409]yyyy/m/d\ h:mm\ AM/PM;@"/>
    <x:numFmt numFmtId="208" formatCode="m/d\ h&quot;时&quot;;@"/>
    <x:numFmt numFmtId="209" formatCode="#,##0.00_ "/>
    <x:numFmt numFmtId="210" formatCode="#,##0_ "/>
    <x:numFmt numFmtId="211" formatCode="#,##0.0_ "/>
    <x:numFmt numFmtId="212" formatCode="0%"/>
    <x:numFmt numFmtId="213" formatCode="_ * #,##0_ ;_ * \-#,##0_ ;_ * &quot;-&quot;_ ;_ @_ "/>
    <x:numFmt numFmtId="214" formatCode="0.00_ "/>
    <x:numFmt numFmtId="215" formatCode="#,##0.000_ "/>
    <x:numFmt numFmtId="216" formatCode="m/d\ h:mm"/>
    <x:numFmt numFmtId="217" formatCode="0.0_ "/>
    <x:numFmt numFmtId="218" formatCode="#,##0"/>
    <x:numFmt numFmtId="219" formatCode="yyyy-mm-dd hh:mm"/>
    <x:numFmt numFmtId="220" formatCode="m/d"/>
    <x:numFmt numFmtId="221" formatCode="@"/>
    <x:numFmt numFmtId="222" formatCode="m/d hh:mm"/>
  </x:numFmts>
  <x:fonts count="8">
    <x:font>
      <x:sz val="11"/>
      <x:name val="Carlito"/>
    </x:font>
    <x:font>
      <x:sz val="9"/>
      <x:name val="宋体"/>
    </x:font>
    <x:font>
      <x:sz val="11"/>
      <x:color rgb="FFFF0000"/>
      <x:name val="宋体"/>
    </x:font>
    <x:font>
      <x:sz val="11"/>
      <x:color rgb="FF000000"/>
      <x:name val="宋体"/>
    </x:font>
    <x:font>
      <x:sz val="11"/>
      <x:color rgb="FF1D41D5"/>
      <x:name val="宋体"/>
    </x:font>
    <x:font>
      <x:sz val="9"/>
      <x:color rgb="FF000000"/>
      <x:name val="宋体"/>
    </x:font>
    <x:font>
      <x:b/>
      <x:sz val="9"/>
      <x:color rgb="FF000000"/>
      <x:name val="宋体"/>
    </x:font>
    <x:font>
      <x:sz val="10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AF4F2"/>
      </x:patternFill>
    </x:fill>
    <x:fill>
      <x:patternFill patternType="solid">
        <x:fgColor rgb="FF08E8E0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00FFFF"/>
      </x:patternFill>
    </x:fill>
  </x:fills>
  <x:borders count="1">
    <x:border/>
  </x:borders>
  <x:cellStyleXfs count="1">
    <x:xf numFmtId="0" fontId="0" fillId="0" borderId="0"/>
  </x:cellStyleXfs>
  <x:cellXfs count="2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horizontal="center" wrapText="0"/>
    </x:xf>
    <x:xf numFmtId="200" fontId="2" fillId="0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0"/>
    </x:xf>
    <x:xf numFmtId="200" fontId="3" fillId="0" borderId="0" xfId="0" applyNumberFormat="1" applyFont="1" applyFill="1" applyBorder="1" applyAlignment="1">
      <x:alignment horizontal="center" wrapText="0"/>
    </x:xf>
    <x:xf numFmtId="200" fontId="3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0"/>
    </x:xf>
    <x:xf numFmtId="200" fontId="4" fillId="0" borderId="0" xfId="0" applyNumberFormat="1" applyFont="1" applyFill="1" applyBorder="1" applyAlignment="1">
      <x:alignment horizontal="center" wrapText="0"/>
    </x:xf>
    <x:xf numFmtId="200" fontId="4" fillId="0" borderId="0" xfId="0" applyNumberFormat="1" applyFont="1" applyFill="1" applyBorder="1" applyAlignment="1">
      <x:alignment horizontal="center" vertical="center" wrapText="0"/>
    </x:xf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wrapText="0"/>
    </x:xf>
    <x:xf numFmtId="201" fontId="3" fillId="0" borderId="0" xfId="0" applyNumberFormat="1" applyFont="1" applyFill="1" applyBorder="1" applyAlignment="1">
      <x:alignment horizontal="center" wrapText="0"/>
    </x:xf>
    <x:xf numFmtId="201" fontId="3" fillId="0" borderId="0" xfId="0" applyNumberFormat="1" applyFont="1" applyFill="1" applyBorder="1" applyAlignment="1">
      <x:alignment horizontal="center" vertical="center" wrapText="0"/>
    </x:xf>
    <x:xf numFmtId="202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wrapText="0"/>
    </x:xf>
    <x:xf numFmtId="202" fontId="2" fillId="0" borderId="0" xfId="0" applyNumberFormat="1" applyFont="1" applyFill="1" applyBorder="1" applyAlignment="1">
      <x:alignment horizontal="center" wrapText="0"/>
    </x:xf>
    <x:xf numFmtId="202" fontId="2" fillId="0" borderId="0" xfId="0" applyNumberFormat="1" applyFont="1" applyFill="1" applyBorder="1" applyAlignment="1">
      <x:alignment horizontal="center" vertical="center" wrapText="0"/>
    </x:xf>
    <x:xf numFmtId="203" fontId="3" fillId="0" borderId="0" xfId="0" applyNumberFormat="1" applyFont="1" applyFill="1" applyBorder="1"/>
    <x:xf numFmtId="203" fontId="3" fillId="0" borderId="0" xfId="0" applyNumberFormat="1" applyFont="1" applyFill="1" applyBorder="1" applyAlignment="1">
      <x:alignment wrapText="0"/>
    </x:xf>
    <x:xf numFmtId="203" fontId="3" fillId="0" borderId="0" xfId="0" applyNumberFormat="1" applyFont="1" applyFill="1" applyBorder="1" applyAlignment="1">
      <x:alignment horizontal="center" wrapText="0"/>
    </x:xf>
    <x:xf numFmtId="203" fontId="3" fillId="0" borderId="0" xfId="0" applyNumberFormat="1" applyFont="1" applyFill="1" applyBorder="1" applyAlignment="1">
      <x:alignment horizontal="center" vertical="center" wrapText="0"/>
    </x:xf>
    <x:xf numFmtId="204" fontId="3" fillId="0" borderId="0" xfId="0" applyNumberFormat="1" applyFont="1" applyFill="1" applyBorder="1"/>
    <x:xf numFmtId="204" fontId="3" fillId="0" borderId="0" xfId="0" applyNumberFormat="1" applyFont="1" applyFill="1" applyBorder="1" applyAlignment="1">
      <x:alignment wrapText="0"/>
    </x:xf>
    <x:xf numFmtId="204" fontId="3" fillId="0" borderId="0" xfId="0" applyNumberFormat="1" applyFont="1" applyFill="1" applyBorder="1" applyAlignment="1">
      <x:alignment horizontal="center" wrapText="0"/>
    </x:xf>
    <x:xf numFmtId="204" fontId="3" fillId="0" borderId="0" xfId="0" applyNumberFormat="1" applyFont="1" applyFill="1" applyBorder="1" applyAlignment="1">
      <x:alignment horizontal="center" vertical="center" wrapText="0"/>
    </x:xf>
    <x:xf numFmtId="205" fontId="3" fillId="0" borderId="0" xfId="0" applyNumberFormat="1" applyFont="1" applyFill="1" applyBorder="1"/>
    <x:xf numFmtId="205" fontId="3" fillId="0" borderId="0" xfId="0" applyNumberFormat="1" applyFont="1" applyFill="1" applyBorder="1" applyAlignment="1">
      <x:alignment wrapText="0"/>
    </x:xf>
    <x:xf numFmtId="205" fontId="3" fillId="0" borderId="0" xfId="0" applyNumberFormat="1" applyFont="1" applyFill="1" applyBorder="1" applyAlignment="1">
      <x:alignment horizontal="center" wrapText="0"/>
    </x:xf>
    <x:xf numFmtId="205" fontId="3" fillId="0" borderId="0" xfId="0" applyNumberFormat="1" applyFont="1" applyFill="1" applyBorder="1" applyAlignment="1">
      <x:alignment horizontal="center" vertical="center" wrapText="0"/>
    </x:xf>
    <x:xf numFmtId="206" fontId="3" fillId="0" borderId="0" xfId="0" applyNumberFormat="1" applyFont="1" applyFill="1" applyBorder="1"/>
    <x:xf numFmtId="206" fontId="3" fillId="0" borderId="0" xfId="0" applyNumberFormat="1" applyFont="1" applyFill="1" applyBorder="1" applyAlignment="1">
      <x:alignment wrapText="0"/>
    </x:xf>
    <x:xf numFmtId="206" fontId="3" fillId="0" borderId="0" xfId="0" applyNumberFormat="1" applyFont="1" applyFill="1" applyBorder="1" applyAlignment="1">
      <x:alignment horizontal="center" wrapText="0"/>
    </x:xf>
    <x:xf numFmtId="206" fontId="3" fillId="0" borderId="0" xfId="0" applyNumberFormat="1" applyFont="1" applyFill="1" applyBorder="1" applyAlignment="1">
      <x:alignment horizontal="center" vertical="center" wrapText="0"/>
    </x:xf>
    <x:xf numFmtId="207" fontId="3" fillId="0" borderId="0" xfId="0" applyNumberFormat="1" applyFont="1" applyFill="1" applyBorder="1"/>
    <x:xf numFmtId="207" fontId="3" fillId="0" borderId="0" xfId="0" applyNumberFormat="1" applyFont="1" applyFill="1" applyBorder="1" applyAlignment="1">
      <x:alignment wrapText="0"/>
    </x:xf>
    <x:xf numFmtId="207" fontId="3" fillId="0" borderId="0" xfId="0" applyNumberFormat="1" applyFont="1" applyFill="1" applyBorder="1" applyAlignment="1">
      <x:alignment horizontal="center" wrapText="0"/>
    </x:xf>
    <x:xf numFmtId="207" fontId="3" fillId="0" borderId="0" xfId="0" applyNumberFormat="1" applyFont="1" applyFill="1" applyBorder="1" applyAlignment="1">
      <x:alignment horizontal="center" vertical="center" wrapText="0"/>
    </x:xf>
    <x:xf numFmtId="202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wrapText="0"/>
    </x:xf>
    <x:xf numFmtId="202" fontId="3" fillId="0" borderId="0" xfId="0" applyNumberFormat="1" applyFont="1" applyFill="1" applyBorder="1" applyAlignment="1">
      <x:alignment horizontal="center" wrapText="0"/>
    </x:xf>
    <x:xf numFmtId="202" fontId="3" fillId="0" borderId="0" xfId="0" applyNumberFormat="1" applyFont="1" applyFill="1" applyBorder="1" applyAlignment="1">
      <x:alignment horizontal="center" vertical="center" wrapText="0"/>
    </x:xf>
    <x:xf numFmtId="208" fontId="3" fillId="0" borderId="0" xfId="0" applyNumberFormat="1" applyFont="1" applyFill="1" applyBorder="1"/>
    <x:xf numFmtId="208" fontId="3" fillId="0" borderId="0" xfId="0" applyNumberFormat="1" applyFont="1" applyFill="1" applyBorder="1" applyAlignment="1">
      <x:alignment wrapText="0"/>
    </x:xf>
    <x:xf numFmtId="208" fontId="3" fillId="0" borderId="0" xfId="0" applyNumberFormat="1" applyFont="1" applyFill="1" applyBorder="1" applyAlignment="1">
      <x:alignment horizontal="center" wrapText="0"/>
    </x:xf>
    <x:xf numFmtId="208" fontId="3" fillId="0" borderId="0" xfId="0" applyNumberFormat="1" applyFont="1" applyFill="1" applyBorder="1" applyAlignment="1">
      <x:alignment horizontal="center" vertical="center" wrapText="0"/>
    </x:xf>
    <x:xf numFmtId="209" fontId="3" fillId="0" borderId="0" xfId="0" applyNumberFormat="1" applyFont="1" applyFill="1" applyBorder="1"/>
    <x:xf numFmtId="209" fontId="3" fillId="0" borderId="0" xfId="0" applyNumberFormat="1" applyFont="1" applyFill="1" applyBorder="1" applyAlignment="1">
      <x:alignment wrapText="0"/>
    </x:xf>
    <x:xf numFmtId="209" fontId="3" fillId="0" borderId="0" xfId="0" applyNumberFormat="1" applyFont="1" applyFill="1" applyBorder="1" applyAlignment="1">
      <x:alignment horizontal="center" wrapText="0"/>
    </x:xf>
    <x:xf numFmtId="209" fontId="3" fillId="0" borderId="0" xfId="0" applyNumberFormat="1" applyFont="1" applyFill="1" applyBorder="1" applyAlignment="1">
      <x:alignment horizontal="center" vertical="center" wrapText="0"/>
    </x:xf>
    <x:xf numFmtId="210" fontId="3" fillId="0" borderId="0" xfId="0" applyNumberFormat="1" applyFont="1" applyFill="1" applyBorder="1"/>
    <x:xf numFmtId="210" fontId="3" fillId="0" borderId="0" xfId="0" applyNumberFormat="1" applyFont="1" applyFill="1" applyBorder="1" applyAlignment="1">
      <x:alignment wrapText="0"/>
    </x:xf>
    <x:xf numFmtId="210" fontId="3" fillId="0" borderId="0" xfId="0" applyNumberFormat="1" applyFont="1" applyFill="1" applyBorder="1" applyAlignment="1">
      <x:alignment horizontal="center" wrapText="0"/>
    </x:xf>
    <x:xf numFmtId="210" fontId="3" fillId="0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5" fontId="3" fillId="2" borderId="0" xfId="0" applyNumberFormat="1" applyFont="1" applyFill="1" applyBorder="1"/>
    <x:xf numFmtId="205" fontId="3" fillId="2" borderId="0" xfId="0" applyNumberFormat="1" applyFont="1" applyFill="1" applyBorder="1" applyAlignment="1">
      <x:alignment wrapText="0"/>
    </x:xf>
    <x:xf numFmtId="205" fontId="3" fillId="2" borderId="0" xfId="0" applyNumberFormat="1" applyFont="1" applyFill="1" applyBorder="1" applyAlignment="1">
      <x:alignment horizontal="center" wrapText="0"/>
    </x:xf>
    <x:xf numFmtId="205" fontId="3" fillId="2" borderId="0" xfId="0" applyNumberFormat="1" applyFont="1" applyFill="1" applyBorder="1" applyAlignment="1">
      <x:alignment horizontal="center" vertical="center" wrapText="0"/>
    </x:xf>
    <x:xf numFmtId="211" fontId="3" fillId="0" borderId="0" xfId="0" applyNumberFormat="1" applyFont="1" applyFill="1" applyBorder="1"/>
    <x:xf numFmtId="211" fontId="3" fillId="0" borderId="0" xfId="0" applyNumberFormat="1" applyFont="1" applyFill="1" applyBorder="1" applyAlignment="1">
      <x:alignment wrapText="0"/>
    </x:xf>
    <x:xf numFmtId="211" fontId="3" fillId="0" borderId="0" xfId="0" applyNumberFormat="1" applyFont="1" applyFill="1" applyBorder="1" applyAlignment="1">
      <x:alignment horizontal="center" wrapText="0"/>
    </x:xf>
    <x:xf numFmtId="211" fontId="3" fillId="0" borderId="0" xfId="0" applyNumberFormat="1" applyFont="1" applyFill="1" applyBorder="1" applyAlignment="1">
      <x:alignment horizontal="center" vertical="center" wrapText="0"/>
    </x:xf>
    <x:xf numFmtId="212" fontId="3" fillId="0" borderId="0" xfId="0" applyNumberFormat="1" applyFont="1" applyFill="1" applyBorder="1"/>
    <x:xf numFmtId="212" fontId="3" fillId="0" borderId="0" xfId="0" applyNumberFormat="1" applyFont="1" applyFill="1" applyBorder="1" applyAlignment="1">
      <x:alignment wrapText="0"/>
    </x:xf>
    <x:xf numFmtId="212" fontId="3" fillId="0" borderId="0" xfId="0" applyNumberFormat="1" applyFont="1" applyFill="1" applyBorder="1" applyAlignment="1">
      <x:alignment horizontal="center" wrapText="0"/>
    </x:xf>
    <x:xf numFmtId="212" fontId="3" fillId="0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0"/>
    </x:xf>
    <x:xf numFmtId="200" fontId="2" fillId="3" borderId="0" xfId="0" applyNumberFormat="1" applyFont="1" applyFill="1" applyBorder="1" applyAlignment="1">
      <x:alignment horizont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201" fontId="3" fillId="3" borderId="0" xfId="0" applyNumberFormat="1" applyFont="1" applyFill="1" applyBorder="1" applyAlignment="1">
      <x:alignment wrapText="0"/>
    </x:xf>
    <x:xf numFmtId="201" fontId="3" fillId="3" borderId="0" xfId="0" applyNumberFormat="1" applyFont="1" applyFill="1" applyBorder="1" applyAlignment="1">
      <x:alignment horizontal="center" wrapText="0"/>
    </x:xf>
    <x:xf numFmtId="201" fontId="3" fillId="3" borderId="0" xfId="0" applyNumberFormat="1" applyFont="1" applyFill="1" applyBorder="1" applyAlignment="1">
      <x:alignment horizontal="center" vertical="center" wrapText="0"/>
    </x:xf>
    <x:xf numFmtId="202" fontId="2" fillId="3" borderId="0" xfId="0" applyNumberFormat="1" applyFont="1" applyFill="1" applyBorder="1"/>
    <x:xf numFmtId="202" fontId="2" fillId="3" borderId="0" xfId="0" applyNumberFormat="1" applyFont="1" applyFill="1" applyBorder="1" applyAlignment="1">
      <x:alignment wrapText="0"/>
    </x:xf>
    <x:xf numFmtId="202" fontId="2" fillId="3" borderId="0" xfId="0" applyNumberFormat="1" applyFont="1" applyFill="1" applyBorder="1" applyAlignment="1">
      <x:alignment horizontal="center" wrapText="0"/>
    </x:xf>
    <x:xf numFmtId="202" fontId="2" fillId="3" borderId="0" xfId="0" applyNumberFormat="1" applyFont="1" applyFill="1" applyBorder="1" applyAlignment="1">
      <x:alignment horizontal="center" vertical="center" wrapText="0"/>
    </x:xf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wrapText="0"/>
    </x:xf>
    <x:xf numFmtId="200" fontId="3" fillId="3" borderId="0" xfId="0" applyNumberFormat="1" applyFont="1" applyFill="1" applyBorder="1" applyAlignment="1">
      <x:alignment horizontal="center" wrapText="0"/>
    </x:xf>
    <x:xf numFmtId="200" fontId="3" fillId="3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wrapText="0"/>
    </x:xf>
    <x:xf numFmtId="200" fontId="4" fillId="3" borderId="0" xfId="0" applyNumberFormat="1" applyFont="1" applyFill="1" applyBorder="1" applyAlignment="1">
      <x:alignment horizontal="center" wrapText="0"/>
    </x:xf>
    <x:xf numFmtId="200" fontId="4" fillId="3" borderId="0" xfId="0" applyNumberFormat="1" applyFont="1" applyFill="1" applyBorder="1" applyAlignment="1">
      <x:alignment horizontal="center" vertical="center" wrapText="0"/>
    </x:xf>
    <x:xf numFmtId="201" fontId="2" fillId="3" borderId="0" xfId="0" applyNumberFormat="1" applyFont="1" applyFill="1" applyBorder="1"/>
    <x:xf numFmtId="201" fontId="2" fillId="3" borderId="0" xfId="0" applyNumberFormat="1" applyFont="1" applyFill="1" applyBorder="1" applyAlignment="1">
      <x:alignment wrapText="0"/>
    </x:xf>
    <x:xf numFmtId="201" fontId="2" fillId="3" borderId="0" xfId="0" applyNumberFormat="1" applyFont="1" applyFill="1" applyBorder="1" applyAlignment="1">
      <x:alignment horizontal="center" wrapText="0"/>
    </x:xf>
    <x:xf numFmtId="201" fontId="2" fillId="3" borderId="0" xfId="0" applyNumberFormat="1" applyFont="1" applyFill="1" applyBorder="1" applyAlignment="1">
      <x:alignment horizontal="center" vertical="center" wrapText="0"/>
    </x:xf>
    <x:xf numFmtId="204" fontId="3" fillId="3" borderId="0" xfId="0" applyNumberFormat="1" applyFont="1" applyFill="1" applyBorder="1"/>
    <x:xf numFmtId="204" fontId="3" fillId="3" borderId="0" xfId="0" applyNumberFormat="1" applyFont="1" applyFill="1" applyBorder="1" applyAlignment="1">
      <x:alignment wrapText="0"/>
    </x:xf>
    <x:xf numFmtId="204" fontId="3" fillId="3" borderId="0" xfId="0" applyNumberFormat="1" applyFont="1" applyFill="1" applyBorder="1" applyAlignment="1">
      <x:alignment horizontal="center" wrapText="0"/>
    </x:xf>
    <x:xf numFmtId="204" fontId="3" fillId="3" borderId="0" xfId="0" applyNumberFormat="1" applyFont="1" applyFill="1" applyBorder="1" applyAlignment="1">
      <x:alignment horizontal="center" vertical="center" wrapText="0"/>
    </x:xf>
    <x:xf numFmtId="205" fontId="3" fillId="3" borderId="0" xfId="0" applyNumberFormat="1" applyFont="1" applyFill="1" applyBorder="1"/>
    <x:xf numFmtId="205" fontId="3" fillId="3" borderId="0" xfId="0" applyNumberFormat="1" applyFont="1" applyFill="1" applyBorder="1" applyAlignment="1">
      <x:alignment wrapText="0"/>
    </x:xf>
    <x:xf numFmtId="205" fontId="3" fillId="3" borderId="0" xfId="0" applyNumberFormat="1" applyFont="1" applyFill="1" applyBorder="1" applyAlignment="1">
      <x:alignment horizontal="center" wrapText="0"/>
    </x:xf>
    <x:xf numFmtId="205" fontId="3" fillId="3" borderId="0" xfId="0" applyNumberFormat="1" applyFont="1" applyFill="1" applyBorder="1" applyAlignment="1">
      <x:alignment horizontal="center" vertical="center" wrapText="0"/>
    </x:xf>
    <x:xf numFmtId="206" fontId="3" fillId="3" borderId="0" xfId="0" applyNumberFormat="1" applyFont="1" applyFill="1" applyBorder="1"/>
    <x:xf numFmtId="206" fontId="3" fillId="3" borderId="0" xfId="0" applyNumberFormat="1" applyFont="1" applyFill="1" applyBorder="1" applyAlignment="1">
      <x:alignment wrapText="0"/>
    </x:xf>
    <x:xf numFmtId="206" fontId="3" fillId="3" borderId="0" xfId="0" applyNumberFormat="1" applyFont="1" applyFill="1" applyBorder="1" applyAlignment="1">
      <x:alignment horizontal="center" wrapText="0"/>
    </x:xf>
    <x:xf numFmtId="206" fontId="3" fillId="3" borderId="0" xfId="0" applyNumberFormat="1" applyFont="1" applyFill="1" applyBorder="1" applyAlignment="1">
      <x:alignment horizontal="center" vertical="center" wrapText="0"/>
    </x:xf>
    <x:xf numFmtId="207" fontId="3" fillId="3" borderId="0" xfId="0" applyNumberFormat="1" applyFont="1" applyFill="1" applyBorder="1"/>
    <x:xf numFmtId="207" fontId="3" fillId="3" borderId="0" xfId="0" applyNumberFormat="1" applyFont="1" applyFill="1" applyBorder="1" applyAlignment="1">
      <x:alignment wrapText="0"/>
    </x:xf>
    <x:xf numFmtId="207" fontId="3" fillId="3" borderId="0" xfId="0" applyNumberFormat="1" applyFont="1" applyFill="1" applyBorder="1" applyAlignment="1">
      <x:alignment horizontal="center" wrapText="0"/>
    </x:xf>
    <x:xf numFmtId="207" fontId="3" fillId="3" borderId="0" xfId="0" applyNumberFormat="1" applyFont="1" applyFill="1" applyBorder="1" applyAlignment="1">
      <x:alignment horizontal="center" vertical="center" wrapText="0"/>
    </x:xf>
    <x:xf numFmtId="202" fontId="3" fillId="3" borderId="0" xfId="0" applyNumberFormat="1" applyFont="1" applyFill="1" applyBorder="1"/>
    <x:xf numFmtId="202" fontId="3" fillId="3" borderId="0" xfId="0" applyNumberFormat="1" applyFont="1" applyFill="1" applyBorder="1" applyAlignment="1">
      <x:alignment wrapText="0"/>
    </x:xf>
    <x:xf numFmtId="202" fontId="3" fillId="3" borderId="0" xfId="0" applyNumberFormat="1" applyFont="1" applyFill="1" applyBorder="1" applyAlignment="1">
      <x:alignment horizontal="center" wrapText="0"/>
    </x:xf>
    <x:xf numFmtId="202" fontId="3" fillId="3" borderId="0" xfId="0" applyNumberFormat="1" applyFont="1" applyFill="1" applyBorder="1" applyAlignment="1">
      <x:alignment horizontal="center" vertical="center" wrapText="0"/>
    </x:xf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wrapText="0"/>
    </x:xf>
    <x:xf numFmtId="201" fontId="2" fillId="0" borderId="0" xfId="0" applyNumberFormat="1" applyFont="1" applyFill="1" applyBorder="1" applyAlignment="1">
      <x:alignment horizontal="center" wrapText="0"/>
    </x:xf>
    <x:xf numFmtId="201" fontId="2" fillId="0" borderId="0" xfId="0" applyNumberFormat="1" applyFont="1" applyFill="1" applyBorder="1" applyAlignment="1">
      <x:alignment horizontal="center" vertical="center" wrapText="0"/>
    </x:xf>
    <x:xf numFmtId="213" fontId="4" fillId="0" borderId="0" xfId="0" applyNumberFormat="1" applyFont="1" applyFill="1" applyBorder="1"/>
    <x:xf numFmtId="213" fontId="4" fillId="0" borderId="0" xfId="0" applyNumberFormat="1" applyFont="1" applyFill="1" applyBorder="1" applyAlignment="1">
      <x:alignment wrapText="0"/>
    </x:xf>
    <x:xf numFmtId="213" fontId="4" fillId="0" borderId="0" xfId="0" applyNumberFormat="1" applyFont="1" applyFill="1" applyBorder="1" applyAlignment="1">
      <x:alignment horizontal="center" wrapText="0"/>
    </x:xf>
    <x:xf numFmtId="213" fontId="4" fillId="0" borderId="0" xfId="0" applyNumberFormat="1" applyFont="1" applyFill="1" applyBorder="1" applyAlignment="1">
      <x:alignment horizontal="center" vertical="center" wrapText="0"/>
    </x:xf>
    <x:xf numFmtId="214" fontId="3" fillId="0" borderId="0" xfId="0" applyNumberFormat="1" applyFont="1" applyFill="1" applyBorder="1"/>
    <x:xf numFmtId="214" fontId="3" fillId="0" borderId="0" xfId="0" applyNumberFormat="1" applyFont="1" applyFill="1" applyBorder="1" applyAlignment="1">
      <x:alignment wrapText="0"/>
    </x:xf>
    <x:xf numFmtId="214" fontId="3" fillId="0" borderId="0" xfId="0" applyNumberFormat="1" applyFont="1" applyFill="1" applyBorder="1" applyAlignment="1">
      <x:alignment horizontal="center" wrapText="0"/>
    </x:xf>
    <x:xf numFmtId="214" fontId="3" fillId="0" borderId="0" xfId="0" applyNumberFormat="1" applyFont="1" applyFill="1" applyBorder="1" applyAlignment="1">
      <x:alignment horizontal="center" vertical="center" wrapText="0"/>
    </x:xf>
    <x:xf numFmtId="215" fontId="3" fillId="0" borderId="0" xfId="0" applyNumberFormat="1" applyFont="1" applyFill="1" applyBorder="1"/>
    <x:xf numFmtId="215" fontId="3" fillId="0" borderId="0" xfId="0" applyNumberFormat="1" applyFont="1" applyFill="1" applyBorder="1" applyAlignment="1">
      <x:alignment wrapText="0"/>
    </x:xf>
    <x:xf numFmtId="215" fontId="3" fillId="0" borderId="0" xfId="0" applyNumberFormat="1" applyFont="1" applyFill="1" applyBorder="1" applyAlignment="1">
      <x:alignment horizontal="center" wrapText="0"/>
    </x:xf>
    <x:xf numFmtId="215" fontId="3" fillId="0" borderId="0" xfId="0" applyNumberFormat="1" applyFont="1" applyFill="1" applyBorder="1" applyAlignment="1">
      <x:alignment horizontal="center" vertical="center" wrapText="0"/>
    </x:xf>
    <x:xf numFmtId="216" fontId="3" fillId="0" borderId="0" xfId="0" applyNumberFormat="1" applyFont="1" applyFill="1" applyBorder="1"/>
    <x:xf numFmtId="216" fontId="3" fillId="0" borderId="0" xfId="0" applyNumberFormat="1" applyFont="1" applyFill="1" applyBorder="1" applyAlignment="1">
      <x:alignment wrapText="0"/>
    </x:xf>
    <x:xf numFmtId="216" fontId="3" fillId="0" borderId="0" xfId="0" applyNumberFormat="1" applyFont="1" applyFill="1" applyBorder="1" applyAlignment="1">
      <x:alignment horizontal="center" wrapText="0"/>
    </x:xf>
    <x:xf numFmtId="216" fontId="3" fillId="0" borderId="0" xfId="0" applyNumberFormat="1" applyFont="1" applyFill="1" applyBorder="1" applyAlignment="1">
      <x:alignment horizontal="center" vertical="center" wrapText="0"/>
    </x:xf>
    <x:xf numFmtId="217" fontId="3" fillId="3" borderId="0" xfId="0" applyNumberFormat="1" applyFont="1" applyFill="1" applyBorder="1"/>
    <x:xf numFmtId="217" fontId="3" fillId="3" borderId="0" xfId="0" applyNumberFormat="1" applyFont="1" applyFill="1" applyBorder="1" applyAlignment="1">
      <x:alignment wrapText="0"/>
    </x:xf>
    <x:xf numFmtId="217" fontId="3" fillId="3" borderId="0" xfId="0" applyNumberFormat="1" applyFont="1" applyFill="1" applyBorder="1" applyAlignment="1">
      <x:alignment horizontal="center" wrapText="0"/>
    </x:xf>
    <x:xf numFmtId="217" fontId="3" fillId="3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201" fontId="2" fillId="4" borderId="0" xfId="0" applyNumberFormat="1" applyFont="1" applyFill="1" applyBorder="1" applyAlignment="1">
      <x:alignment wrapText="0"/>
    </x:xf>
    <x:xf numFmtId="201" fontId="2" fillId="4" borderId="0" xfId="0" applyNumberFormat="1" applyFont="1" applyFill="1" applyBorder="1" applyAlignment="1">
      <x:alignment horizontal="center" wrapText="0"/>
    </x:xf>
    <x:xf numFmtId="201" fontId="2" fillId="4" borderId="0" xfId="0" applyNumberFormat="1" applyFont="1" applyFill="1" applyBorder="1" applyAlignment="1">
      <x:alignment horizontal="center" vertical="center" wrapText="0"/>
    </x:xf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201" fontId="3" fillId="4" borderId="0" xfId="0" applyNumberFormat="1" applyFont="1" applyFill="1" applyBorder="1" applyAlignment="1">
      <x:alignment wrapText="0"/>
    </x:xf>
    <x:xf numFmtId="201" fontId="3" fillId="4" borderId="0" xfId="0" applyNumberFormat="1" applyFont="1" applyFill="1" applyBorder="1" applyAlignment="1">
      <x:alignment horizontal="center" wrapText="0"/>
    </x:xf>
    <x:xf numFmtId="201" fontId="3" fillId="4" borderId="0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 wrapText="0"/>
    </x:xf>
    <x:xf numFmtId="202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0"/>
    </x:xf>
    <x:xf numFmtId="204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 wrapText="0"/>
    </x:xf>
    <x:xf numFmtId="206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 wrapText="0"/>
    </x:xf>
    <x:xf numFmtId="211" fontId="3" fillId="0" borderId="0" xfId="0" applyNumberFormat="1" applyFont="1" applyFill="1" applyBorder="1" applyAlignment="1">
      <x:alignment vertical="center"/>
    </x:xf>
    <x:xf numFmtId="211" fontId="3" fillId="0" borderId="0" xfId="0" applyNumberFormat="1" applyFont="1" applyFill="1" applyBorder="1" applyAlignment="1">
      <x:alignment vertical="center" wrapText="0"/>
    </x:xf>
    <x:xf numFmtId="207" fontId="3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 wrapText="0"/>
    </x:xf>
    <x:xf numFmtId="202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 wrapText="0"/>
    </x:xf>
    <x:xf numFmtId="212" fontId="3" fillId="0" borderId="0" xfId="0" applyNumberFormat="1" applyFont="1" applyFill="1" applyBorder="1" applyAlignment="1">
      <x:alignment vertical="center"/>
    </x:xf>
    <x:xf numFmtId="212" fontId="3" fillId="0" borderId="0" xfId="0" applyNumberFormat="1" applyFont="1" applyFill="1" applyBorder="1" applyAlignment="1">
      <x:alignment vertical="center" wrapText="0"/>
    </x:xf>
    <x:xf numFmtId="208" fontId="3" fillId="0" borderId="0" xfId="0" applyNumberFormat="1" applyFont="1" applyFill="1" applyBorder="1" applyAlignment="1">
      <x:alignment vertical="center"/>
    </x:xf>
    <x:xf numFmtId="208" fontId="3" fillId="0" borderId="0" xfId="0" applyNumberFormat="1" applyFont="1" applyFill="1" applyBorder="1" applyAlignment="1">
      <x:alignment vertical="center" wrapText="0"/>
    </x:xf>
    <x:xf numFmtId="210" fontId="3" fillId="0" borderId="0" xfId="0" applyNumberFormat="1" applyFont="1" applyFill="1" applyBorder="1" applyAlignment="1">
      <x:alignment vertical="center"/>
    </x:xf>
    <x:xf numFmtId="210" fontId="3" fillId="0" borderId="0" xfId="0" applyNumberFormat="1" applyFont="1" applyFill="1" applyBorder="1" applyAlignment="1">
      <x:alignment vertical="center" wrapText="0"/>
    </x:xf>
    <x:xf numFmtId="200" fontId="2" fillId="0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4" fontId="3" fillId="0" borderId="0" xfId="0" applyNumberFormat="1" applyFont="1" applyFill="1" applyBorder="1" applyAlignment="1">
      <x:alignment horizontal="center" vertical="center" wrapText="1"/>
    </x:xf>
    <x:xf numFmtId="205" fontId="3" fillId="2" borderId="0" xfId="0" applyNumberFormat="1" applyFont="1" applyFill="1" applyBorder="1" applyAlignment="1">
      <x:alignment horizontal="center" vertical="center" wrapText="1"/>
    </x:xf>
    <x:xf numFmtId="206" fontId="3" fillId="0" borderId="0" xfId="0" applyNumberFormat="1" applyFont="1" applyFill="1" applyBorder="1" applyAlignment="1">
      <x:alignment horizontal="center" vertical="center" wrapText="1"/>
    </x:xf>
    <x:xf numFmtId="211" fontId="3" fillId="0" borderId="0" xfId="0" applyNumberFormat="1" applyFont="1" applyFill="1" applyBorder="1" applyAlignment="1">
      <x:alignment horizontal="center" vertical="center" wrapText="1"/>
    </x:xf>
    <x:xf numFmtId="207" fontId="3" fillId="0" borderId="0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horizontal="center" vertical="center" wrapText="1"/>
    </x:xf>
    <x:xf numFmtId="212" fontId="3" fillId="0" borderId="0" xfId="0" applyNumberFormat="1" applyFont="1" applyFill="1" applyBorder="1" applyAlignment="1">
      <x:alignment horizontal="center" vertical="center" wrapText="1"/>
    </x:xf>
    <x:xf numFmtId="208" fontId="3" fillId="0" borderId="0" xfId="0" applyNumberFormat="1" applyFont="1" applyFill="1" applyBorder="1" applyAlignment="1">
      <x:alignment horizontal="center" vertical="center" wrapText="1"/>
    </x:xf>
    <x:xf numFmtId="210" fontId="3" fillId="0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/>
    </x:xf>
    <x:xf numFmtId="218" fontId="5" fillId="0" borderId="0" xfId="0" applyNumberFormat="1" applyFont="1" applyFill="1" applyBorder="1" applyAlignment="1">
      <x:alignment vertical="center"/>
    </x:xf>
    <x:xf numFmtId="219" fontId="5" fillId="0" borderId="0" xfId="0" applyNumberFormat="1" applyFont="1" applyFill="1" applyBorder="1" applyAlignment="1">
      <x:alignment vertical="center"/>
    </x:xf>
    <x:xf numFmtId="219" fontId="5" fillId="5" borderId="0" xfId="0" applyNumberFormat="1" applyFont="1" applyFill="1" applyBorder="1" applyAlignment="1">
      <x:alignment vertical="center"/>
    </x:xf>
    <x:xf numFmtId="220" fontId="5" fillId="0" borderId="0" xfId="0" applyNumberFormat="1" applyFont="1" applyFill="1" applyBorder="1" applyAlignment="1">
      <x:alignment vertical="center"/>
    </x:xf>
    <x:xf numFmtId="22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220" fontId="5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221" fontId="6" fillId="7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 wrapText="0"/>
    </x:xf>
    <x:xf numFmtId="213" fontId="4" fillId="0" borderId="0" xfId="0" applyNumberFormat="1" applyFont="1" applyFill="1" applyBorder="1" applyAlignment="1">
      <x:alignment vertical="center"/>
    </x:xf>
    <x:xf numFmtId="213" fontId="4" fillId="0" borderId="0" xfId="0" applyNumberFormat="1" applyFont="1" applyFill="1" applyBorder="1" applyAlignment="1">
      <x:alignment vertical="center" wrapText="0"/>
    </x:xf>
    <x:xf numFmtId="214" fontId="3" fillId="0" borderId="0" xfId="0" applyNumberFormat="1" applyFont="1" applyFill="1" applyBorder="1" applyAlignment="1">
      <x:alignment vertical="center"/>
    </x:xf>
    <x:xf numFmtId="214" fontId="3" fillId="0" borderId="0" xfId="0" applyNumberFormat="1" applyFont="1" applyFill="1" applyBorder="1" applyAlignment="1">
      <x:alignment vertical="center" wrapText="0"/>
    </x:xf>
    <x:xf numFmtId="205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 wrapText="0"/>
    </x:xf>
    <x:xf numFmtId="215" fontId="3" fillId="0" borderId="0" xfId="0" applyNumberFormat="1" applyFont="1" applyFill="1" applyBorder="1" applyAlignment="1">
      <x:alignment vertical="center"/>
    </x:xf>
    <x:xf numFmtId="215" fontId="3" fillId="0" borderId="0" xfId="0" applyNumberFormat="1" applyFont="1" applyFill="1" applyBorder="1" applyAlignment="1">
      <x:alignment vertical="center" wrapText="0"/>
    </x:xf>
    <x:xf numFmtId="209" fontId="3" fillId="0" borderId="0" xfId="0" applyNumberFormat="1" applyFont="1" applyFill="1" applyBorder="1" applyAlignment="1">
      <x:alignment vertical="center"/>
    </x:xf>
    <x:xf numFmtId="209" fontId="3" fillId="0" borderId="0" xfId="0" applyNumberFormat="1" applyFont="1" applyFill="1" applyBorder="1" applyAlignment="1">
      <x:alignment vertical="center" wrapText="0"/>
    </x:xf>
    <x:xf numFmtId="216" fontId="3" fillId="0" borderId="0" xfId="0" applyNumberFormat="1" applyFont="1" applyFill="1" applyBorder="1" applyAlignment="1">
      <x:alignment vertical="center"/>
    </x:xf>
    <x:xf numFmtId="216" fontId="3" fillId="0" borderId="0" xfId="0" applyNumberFormat="1" applyFont="1" applyFill="1" applyBorder="1" applyAlignment="1">
      <x:alignment vertical="center" wrapText="0"/>
    </x:xf>
    <x:xf numFmtId="221" fontId="3" fillId="0" borderId="0" xfId="0" applyNumberFormat="1" applyFont="1" applyFill="1" applyBorder="1" applyAlignment="1">
      <x:alignment horizontal="center" vertical="center" wrapText="0"/>
    </x:xf>
    <x:xf numFmtId="221" fontId="2" fillId="0" borderId="0" xfId="0" applyNumberFormat="1" applyFont="1" applyFill="1" applyBorder="1" applyAlignment="1">
      <x:alignment horizontal="center" vertical="center" wrapText="0"/>
    </x:xf>
    <x:xf numFmtId="218" fontId="3" fillId="0" borderId="0" xfId="0" applyNumberFormat="1" applyFont="1" applyFill="1" applyBorder="1" applyAlignment="1">
      <x:alignment horizontal="center" vertical="center" wrapText="0"/>
    </x:xf>
    <x:xf numFmtId="218" fontId="4" fillId="0" borderId="0" xfId="0" applyNumberFormat="1" applyFont="1" applyFill="1" applyBorder="1" applyAlignment="1">
      <x:alignment horizontal="center" vertical="center" wrapText="0"/>
    </x:xf>
    <x:xf numFmtId="218" fontId="2" fillId="0" borderId="0" xfId="0" applyNumberFormat="1" applyFont="1" applyFill="1" applyBorder="1" applyAlignment="1">
      <x:alignment horizontal="center" vertical="center" wrapText="0"/>
    </x:xf>
    <x:xf numFmtId="222" fontId="3" fillId="0" borderId="0" xfId="0" applyNumberFormat="1" applyFont="1" applyFill="1" applyBorder="1" applyAlignment="1">
      <x:alignment horizontal="center" vertical="center" wrapText="0"/>
    </x:xf>
    <x:xf numFmtId="222" fontId="5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51a281499423f" /><Relationship Type="http://schemas.openxmlformats.org/officeDocument/2006/relationships/theme" Target="/xl/theme/theme1.xml" Id="R8646ba982f864185" /><Relationship Type="http://schemas.openxmlformats.org/officeDocument/2006/relationships/sharedStrings" Target="/xl/sharedStrings.xml" Id="R06700f666b4f4ef0" /><Relationship Type="http://schemas.openxmlformats.org/officeDocument/2006/relationships/worksheet" Target="/xl/worksheets/sheet1.xml" Id="R198be78ed0104f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9" ySplit="3" topLeftCell="T4" activePane="bottomRight" state="frozen"/>
    </x:sheetView>
  </x:sheetViews>
  <x:sheetFormatPr defaultRowHeight="15"/>
  <x:cols>
    <x:col min="1" max="1" width="3.5833332538604736" hidden="0" customWidth="1"/>
    <x:col min="2" max="2" width="0" hidden="0" customWidth="1"/>
    <x:col min="3" max="3" width="0" hidden="0" customWidth="1"/>
    <x:col min="4" max="4" width="0" hidden="0" customWidth="1"/>
    <x:col min="5" max="5" width="4.550000190734863" hidden="0" customWidth="1"/>
    <x:col min="6" max="6" width="6.4083333015441895" hidden="0" customWidth="1"/>
    <x:col min="7" max="7" width="13.475000381469727" hidden="0" customWidth="1"/>
    <x:col min="8" max="8" width="11.958333015441895" hidden="0" customWidth="1"/>
    <x:col min="9" max="9" width="17" hidden="0" customWidth="1"/>
    <x:col min="10" max="10" width="6.833333492279053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0" hidden="0" customWidth="1"/>
    <x:col min="17" max="17" width="6.191666603088379" hidden="0" customWidth="1"/>
    <x:col min="18" max="18" width="6.191666603088379" hidden="0" customWidth="1"/>
    <x:col min="19" max="19" width="15.425000190734863" hidden="0" customWidth="1"/>
    <x:col min="20" max="20" width="5.875" hidden="0" customWidth="1"/>
    <x:col min="21" max="21" width="0" hidden="0" customWidth="1"/>
    <x:col min="22" max="22" width="5.324999809265137" hidden="0" customWidth="1"/>
    <x:col min="23" max="23" width="0" hidden="0" customWidth="1"/>
    <x:col min="24" max="24" width="0" hidden="0" customWidth="1"/>
    <x:col min="25" max="25" width="0" hidden="0" customWidth="1"/>
    <x:col min="26" max="26" width="0" hidden="0" customWidth="1"/>
    <x:col min="27" max="27" width="0" hidden="0" customWidth="1"/>
    <x:col min="28" max="28" width="0" hidden="0" customWidth="1"/>
    <x:col min="29" max="29" width="0" hidden="0" customWidth="1"/>
    <x:col min="30" max="30" width="0" hidden="0" customWidth="1"/>
    <x:col min="31" max="31" width="0" hidden="0" customWidth="1"/>
    <x:col min="32" max="32" width="0" hidden="0" customWidth="1"/>
    <x:col min="33" max="33" width="0" hidden="0" customWidth="1"/>
    <x:col min="34" max="34" width="0" hidden="0" customWidth="1"/>
    <x:col min="35" max="35" width="0" hidden="0" customWidth="1"/>
    <x:col min="36" max="36" width="0" hidden="0" customWidth="1"/>
    <x:col min="37" max="37" width="0" hidden="0" customWidth="1"/>
    <x:col min="38" max="38" width="0" hidden="0" customWidth="1"/>
    <x:col min="39" max="39" width="0" hidden="0" customWidth="1"/>
    <x:col min="40" max="40" width="0" hidden="0" customWidth="1"/>
    <x:col min="41" max="41" width="0" hidden="0" customWidth="1"/>
    <x:col min="42" max="42" width="0" hidden="0" customWidth="1"/>
    <x:col min="43" max="43" width="0" hidden="0" customWidth="1"/>
    <x:col min="44" max="44" width="5.541666507720947" hidden="0" customWidth="1"/>
    <x:col min="45" max="45" width="11.408333778381348" hidden="0" customWidth="1"/>
    <x:col min="46" max="46" width="0" hidden="0" customWidth="1"/>
    <x:col min="47" max="47" width="0" hidden="0" customWidth="1"/>
    <x:col min="48" max="48" width="0" hidden="0" customWidth="1"/>
    <x:col min="49" max="49" width="4.133333206176758" hidden="0" customWidth="1"/>
    <x:col min="50" max="50" width="4.133333206176758" hidden="0" customWidth="1"/>
    <x:col min="51" max="51" width="0" hidden="0" customWidth="1"/>
    <x:col min="52" max="52" width="0" hidden="0" customWidth="1"/>
    <x:col min="130" max="130" width="0" hidden="0" customWidth="1"/>
    <x:col min="131" max="131" width="0" hidden="0" customWidth="1"/>
    <x:col min="132" max="132" width="0" hidden="0" customWidth="1"/>
    <x:col min="133" max="133" width="0" hidden="0" customWidth="1"/>
    <x:col min="134" max="134" width="0" hidden="0" customWidth="1"/>
    <x:col min="135" max="135" width="0" hidden="0" customWidth="1"/>
    <x:col min="136" max="136" width="0" hidden="0" customWidth="1"/>
    <x:col min="137" max="137" width="0" hidden="0" customWidth="1"/>
    <x:col min="138" max="138" width="0" hidden="0" customWidth="1"/>
    <x:col min="139" max="139" width="0" hidden="0" customWidth="1"/>
    <x:col min="140" max="140" width="0" hidden="0" customWidth="1"/>
    <x:col min="141" max="141" width="0" hidden="0" customWidth="1"/>
    <x:col min="142" max="142" width="0" hidden="0" customWidth="1"/>
    <x:col min="143" max="143" width="0" hidden="0" customWidth="1"/>
    <x:col min="144" max="144" width="0" hidden="0" customWidth="1"/>
    <x:col min="145" max="145" width="0" hidden="0" customWidth="1"/>
    <x:col min="146" max="146" width="0" hidden="0" customWidth="1"/>
    <x:col min="147" max="147" width="0" hidden="0" customWidth="1"/>
    <x:col min="148" max="148" width="0" hidden="0" customWidth="1"/>
    <x:col min="149" max="149" width="0" hidden="0" customWidth="1"/>
    <x:col min="150" max="150" width="0" hidden="0" customWidth="1"/>
    <x:col min="151" max="151" width="0" hidden="0" customWidth="1"/>
    <x:col min="53" max="53" width="6" hidden="0" customWidth="1"/>
    <x:col min="54" max="54" width="6" hidden="0" customWidth="1"/>
    <x:col min="55" max="55" width="6" hidden="0" customWidth="1"/>
    <x:col min="56" max="56" width="6" hidden="0" customWidth="1"/>
    <x:col min="57" max="57" width="6" hidden="0" customWidth="1"/>
    <x:col min="58" max="58" width="6" hidden="0" customWidth="1"/>
    <x:col min="59" max="59" width="6" hidden="0" customWidth="1"/>
    <x:col min="60" max="60" width="6" hidden="0" customWidth="1"/>
    <x:col min="61" max="61" width="6" hidden="0" customWidth="1"/>
    <x:col min="62" max="62" width="6" hidden="0" customWidth="1"/>
    <x:col min="63" max="63" width="6" hidden="0" customWidth="1"/>
    <x:col min="64" max="64" width="6" hidden="0" customWidth="1"/>
    <x:col min="65" max="65" width="6" hidden="0" customWidth="1"/>
    <x:col min="66" max="66" width="6" hidden="0" customWidth="1"/>
    <x:col min="67" max="67" width="6" hidden="0" customWidth="1"/>
    <x:col min="68" max="68" width="6" hidden="0" customWidth="1"/>
    <x:col min="69" max="69" width="6" hidden="0" customWidth="1"/>
    <x:col min="70" max="70" width="6" hidden="0" customWidth="1"/>
    <x:col min="71" max="71" width="6" hidden="0" customWidth="1"/>
    <x:col min="72" max="72" width="6" hidden="0" customWidth="1"/>
    <x:col min="73" max="73" width="6" hidden="0" customWidth="1"/>
    <x:col min="74" max="74" width="6" hidden="0" customWidth="1"/>
    <x:col min="75" max="75" width="6" hidden="0" customWidth="1"/>
    <x:col min="76" max="76" width="6" hidden="0" customWidth="1"/>
    <x:col min="77" max="77" width="6" hidden="0" customWidth="1"/>
    <x:col min="78" max="78" width="6" hidden="0" customWidth="1"/>
    <x:col min="79" max="79" width="6" hidden="0" customWidth="1"/>
    <x:col min="80" max="80" width="6" hidden="0" customWidth="1"/>
    <x:col min="81" max="81" width="6" hidden="0" customWidth="1"/>
    <x:col min="82" max="82" width="6" hidden="0" customWidth="1"/>
    <x:col min="83" max="83" width="6" hidden="0" customWidth="1"/>
    <x:col min="84" max="84" width="6" hidden="0" customWidth="1"/>
    <x:col min="85" max="85" width="6" hidden="0" customWidth="1"/>
    <x:col min="86" max="86" width="6" hidden="0" customWidth="1"/>
    <x:col min="87" max="87" width="6" hidden="0" customWidth="1"/>
    <x:col min="88" max="88" width="6" hidden="0" customWidth="1"/>
    <x:col min="89" max="89" width="6" hidden="0" customWidth="1"/>
    <x:col min="90" max="90" width="6" hidden="0" customWidth="1"/>
    <x:col min="91" max="91" width="6" hidden="0" customWidth="1"/>
    <x:col min="92" max="92" width="6" hidden="0" customWidth="1"/>
    <x:col min="93" max="93" width="6" hidden="0" customWidth="1"/>
    <x:col min="94" max="94" width="6" hidden="0" customWidth="1"/>
    <x:col min="95" max="95" width="6" hidden="0" customWidth="1"/>
    <x:col min="96" max="96" width="6" hidden="0" customWidth="1"/>
    <x:col min="97" max="97" width="6" hidden="0" customWidth="1"/>
    <x:col min="98" max="98" width="6" hidden="0" customWidth="1"/>
    <x:col min="99" max="99" width="6" hidden="0" customWidth="1"/>
    <x:col min="100" max="100" width="6" hidden="0" customWidth="1"/>
    <x:col min="101" max="101" width="6" hidden="0" customWidth="1"/>
    <x:col min="102" max="102" width="6" hidden="0" customWidth="1"/>
    <x:col min="103" max="103" width="6" hidden="0" customWidth="1"/>
    <x:col min="104" max="104" width="6" hidden="0" customWidth="1"/>
    <x:col min="105" max="105" width="6" hidden="0" customWidth="1"/>
    <x:col min="106" max="106" width="6" hidden="0" customWidth="1"/>
    <x:col min="107" max="107" width="6" hidden="0" customWidth="1"/>
    <x:col min="108" max="108" width="6" hidden="0" customWidth="1"/>
    <x:col min="109" max="109" width="6" hidden="0" customWidth="1"/>
    <x:col min="110" max="110" width="6" hidden="0" customWidth="1"/>
    <x:col min="111" max="111" width="6" hidden="0" customWidth="1"/>
    <x:col min="112" max="112" width="6" hidden="0" customWidth="1"/>
    <x:col min="113" max="113" width="6" hidden="0" customWidth="1"/>
    <x:col min="114" max="114" width="6" hidden="0" customWidth="1"/>
  </x:cols>
  <x:sheetData>
    <x:row r="1" ht="25" customHeight="1">
      <x:c r="A1" s="6" t="str">
        <x:v>厂区啤机排产日计划表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159" t="str">
        <x:v>RR_INJECTION_HUAXING_V2</x:v>
      </x:c>
      <x:c r="AZ1" s="159"/>
      <x:c r="BA1" s="159"/>
      <x:c r="BB1" s="159"/>
      <x:c r="BC1" s="159"/>
      <x:c r="BD1" s="159"/>
      <x:c r="BE1" s="159"/>
      <x:c r="BF1" s="159"/>
      <x:c r="BG1" s="159"/>
      <x:c r="BH1" s="159"/>
      <x:c r="BI1" s="159"/>
      <x:c r="BJ1" s="159"/>
      <x:c r="BK1" s="159"/>
      <x:c r="BL1" s="159"/>
      <x:c r="BM1" s="159"/>
      <x:c r="BN1" s="159"/>
      <x:c r="BO1" s="159"/>
      <x:c r="BP1" s="159"/>
      <x:c r="BQ1" s="159"/>
      <x:c r="BR1" s="159"/>
      <x:c r="BS1" s="159"/>
      <x:c r="BT1" s="159"/>
      <x:c r="BU1" s="159"/>
      <x:c r="BV1" s="159"/>
      <x:c r="BW1" s="159"/>
      <x:c r="BX1" s="159"/>
      <x:c r="BY1" s="159"/>
      <x:c r="BZ1" s="159"/>
      <x:c r="CA1" s="159"/>
      <x:c r="CB1" s="159"/>
      <x:c r="CC1" s="159"/>
      <x:c r="CD1" s="159"/>
      <x:c r="CE1" s="159"/>
      <x:c r="CF1" s="159"/>
      <x:c r="CG1" s="159"/>
      <x:c r="CH1" s="159"/>
      <x:c r="CI1" s="159"/>
      <x:c r="CJ1" s="159"/>
      <x:c r="CK1" s="159"/>
      <x:c r="CL1" s="159"/>
      <x:c r="CM1" s="159"/>
      <x:c r="CN1" s="159"/>
      <x:c r="CO1" s="159"/>
      <x:c r="CP1" s="159"/>
      <x:c r="CQ1" s="159"/>
      <x:c r="CR1" s="159"/>
      <x:c r="CS1" s="159"/>
      <x:c r="CT1" s="159"/>
      <x:c r="CU1" s="159"/>
      <x:c r="CV1" s="159"/>
      <x:c r="CW1" s="159"/>
      <x:c r="CX1" s="159"/>
      <x:c r="CY1" s="159"/>
      <x:c r="CZ1" s="159"/>
      <x:c r="DA1" s="159"/>
      <x:c r="DB1" s="159"/>
      <x:c r="DC1" s="159"/>
      <x:c r="DD1" s="159"/>
      <x:c r="DE1" s="159"/>
      <x:c r="DF1" s="159"/>
      <x:c r="DG1" s="159"/>
      <x:c r="DH1" s="159"/>
      <x:c r="DI1" s="159"/>
      <x:c r="DJ1" s="159"/>
      <x:c r="EM1" t="n">
        <x:v>3</x:v>
      </x:c>
    </x:row>
    <x:row r="2" ht="18" customHeight="1">
      <x:c r="A2" s="159"/>
      <x:c r="B2" s="159"/>
      <x:c r="C2" s="159"/>
      <x:c r="D2" s="159"/>
      <x:c r="E2" s="159" t="str">
        <x:v>厂区</x:v>
      </x:c>
      <x:c r="F2" s="208"/>
      <x:c r="G2" s="159" t="str">
        <x:v>剩余啤货数</x:v>
      </x:c>
      <x:c r="H2" s="209" t="n">
        <x:f>SUM(N4:N52)</x:f>
        <x:v>0</x:v>
      </x:c>
      <x:c r="I2" s="211"/>
      <x:c r="J2" s="208"/>
      <x:c r="K2" s="208"/>
      <x:c r="L2" s="159" t="str">
        <x:v>排期起点填左侧黄格</x:v>
      </x:c>
      <x:c r="M2" s="159"/>
      <x:c r="N2" s="159"/>
      <x:c r="O2" s="159"/>
      <x:c r="P2" s="159"/>
      <x:c r="Q2" s="159" t="str">
        <x:v>机台下方从上到下排队</x:v>
      </x:c>
      <x:c r="R2" s="159"/>
      <x:c r="S2" s="159"/>
      <x:c r="T2" s="159"/>
      <x:c r="U2" s="159"/>
      <x:c r="V2" s="159"/>
      <x:c r="W2" s="159"/>
      <x:c r="X2" s="159"/>
      <x:c r="Y2" s="159"/>
      <x:c r="Z2" s="159"/>
      <x:c r="AA2" s="159"/>
      <x:c r="AB2" s="159"/>
      <x:c r="AC2" s="159"/>
      <x:c r="AD2" s="159"/>
      <x:c r="AE2" s="159"/>
      <x:c r="AF2" s="159"/>
      <x:c r="AG2" s="159"/>
      <x:c r="AH2" s="159"/>
      <x:c r="AI2" s="159"/>
      <x:c r="AJ2" s="159"/>
      <x:c r="AK2" s="159"/>
      <x:c r="AL2" s="159"/>
      <x:c r="AM2" s="159"/>
      <x:c r="AN2" s="159"/>
      <x:c r="AO2" s="159"/>
      <x:c r="AP2" s="159"/>
      <x:c r="AQ2" s="159"/>
      <x:c r="AR2" s="159" t="str">
        <x:v>模具参数随下载更新</x:v>
      </x:c>
      <x:c r="AS2" s="159"/>
      <x:c r="AT2" s="159"/>
      <x:c r="AU2" s="159"/>
      <x:c r="AV2" s="159"/>
      <x:c r="AW2" s="159" t="str">
        <x:v>期初已啤</x:v>
      </x:c>
      <x:c r="AX2" s="159"/>
      <x:c r="AY2" s="159" t="str">
        <x:v>统一厂区计划</x:v>
      </x:c>
      <x:c r="AZ2" s="159"/>
      <x:c r="BA2" s="215" t="str">
        <x:f>IF(COUNT($I$2)=0,"",INT($I$2)+0)</x:f>
      </x:c>
      <x:c r="BB2" s="215"/>
      <x:c r="BC2" s="215" t="str">
        <x:f>IF(COUNT($I$2)=0,"",INT($I$2)+1)</x:f>
      </x:c>
      <x:c r="BD2" s="215"/>
      <x:c r="BE2" s="215" t="str">
        <x:f>IF(COUNT($I$2)=0,"",INT($I$2)+2)</x:f>
      </x:c>
      <x:c r="BF2" s="215"/>
      <x:c r="BG2" s="215" t="str">
        <x:f>IF(COUNT($I$2)=0,"",INT($I$2)+3)</x:f>
      </x:c>
      <x:c r="BH2" s="215"/>
      <x:c r="BI2" s="215" t="str">
        <x:f>IF(COUNT($I$2)=0,"",INT($I$2)+4)</x:f>
      </x:c>
      <x:c r="BJ2" s="215"/>
      <x:c r="BK2" s="215" t="str">
        <x:f>IF(COUNT($I$2)=0,"",INT($I$2)+5)</x:f>
      </x:c>
      <x:c r="BL2" s="215"/>
      <x:c r="BM2" s="215" t="str">
        <x:f>IF(COUNT($I$2)=0,"",INT($I$2)+6)</x:f>
      </x:c>
      <x:c r="BN2" s="215"/>
      <x:c r="BO2" s="215" t="str">
        <x:f>IF(COUNT($I$2)=0,"",INT($I$2)+7)</x:f>
      </x:c>
      <x:c r="BP2" s="215"/>
      <x:c r="BQ2" s="215" t="str">
        <x:f>IF(COUNT($I$2)=0,"",INT($I$2)+8)</x:f>
      </x:c>
      <x:c r="BR2" s="215"/>
      <x:c r="BS2" s="215" t="str">
        <x:f>IF(COUNT($I$2)=0,"",INT($I$2)+9)</x:f>
      </x:c>
      <x:c r="BT2" s="215"/>
      <x:c r="BU2" s="215" t="str">
        <x:f>IF(COUNT($I$2)=0,"",INT($I$2)+10)</x:f>
      </x:c>
      <x:c r="BV2" s="215"/>
      <x:c r="BW2" s="215" t="str">
        <x:f>IF(COUNT($I$2)=0,"",INT($I$2)+11)</x:f>
      </x:c>
      <x:c r="BX2" s="215"/>
      <x:c r="BY2" s="215" t="str">
        <x:f>IF(COUNT($I$2)=0,"",INT($I$2)+12)</x:f>
      </x:c>
      <x:c r="BZ2" s="215"/>
      <x:c r="CA2" s="215" t="str">
        <x:f>IF(COUNT($I$2)=0,"",INT($I$2)+13)</x:f>
      </x:c>
      <x:c r="CB2" s="215"/>
      <x:c r="CC2" s="215" t="str">
        <x:f>IF(COUNT($I$2)=0,"",INT($I$2)+14)</x:f>
      </x:c>
      <x:c r="CD2" s="215"/>
      <x:c r="CE2" s="215" t="str">
        <x:f>IF(COUNT($I$2)=0,"",INT($I$2)+15)</x:f>
      </x:c>
      <x:c r="CF2" s="215"/>
      <x:c r="CG2" s="215" t="str">
        <x:f>IF(COUNT($I$2)=0,"",INT($I$2)+16)</x:f>
      </x:c>
      <x:c r="CH2" s="215"/>
      <x:c r="CI2" s="215" t="str">
        <x:f>IF(COUNT($I$2)=0,"",INT($I$2)+17)</x:f>
      </x:c>
      <x:c r="CJ2" s="215"/>
      <x:c r="CK2" s="215" t="str">
        <x:f>IF(COUNT($I$2)=0,"",INT($I$2)+18)</x:f>
      </x:c>
      <x:c r="CL2" s="215"/>
      <x:c r="CM2" s="215" t="str">
        <x:f>IF(COUNT($I$2)=0,"",INT($I$2)+19)</x:f>
      </x:c>
      <x:c r="CN2" s="215"/>
      <x:c r="CO2" s="215" t="str">
        <x:f>IF(COUNT($I$2)=0,"",INT($I$2)+20)</x:f>
      </x:c>
      <x:c r="CP2" s="215"/>
      <x:c r="CQ2" s="215" t="str">
        <x:f>IF(COUNT($I$2)=0,"",INT($I$2)+21)</x:f>
      </x:c>
      <x:c r="CR2" s="215"/>
      <x:c r="CS2" s="215" t="str">
        <x:f>IF(COUNT($I$2)=0,"",INT($I$2)+22)</x:f>
      </x:c>
      <x:c r="CT2" s="215"/>
      <x:c r="CU2" s="215" t="str">
        <x:f>IF(COUNT($I$2)=0,"",INT($I$2)+23)</x:f>
      </x:c>
      <x:c r="CV2" s="215"/>
      <x:c r="CW2" s="215" t="str">
        <x:f>IF(COUNT($I$2)=0,"",INT($I$2)+24)</x:f>
      </x:c>
      <x:c r="CX2" s="215"/>
      <x:c r="CY2" s="215" t="str">
        <x:f>IF(COUNT($I$2)=0,"",INT($I$2)+25)</x:f>
      </x:c>
      <x:c r="CZ2" s="215"/>
      <x:c r="DA2" s="215" t="str">
        <x:f>IF(COUNT($I$2)=0,"",INT($I$2)+26)</x:f>
      </x:c>
      <x:c r="DB2" s="215"/>
      <x:c r="DC2" s="215" t="str">
        <x:f>IF(COUNT($I$2)=0,"",INT($I$2)+27)</x:f>
      </x:c>
      <x:c r="DD2" s="215"/>
      <x:c r="DE2" s="215" t="str">
        <x:f>IF(COUNT($I$2)=0,"",INT($I$2)+28)</x:f>
      </x:c>
      <x:c r="DF2" s="215"/>
      <x:c r="DG2" s="215" t="str">
        <x:f>IF(COUNT($I$2)=0,"",INT($I$2)+29)</x:f>
      </x:c>
      <x:c r="DH2" s="215"/>
      <x:c r="DI2" s="215" t="str">
        <x:f>IF(COUNT($I$2)=0,"",INT($I$2)+30)</x:f>
      </x:c>
      <x:c r="DJ2" s="215"/>
      <x:c r="EM2" t="n">
        <x:v>0.01</x:v>
      </x:c>
    </x:row>
    <x:row r="3" ht="42" customHeight="1">
      <x:c r="A3" s="193"/>
      <x:c r="B3" s="194" t="str">
        <x:v>机号</x:v>
      </x:c>
      <x:c r="C3" s="195"/>
      <x:c r="D3" s="194" t="str">
        <x:v>是否全自动</x:v>
      </x:c>
      <x:c r="E3" s="196" t="str">
        <x:v>备注</x:v>
      </x:c>
      <x:c r="F3" s="194" t="str">
        <x:v>机型</x:v>
      </x:c>
      <x:c r="G3" s="197" t="str">
        <x:v>工模</x:v>
      </x:c>
      <x:c r="H3" s="197" t="str">
        <x:v>名称</x:v>
      </x:c>
      <x:c r="I3" s="197" t="str">
        <x:v>单号</x:v>
      </x:c>
      <x:c r="J3" s="194" t="str">
        <x:v>货号</x:v>
      </x:c>
      <x:c r="K3" s="197" t="str">
        <x:v>数量(套)</x:v>
      </x:c>
      <x:c r="L3" s="197" t="str">
        <x:v>订单数</x:v>
      </x:c>
      <x:c r="M3" s="198" t="str">
        <x:v>已啤数</x:v>
      </x:c>
      <x:c r="N3" s="197" t="str">
        <x:v>欠数</x:v>
      </x:c>
      <x:c r="O3" s="193" t="str">
        <x:v>计划目标</x:v>
      </x:c>
      <x:c r="P3" s="194" t="str">
        <x:v>水口比例</x:v>
      </x:c>
      <x:c r="Q3" s="197" t="str">
        <x:v>颜色</x:v>
      </x:c>
      <x:c r="R3" s="197" t="str">
        <x:v>色粉</x:v>
      </x:c>
      <x:c r="S3" s="197" t="str">
        <x:v>用料</x:v>
      </x:c>
      <x:c r="T3" s="197" t="str">
        <x:v>净重</x:v>
      </x:c>
      <x:c r="U3" s="197" t="str">
        <x:v>毛重</x:v>
      </x:c>
      <x:c r="V3" s="197" t="str">
        <x:v>用料重（KG）</x:v>
      </x:c>
      <x:c r="W3" s="199" t="str">
        <x:v>单价/啤</x:v>
      </x:c>
      <x:c r="X3" s="200" t="str">
        <x:v>外发单价</x:v>
      </x:c>
      <x:c r="Y3" s="199" t="str">
        <x:v>比例</x:v>
      </x:c>
      <x:c r="Z3" s="201" t="str">
        <x:v>下单期</x:v>
      </x:c>
      <x:c r="AA3" s="201" t="str">
        <x:v>开始
交货期</x:v>
      </x:c>
      <x:c r="AB3" s="201" t="str">
        <x:v>交货
完成期</x:v>
      </x:c>
      <x:c r="AC3" s="201" t="str">
        <x:v>转模
参考时间</x:v>
      </x:c>
      <x:c r="AD3" s="201" t="str">
        <x:v>转色参考时间</x:v>
      </x:c>
      <x:c r="AE3" s="202" t="str">
        <x:v>转模/色
时间</x:v>
      </x:c>
      <x:c r="AF3" s="202" t="str">
        <x:v>机/模故
时间</x:v>
      </x:c>
      <x:c r="AG3" s="203" t="str">
        <x:v>计划生产期</x:v>
      </x:c>
      <x:c r="AH3" s="203" t="str">
        <x:v>计划完成期</x:v>
      </x:c>
      <x:c r="AI3" s="203" t="str">
        <x:v>计划完成月</x:v>
      </x:c>
      <x:c r="AJ3" s="201" t="str">
        <x:v>入库期</x:v>
      </x:c>
      <x:c r="AK3" s="204" t="str">
        <x:v>交期差</x:v>
      </x:c>
      <x:c r="AL3" s="205" t="str">
        <x:v>是否喷油</x:v>
      </x:c>
      <x:c r="AM3" s="204" t="str">
        <x:v>啤货天数</x:v>
      </x:c>
      <x:c r="AN3" s="206" t="str">
        <x:v>每班结束时间</x:v>
      </x:c>
      <x:c r="AO3" s="206" t="str">
        <x:v>时间</x:v>
      </x:c>
      <x:c r="AP3" s="207" t="str">
        <x:v>每班计划啤数</x:v>
      </x:c>
      <x:c r="AQ3" s="207" t="str">
        <x:v>机型</x:v>
      </x:c>
      <x:c r="AR3" s="197" t="str">
        <x:v>仓库</x:v>
      </x:c>
      <x:c r="AS3" s="197" t="str">
        <x:v>备注</x:v>
      </x:c>
      <x:c r="AT3" s="197" t="str">
        <x:v>走货期</x:v>
      </x:c>
      <x:c r="AU3" s="197" t="str">
        <x:v>单双臂</x:v>
      </x:c>
      <x:c r="AV3" s="197" t="str">
        <x:v>夹具</x:v>
      </x:c>
      <x:c r="AW3" s="197" t="str">
        <x:v>白班</x:v>
      </x:c>
      <x:c r="AX3" s="197" t="str">
        <x:v>夜班</x:v>
      </x:c>
      <x:c r="AY3" s="195"/>
      <x:c r="AZ3" s="195"/>
      <x:c r="BA3" s="216" t="str">
        <x:v>白班</x:v>
      </x:c>
      <x:c r="BB3" s="216" t="str">
        <x:v>夜班</x:v>
      </x:c>
      <x:c r="BC3" s="216" t="str">
        <x:v>白班</x:v>
      </x:c>
      <x:c r="BD3" s="216" t="str">
        <x:v>夜班</x:v>
      </x:c>
      <x:c r="BE3" s="216" t="str">
        <x:v>白班</x:v>
      </x:c>
      <x:c r="BF3" s="216" t="str">
        <x:v>夜班</x:v>
      </x:c>
      <x:c r="BG3" s="216" t="str">
        <x:v>白班</x:v>
      </x:c>
      <x:c r="BH3" s="216" t="str">
        <x:v>夜班</x:v>
      </x:c>
      <x:c r="BI3" s="216" t="str">
        <x:v>白班</x:v>
      </x:c>
      <x:c r="BJ3" s="216" t="str">
        <x:v>夜班</x:v>
      </x:c>
      <x:c r="BK3" s="216" t="str">
        <x:v>白班</x:v>
      </x:c>
      <x:c r="BL3" s="216" t="str">
        <x:v>夜班</x:v>
      </x:c>
      <x:c r="BM3" s="216" t="str">
        <x:v>白班</x:v>
      </x:c>
      <x:c r="BN3" s="216" t="str">
        <x:v>夜班</x:v>
      </x:c>
      <x:c r="BO3" s="216" t="str">
        <x:v>白班</x:v>
      </x:c>
      <x:c r="BP3" s="216" t="str">
        <x:v>夜班</x:v>
      </x:c>
      <x:c r="BQ3" s="216" t="str">
        <x:v>白班</x:v>
      </x:c>
      <x:c r="BR3" s="216" t="str">
        <x:v>夜班</x:v>
      </x:c>
      <x:c r="BS3" s="216" t="str">
        <x:v>白班</x:v>
      </x:c>
      <x:c r="BT3" s="216" t="str">
        <x:v>夜班</x:v>
      </x:c>
      <x:c r="BU3" s="216" t="str">
        <x:v>白班</x:v>
      </x:c>
      <x:c r="BV3" s="216" t="str">
        <x:v>夜班</x:v>
      </x:c>
      <x:c r="BW3" s="216" t="str">
        <x:v>白班</x:v>
      </x:c>
      <x:c r="BX3" s="216" t="str">
        <x:v>夜班</x:v>
      </x:c>
      <x:c r="BY3" s="216" t="str">
        <x:v>白班</x:v>
      </x:c>
      <x:c r="BZ3" s="216" t="str">
        <x:v>夜班</x:v>
      </x:c>
      <x:c r="CA3" s="216" t="str">
        <x:v>白班</x:v>
      </x:c>
      <x:c r="CB3" s="216" t="str">
        <x:v>夜班</x:v>
      </x:c>
      <x:c r="CC3" s="216" t="str">
        <x:v>白班</x:v>
      </x:c>
      <x:c r="CD3" s="216" t="str">
        <x:v>夜班</x:v>
      </x:c>
      <x:c r="CE3" s="216" t="str">
        <x:v>白班</x:v>
      </x:c>
      <x:c r="CF3" s="216" t="str">
        <x:v>夜班</x:v>
      </x:c>
      <x:c r="CG3" s="216" t="str">
        <x:v>白班</x:v>
      </x:c>
      <x:c r="CH3" s="216" t="str">
        <x:v>夜班</x:v>
      </x:c>
      <x:c r="CI3" s="216" t="str">
        <x:v>白班</x:v>
      </x:c>
      <x:c r="CJ3" s="216" t="str">
        <x:v>夜班</x:v>
      </x:c>
      <x:c r="CK3" s="216" t="str">
        <x:v>白班</x:v>
      </x:c>
      <x:c r="CL3" s="216" t="str">
        <x:v>夜班</x:v>
      </x:c>
      <x:c r="CM3" s="216" t="str">
        <x:v>白班</x:v>
      </x:c>
      <x:c r="CN3" s="216" t="str">
        <x:v>夜班</x:v>
      </x:c>
      <x:c r="CO3" s="216" t="str">
        <x:v>白班</x:v>
      </x:c>
      <x:c r="CP3" s="216" t="str">
        <x:v>夜班</x:v>
      </x:c>
      <x:c r="CQ3" s="216" t="str">
        <x:v>白班</x:v>
      </x:c>
      <x:c r="CR3" s="216" t="str">
        <x:v>夜班</x:v>
      </x:c>
      <x:c r="CS3" s="216" t="str">
        <x:v>白班</x:v>
      </x:c>
      <x:c r="CT3" s="216" t="str">
        <x:v>夜班</x:v>
      </x:c>
      <x:c r="CU3" s="216" t="str">
        <x:v>白班</x:v>
      </x:c>
      <x:c r="CV3" s="216" t="str">
        <x:v>夜班</x:v>
      </x:c>
      <x:c r="CW3" s="216" t="str">
        <x:v>白班</x:v>
      </x:c>
      <x:c r="CX3" s="216" t="str">
        <x:v>夜班</x:v>
      </x:c>
      <x:c r="CY3" s="216" t="str">
        <x:v>白班</x:v>
      </x:c>
      <x:c r="CZ3" s="216" t="str">
        <x:v>夜班</x:v>
      </x:c>
      <x:c r="DA3" s="216" t="str">
        <x:v>白班</x:v>
      </x:c>
      <x:c r="DB3" s="216" t="str">
        <x:v>夜班</x:v>
      </x:c>
      <x:c r="DC3" s="216" t="str">
        <x:v>白班</x:v>
      </x:c>
      <x:c r="DD3" s="216" t="str">
        <x:v>夜班</x:v>
      </x:c>
      <x:c r="DE3" s="216" t="str">
        <x:v>白班</x:v>
      </x:c>
      <x:c r="DF3" s="216" t="str">
        <x:v>夜班</x:v>
      </x:c>
      <x:c r="DG3" s="216" t="str">
        <x:v>白班</x:v>
      </x:c>
      <x:c r="DH3" s="216" t="str">
        <x:v>夜班</x:v>
      </x:c>
      <x:c r="DI3" s="216" t="str">
        <x:v>白班</x:v>
      </x:c>
      <x:c r="DJ3" s="216" t="str">
        <x:v>夜班</x:v>
      </x:c>
      <x:c r="DZ3" t="str">
        <x:v>模号</x:v>
      </x:c>
      <x:c r="EA3" t="str">
        <x:v>名称</x:v>
      </x:c>
      <x:c r="EB3" t="str">
        <x:v>机型</x:v>
      </x:c>
      <x:c r="EC3" t="str">
        <x:v>日目标</x:v>
      </x:c>
      <x:c r="ED3" t="str">
        <x:v>净重</x:v>
      </x:c>
      <x:c r="EE3" t="str">
        <x:v>毛重</x:v>
      </x:c>
      <x:c r="EF3" t="str">
        <x:v>单价</x:v>
      </x:c>
      <x:c r="EG3" t="str">
        <x:v>机械手</x:v>
      </x:c>
      <x:c r="EH3" t="str">
        <x:v>夹具</x:v>
      </x:c>
      <x:c r="EI3" t="str">
        <x:v>自动化</x:v>
      </x:c>
      <x:c r="EJ3" t="str">
        <x:v>转模天数</x:v>
      </x:c>
      <x:c r="EK3" t="str">
        <x:v>转色天数</x:v>
      </x:c>
      <x:c r="EL3" t="str">
        <x:v>机安A</x:v>
      </x:c>
      <x:c r="EN3" t="str">
        <x:v>本厂机号</x:v>
      </x:c>
      <x:c r="EO3" t="str">
        <x:v>查找键</x:v>
      </x:c>
      <x:c r="EP3" t="str">
        <x:v>规格</x:v>
      </x:c>
      <x:c r="EQ3" t="str">
        <x:v>机型</x:v>
      </x:c>
      <x:c r="ER3" t="str">
        <x:v>机械手</x:v>
      </x:c>
      <x:c r="ES3" t="str">
        <x:v>车间</x:v>
      </x:c>
      <x:c r="ET3" t="str">
        <x:v>状态</x:v>
      </x:c>
      <x:c r="EU3" t="str">
        <x:v>设备备注</x:v>
      </x:c>
    </x:row>
    <x:row r="4" ht="20" customHeight="1">
      <x:c r="A4" s="219" t="str">
        <x:v>填写机号</x:v>
      </x:c>
      <x:c r="B4" s="218" t="str">
        <x:f>A4</x:f>
        <x:v>填写机号</x:v>
      </x:c>
      <x:c r="C4" s="218" t="n">
        <x:v>0</x:v>
      </x:c>
      <x:c r="D4" s="218"/>
      <x:c r="E4" s="218"/>
      <x:c r="F4" s="218"/>
      <x:c r="G4" s="218" t="str">
        <x:f>IF(COUNTIF($EO$4:$EO$4,"M:"&amp;$A4)&lt;&gt;1,"",IF(VLOOKUP("M:"&amp;$A4,$EO$4:$EU$4,2,FALSE)="","",VLOOKUP("M:"&amp;$A4,$EO$4:$EU$4,2,FALSE)))</x:f>
      </x:c>
      <x:c r="H4" s="218" t="str">
        <x:f>IF(COUNTIF($EO$4:$EO$4,"M:"&amp;$A4)&lt;&gt;1,"",IF(VLOOKUP("M:"&amp;$A4,$EO$4:$EU$4,3,FALSE)="","",VLOOKUP("M:"&amp;$A4,$EO$4:$EU$4,3,FALSE)))</x:f>
      </x:c>
      <x:c r="I4" s="218" t="str">
        <x:f>IF(COUNTIF($EO$4:$EO$4,"M:"&amp;$A4)&lt;&gt;1,"",IF(VLOOKUP("M:"&amp;$A4,$EO$4:$EU$4,4,FALSE)="","",VLOOKUP("M:"&amp;$A4,$EO$4:$EU$4,4,FALSE)))</x:f>
      </x:c>
      <x:c r="J4" s="218" t="str">
        <x:f>IF(COUNTIF($EO$4:$EO$4,"M:"&amp;$A4)&lt;&gt;1,"",IF(VLOOKUP("M:"&amp;$A4,$EO$4:$EU$4,5,FALSE)="","",VLOOKUP("M:"&amp;$A4,$EO$4:$EU$4,5,FALSE)))</x:f>
      </x:c>
      <x:c r="K4" s="218"/>
      <x:c r="L4" s="218" t="str">
        <x:f>IF(COUNTIF($EO$4:$EO$4,"M:"&amp;$A4)&lt;&gt;1,"",IF(VLOOKUP("M:"&amp;$A4,$EO$4:$EU$4,6,FALSE)="","",VLOOKUP("M:"&amp;$A4,$EO$4:$EU$4,6,FALSE)))</x:f>
      </x:c>
      <x:c r="M4" s="218"/>
      <x:c r="N4" s="218"/>
      <x:c r="O4" s="218"/>
      <x:c r="P4" s="218"/>
      <x:c r="Q4" s="218" t="str">
        <x:f>IF(COUNTIF($EO$4:$EO$4,"M:"&amp;$A4)&lt;&gt;1,"",IF(VLOOKUP("M:"&amp;$A4,$EO$4:$EU$4,7,FALSE)="","",VLOOKUP("M:"&amp;$A4,$EO$4:$EU$4,7,FALSE)))</x:f>
      </x:c>
      <x:c r="R4" s="218"/>
      <x:c r="S4" s="218"/>
      <x:c r="T4" s="218"/>
      <x:c r="U4" s="218"/>
      <x:c r="V4" s="218"/>
      <x:c r="W4" s="218"/>
      <x:c r="X4" s="218"/>
      <x:c r="Y4" s="218"/>
      <x:c r="Z4" s="218"/>
      <x:c r="AA4" s="218"/>
      <x:c r="AB4" s="218"/>
      <x:c r="AC4" s="218"/>
      <x:c r="AD4" s="218"/>
      <x:c r="AE4" s="218"/>
      <x:c r="AF4" s="218"/>
      <x:c r="AG4" s="218"/>
      <x:c r="AH4" s="218"/>
      <x:c r="AI4" s="218"/>
      <x:c r="AJ4" s="218"/>
      <x:c r="AK4" s="218"/>
      <x:c r="AL4" s="218"/>
      <x:c r="AM4" s="218"/>
      <x:c r="AN4" s="218"/>
      <x:c r="AO4" s="218"/>
      <x:c r="AP4" s="218"/>
      <x:c r="AQ4" s="218"/>
      <x:c r="AR4" s="218"/>
      <x:c r="AS4" s="218"/>
      <x:c r="AT4" s="218"/>
      <x:c r="AU4" s="218"/>
      <x:c r="AV4" s="218"/>
      <x:c r="AW4" s="218"/>
      <x:c r="AX4" s="218"/>
      <x:c r="AY4" s="218"/>
      <x:c r="AZ4" s="218"/>
      <x:c r="BA4" s="218"/>
      <x:c r="BB4" s="218"/>
      <x:c r="BC4" s="218"/>
      <x:c r="BD4" s="218"/>
      <x:c r="BE4" s="218"/>
      <x:c r="BF4" s="218"/>
      <x:c r="BG4" s="218"/>
      <x:c r="BH4" s="218"/>
      <x:c r="BI4" s="218"/>
      <x:c r="BJ4" s="218"/>
      <x:c r="BK4" s="218"/>
      <x:c r="BL4" s="218"/>
      <x:c r="BM4" s="218"/>
      <x:c r="BN4" s="218"/>
      <x:c r="BO4" s="218"/>
      <x:c r="BP4" s="218"/>
      <x:c r="BQ4" s="218"/>
      <x:c r="BR4" s="218"/>
      <x:c r="BS4" s="218"/>
      <x:c r="BT4" s="218"/>
      <x:c r="BU4" s="218"/>
      <x:c r="BV4" s="218"/>
      <x:c r="BW4" s="218"/>
      <x:c r="BX4" s="218"/>
      <x:c r="BY4" s="218"/>
      <x:c r="BZ4" s="218"/>
      <x:c r="CA4" s="218"/>
      <x:c r="CB4" s="218"/>
      <x:c r="CC4" s="218"/>
      <x:c r="CD4" s="218"/>
      <x:c r="CE4" s="218"/>
      <x:c r="CF4" s="218"/>
      <x:c r="CG4" s="218"/>
      <x:c r="CH4" s="218"/>
      <x:c r="CI4" s="218"/>
      <x:c r="CJ4" s="218"/>
      <x:c r="CK4" s="218"/>
      <x:c r="CL4" s="218"/>
      <x:c r="CM4" s="218"/>
      <x:c r="CN4" s="218"/>
      <x:c r="CO4" s="218"/>
      <x:c r="CP4" s="218"/>
      <x:c r="CQ4" s="218"/>
      <x:c r="CR4" s="218"/>
      <x:c r="CS4" s="218"/>
      <x:c r="CT4" s="218"/>
      <x:c r="CU4" s="218"/>
      <x:c r="CV4" s="218"/>
      <x:c r="CW4" s="218"/>
      <x:c r="CX4" s="218"/>
      <x:c r="CY4" s="218"/>
      <x:c r="CZ4" s="218"/>
      <x:c r="DA4" s="218"/>
      <x:c r="DB4" s="218"/>
      <x:c r="DC4" s="218"/>
      <x:c r="DD4" s="218"/>
      <x:c r="DE4" s="218"/>
      <x:c r="DF4" s="218"/>
      <x:c r="DG4" s="218"/>
      <x:c r="DH4" s="218"/>
      <x:c r="DI4" s="218"/>
      <x:c r="DJ4" s="218"/>
    </x:row>
    <x:row r="5" ht="18" customHeight="1">
      <x:c r="A5" s="159"/>
      <x:c r="B5" s="20" t="str">
        <x:f>IF(A4="待排区","",IF(A4&lt;&gt;"",A4,B4))</x:f>
        <x:v>填写机号</x:v>
      </x:c>
      <x:c r="C5" s="20" t="n">
        <x:f>IF(COUNT(AH5)&gt;0,AH5,C4)</x:f>
        <x:v>0</x:v>
      </x:c>
      <x:c r="D5" s="20" t="str">
        <x:f>IF($G5="","",IF(COUNTIF($DZ$4:$DZ$4,$G5)&lt;&gt;1,"",IF(COUNTIFS($DZ$4:$DZ$4,$G5,$EI$4:$EI$4,"&lt;&gt;")=0,"",VLOOKUP($G5,$DZ$4:$EL$4,10,FALSE))))</x:f>
      </x:c>
      <x:c r="E5" s="235"/>
      <x:c r="F5" s="20" t="str">
        <x:f>IF($G5="","",IF(COUNTIF($DZ$4:$DZ$4,$G5)&lt;&gt;1,"",IF(COUNTIFS($DZ$4:$DZ$4,$G5,$EB$4:$EB$4,"&lt;&gt;")=0,"",VLOOKUP($G5,$DZ$4:$EL$4,3,FALSE))))</x:f>
      </x:c>
      <x:c r="G5" s="234"/>
      <x:c r="H5" s="20" t="str">
        <x:f>IF($G5="","",IF(COUNTIF($DZ$4:$DZ$4,$G5)&lt;&gt;1,"",IF(COUNTIFS($DZ$4:$DZ$4,$G5,$EA$4:$EA$4,"&lt;&gt;")=0,"",VLOOKUP($G5,$DZ$4:$EL$4,2,FALSE))))</x:f>
      </x:c>
      <x:c r="I5" s="234"/>
      <x:c r="J5" s="234"/>
      <x:c r="K5" s="236"/>
      <x:c r="L5" s="236"/>
      <x:c r="M5" s="237" t="str">
        <x:f>IF(G5="","",SUM(AW5:AX5,BA5:DJ5))</x:f>
      </x:c>
      <x:c r="N5" s="236" t="str">
        <x:f>IF(G5="","",IF(COUNT(L5,M5)&lt;2,"",MAX(0,L5-M5)))</x:f>
      </x:c>
      <x:c r="O5" s="238" t="str">
        <x:f>IF($G5="","",IF(COUNTIF($DZ$4:$DZ$4,$G5)&lt;&gt;1,"",IF(COUNTIFS($DZ$4:$DZ$4,$G5,$EC$4:$EC$4,"&lt;&gt;")=0,"",VLOOKUP($G5,$DZ$4:$EL$4,4,FALSE))))</x:f>
      </x:c>
      <x:c r="P5" s="159"/>
      <x:c r="Q5" s="234"/>
      <x:c r="R5" s="234"/>
      <x:c r="S5" s="234"/>
      <x:c r="T5" s="20" t="str">
        <x:f>IF($G5="","",IF(COUNTIF($DZ$4:$DZ$4,$G5)&lt;&gt;1,"",IF(COUNTIFS($DZ$4:$DZ$4,$G5,$ED$4:$ED$4,"&lt;&gt;")=0,"",VLOOKUP($G5,$DZ$4:$EL$4,5,FALSE))))</x:f>
      </x:c>
      <x:c r="U5" s="159" t="str">
        <x:f>IF($G5="","",IF(COUNTIF($DZ$4:$DZ$4,$G5)&lt;&gt;1,"",IF(COUNTIFS($DZ$4:$DZ$4,$G5,$EE$4:$EE$4,"&lt;&gt;")=0,"",VLOOKUP($G5,$DZ$4:$EL$4,6,FALSE))))</x:f>
      </x:c>
      <x:c r="V5" s="11" t="str">
        <x:f>IF(COUNT(N5,T5)&lt;2,"",N5*T5/1000*(1+$EM$2))</x:f>
      </x:c>
      <x:c r="W5" s="134" t="str">
        <x:f>IF($G5="","",IF(COUNTIF($DZ$4:$DZ$4,$G5)&lt;&gt;1,"",IF(COUNTIFS($DZ$4:$DZ$4,$G5,$EF$4:$EF$4,"&lt;&gt;")=0,"",VLOOKUP($G5,$DZ$4:$EL$4,7,FALSE))))</x:f>
      </x:c>
      <x:c r="X5" s="36" t="str">
        <x:f>IF(COUNT(N5,W5)&lt;2,"",N5*W5)</x:f>
      </x:c>
      <x:c r="Y5" s="159"/>
      <x:c r="Z5" s="239"/>
      <x:c r="AA5" s="240"/>
      <x:c r="AB5" s="239"/>
      <x:c r="AC5" s="138" t="str">
        <x:f>IF($G5="","",IF(COUNTIF($DZ$4:$DZ$4,$G5)&lt;&gt;1,"",IF(COUNTIFS($DZ$4:$DZ$4,$G5,$EJ$4:$EJ$4,"&lt;&gt;")=0,"",VLOOKUP($G5,$DZ$4:$EL$4,11,FALSE))))</x:f>
      </x:c>
      <x:c r="AD5" s="138" t="str">
        <x:f>IF($G5="","",IF(COUNTIF($DZ$4:$DZ$4,$G5)&lt;&gt;1,"",IF(COUNTIFS($DZ$4:$DZ$4,$G5,$EK$4:$EK$4,"&lt;&gt;")=0,"",VLOOKUP($G5,$DZ$4:$EL$4,12,FALSE))))</x:f>
      </x:c>
      <x:c r="AE5" s="56" t="n">
        <x:f>IF(OR(G5="",A4&lt;&gt;"",B5&lt;&gt;B4),0,IF(G5=G4,IF(Q5=Q4,0,AD5),AC5+IF(Q5=Q4,0,AD5)))</x:f>
        <x:v>0</x:v>
      </x:c>
      <x:c r="AF5" s="70"/>
      <x:c r="AG5" s="239" t="str">
        <x:f>IF(OR(G5="",B5="",B5="填写机号",COUNT($I$2)=0,COUNT(O5)=0,O5&lt;=0),"",MAX($I$2,C4)+AE5)</x:f>
      </x:c>
      <x:c r="AH5" s="239" t="str">
        <x:f>IF(OR(COUNT(AG5,N5,O5)&lt;3,O5&lt;=0),"",AG5+N5/O5)</x:f>
      </x:c>
      <x:c r="AI5" s="142" t="str">
        <x:f>IF(COUNT(AH5)=0,"",YEAR(AH5)&amp;"/"&amp;MONTH(AH5))</x:f>
      </x:c>
      <x:c r="AJ5" s="239" t="str">
        <x:f>IF(COUNT(AH5)=0,"",AH5+$EM$1)</x:f>
      </x:c>
      <x:c r="AK5" s="48" t="str">
        <x:f>IF(COUNT(AB5,AJ5)&lt;2,"",AB5-AJ5)</x:f>
      </x:c>
      <x:c r="AL5" s="159"/>
      <x:c r="AM5" s="159" t="str">
        <x:f>IF(OR(COUNT(N5,O5)&lt;2,O5&lt;=0),"",N5/O5)</x:f>
      </x:c>
      <x:c r="AN5" s="159"/>
      <x:c r="AO5" s="159"/>
      <x:c r="AP5" s="159"/>
      <x:c r="AQ5" s="159"/>
      <x:c r="AR5" s="159"/>
      <x:c r="AS5" s="234"/>
      <x:c r="AT5" s="159"/>
      <x:c r="AU5" s="159" t="str">
        <x:f>IF($G5="","",IF(COUNTIF($DZ$4:$DZ$4,$G5)&lt;&gt;1,"",IF(COUNTIFS($DZ$4:$DZ$4,$G5,$EG$4:$EG$4,"&lt;&gt;")=0,"",VLOOKUP($G5,$DZ$4:$EL$4,8,FALSE))))</x:f>
      </x:c>
      <x:c r="AV5" s="159" t="str">
        <x:f>IF($G5="","",IF(COUNTIF($DZ$4:$DZ$4,$G5)&lt;&gt;1,"",IF(COUNTIFS($DZ$4:$DZ$4,$G5,$EH$4:$EH$4,"&lt;&gt;")=0,"",VLOOKUP($G5,$DZ$4:$EL$4,9,FALSE))))</x:f>
      </x:c>
      <x:c r="AW5" s="209"/>
      <x:c r="AX5" s="209"/>
      <x:c r="AY5" s="159"/>
      <x:c r="AZ5" s="159"/>
      <x:c r="BA5" s="159"/>
      <x:c r="BB5" s="159"/>
      <x:c r="BC5" s="159"/>
      <x:c r="BD5" s="159"/>
      <x:c r="BE5" s="159"/>
      <x:c r="BF5" s="159"/>
      <x:c r="BG5" s="159"/>
      <x:c r="BH5" s="159"/>
      <x:c r="BI5" s="159"/>
      <x:c r="BJ5" s="159"/>
      <x:c r="BK5" s="159"/>
      <x:c r="BL5" s="159"/>
      <x:c r="BM5" s="159"/>
      <x:c r="BN5" s="159"/>
      <x:c r="BO5" s="159"/>
      <x:c r="BP5" s="159"/>
      <x:c r="BQ5" s="159"/>
      <x:c r="BR5" s="159"/>
      <x:c r="BS5" s="159"/>
      <x:c r="BT5" s="159"/>
      <x:c r="BU5" s="159"/>
      <x:c r="BV5" s="159"/>
      <x:c r="BW5" s="159"/>
      <x:c r="BX5" s="159"/>
      <x:c r="BY5" s="159"/>
      <x:c r="BZ5" s="159"/>
      <x:c r="CA5" s="159"/>
      <x:c r="CB5" s="159"/>
      <x:c r="CC5" s="159"/>
      <x:c r="CD5" s="159"/>
      <x:c r="CE5" s="159"/>
      <x:c r="CF5" s="159"/>
      <x:c r="CG5" s="159"/>
      <x:c r="CH5" s="159"/>
      <x:c r="CI5" s="159"/>
      <x:c r="CJ5" s="159"/>
      <x:c r="CK5" s="159"/>
      <x:c r="CL5" s="159"/>
      <x:c r="CM5" s="159"/>
      <x:c r="CN5" s="159"/>
      <x:c r="CO5" s="159"/>
      <x:c r="CP5" s="159"/>
      <x:c r="CQ5" s="159"/>
      <x:c r="CR5" s="159"/>
      <x:c r="CS5" s="159"/>
      <x:c r="CT5" s="159"/>
      <x:c r="CU5" s="159"/>
      <x:c r="CV5" s="159"/>
      <x:c r="CW5" s="159"/>
      <x:c r="CX5" s="159"/>
      <x:c r="CY5" s="159"/>
      <x:c r="CZ5" s="159"/>
      <x:c r="DA5" s="159"/>
      <x:c r="DB5" s="159"/>
      <x:c r="DC5" s="159"/>
      <x:c r="DD5" s="159"/>
      <x:c r="DE5" s="159"/>
      <x:c r="DF5" s="159"/>
      <x:c r="DG5" s="159"/>
      <x:c r="DH5" s="159"/>
      <x:c r="DI5" s="159"/>
      <x:c r="DJ5" s="159"/>
    </x:row>
    <x:row r="6" ht="18" customHeight="1">
      <x:c r="A6" s="159"/>
      <x:c r="B6" s="20" t="str">
        <x:f>IF(A5="待排区","",IF(A5&lt;&gt;"",A5,B5))</x:f>
        <x:v>填写机号</x:v>
      </x:c>
      <x:c r="C6" s="20" t="n">
        <x:f>IF(COUNT(AH6)&gt;0,AH6,C5)</x:f>
        <x:v>0</x:v>
      </x:c>
      <x:c r="D6" s="20" t="str">
        <x:f>IF($G6="","",IF(COUNTIF($DZ$4:$DZ$4,$G6)&lt;&gt;1,"",IF(COUNTIFS($DZ$4:$DZ$4,$G6,$EI$4:$EI$4,"&lt;&gt;")=0,"",VLOOKUP($G6,$DZ$4:$EL$4,10,FALSE))))</x:f>
      </x:c>
      <x:c r="E6" s="235"/>
      <x:c r="F6" s="20" t="str">
        <x:f>IF($G6="","",IF(COUNTIF($DZ$4:$DZ$4,$G6)&lt;&gt;1,"",IF(COUNTIFS($DZ$4:$DZ$4,$G6,$EB$4:$EB$4,"&lt;&gt;")=0,"",VLOOKUP($G6,$DZ$4:$EL$4,3,FALSE))))</x:f>
      </x:c>
      <x:c r="G6" s="234"/>
      <x:c r="H6" s="20" t="str">
        <x:f>IF($G6="","",IF(COUNTIF($DZ$4:$DZ$4,$G6)&lt;&gt;1,"",IF(COUNTIFS($DZ$4:$DZ$4,$G6,$EA$4:$EA$4,"&lt;&gt;")=0,"",VLOOKUP($G6,$DZ$4:$EL$4,2,FALSE))))</x:f>
      </x:c>
      <x:c r="I6" s="234"/>
      <x:c r="J6" s="234"/>
      <x:c r="K6" s="236"/>
      <x:c r="L6" s="236"/>
      <x:c r="M6" s="237" t="str">
        <x:f>IF(G6="","",SUM(AW6:AX6,BA6:DJ6))</x:f>
      </x:c>
      <x:c r="N6" s="236" t="str">
        <x:f>IF(G6="","",IF(COUNT(L6,M6)&lt;2,"",MAX(0,L6-M6)))</x:f>
      </x:c>
      <x:c r="O6" s="238" t="str">
        <x:f>IF($G6="","",IF(COUNTIF($DZ$4:$DZ$4,$G6)&lt;&gt;1,"",IF(COUNTIFS($DZ$4:$DZ$4,$G6,$EC$4:$EC$4,"&lt;&gt;")=0,"",VLOOKUP($G6,$DZ$4:$EL$4,4,FALSE))))</x:f>
      </x:c>
      <x:c r="P6" s="159"/>
      <x:c r="Q6" s="234"/>
      <x:c r="R6" s="234"/>
      <x:c r="S6" s="234"/>
      <x:c r="T6" s="20" t="str">
        <x:f>IF($G6="","",IF(COUNTIF($DZ$4:$DZ$4,$G6)&lt;&gt;1,"",IF(COUNTIFS($DZ$4:$DZ$4,$G6,$ED$4:$ED$4,"&lt;&gt;")=0,"",VLOOKUP($G6,$DZ$4:$EL$4,5,FALSE))))</x:f>
      </x:c>
      <x:c r="U6" s="159" t="str">
        <x:f>IF($G6="","",IF(COUNTIF($DZ$4:$DZ$4,$G6)&lt;&gt;1,"",IF(COUNTIFS($DZ$4:$DZ$4,$G6,$EE$4:$EE$4,"&lt;&gt;")=0,"",VLOOKUP($G6,$DZ$4:$EL$4,6,FALSE))))</x:f>
      </x:c>
      <x:c r="V6" s="11" t="str">
        <x:f>IF(COUNT(N6,T6)&lt;2,"",N6*T6/1000*(1+$EM$2))</x:f>
      </x:c>
      <x:c r="W6" s="134" t="str">
        <x:f>IF($G6="","",IF(COUNTIF($DZ$4:$DZ$4,$G6)&lt;&gt;1,"",IF(COUNTIFS($DZ$4:$DZ$4,$G6,$EF$4:$EF$4,"&lt;&gt;")=0,"",VLOOKUP($G6,$DZ$4:$EL$4,7,FALSE))))</x:f>
      </x:c>
      <x:c r="X6" s="36" t="str">
        <x:f>IF(COUNT(N6,W6)&lt;2,"",N6*W6)</x:f>
      </x:c>
      <x:c r="Y6" s="159"/>
      <x:c r="Z6" s="239"/>
      <x:c r="AA6" s="240"/>
      <x:c r="AB6" s="239"/>
      <x:c r="AC6" s="138" t="str">
        <x:f>IF($G6="","",IF(COUNTIF($DZ$4:$DZ$4,$G6)&lt;&gt;1,"",IF(COUNTIFS($DZ$4:$DZ$4,$G6,$EJ$4:$EJ$4,"&lt;&gt;")=0,"",VLOOKUP($G6,$DZ$4:$EL$4,11,FALSE))))</x:f>
      </x:c>
      <x:c r="AD6" s="138" t="str">
        <x:f>IF($G6="","",IF(COUNTIF($DZ$4:$DZ$4,$G6)&lt;&gt;1,"",IF(COUNTIFS($DZ$4:$DZ$4,$G6,$EK$4:$EK$4,"&lt;&gt;")=0,"",VLOOKUP($G6,$DZ$4:$EL$4,12,FALSE))))</x:f>
      </x:c>
      <x:c r="AE6" s="56" t="n">
        <x:f>IF(OR(G6="",A5&lt;&gt;"",B6&lt;&gt;B5),0,IF(G6=G5,IF(Q6=Q5,0,AD6),AC6+IF(Q6=Q5,0,AD6)))</x:f>
        <x:v>0</x:v>
      </x:c>
      <x:c r="AF6" s="70"/>
      <x:c r="AG6" s="239" t="str">
        <x:f>IF(OR(G6="",B6="",B6="填写机号",COUNT($I$2)=0,COUNT(O6)=0,O6&lt;=0),"",MAX($I$2,C5)+AE6)</x:f>
      </x:c>
      <x:c r="AH6" s="239" t="str">
        <x:f>IF(OR(COUNT(AG6,N6,O6)&lt;3,O6&lt;=0),"",AG6+N6/O6)</x:f>
      </x:c>
      <x:c r="AI6" s="142" t="str">
        <x:f>IF(COUNT(AH6)=0,"",YEAR(AH6)&amp;"/"&amp;MONTH(AH6))</x:f>
      </x:c>
      <x:c r="AJ6" s="239" t="str">
        <x:f>IF(COUNT(AH6)=0,"",AH6+$EM$1)</x:f>
      </x:c>
      <x:c r="AK6" s="48" t="str">
        <x:f>IF(COUNT(AB6,AJ6)&lt;2,"",AB6-AJ6)</x:f>
      </x:c>
      <x:c r="AL6" s="159"/>
      <x:c r="AM6" s="159" t="str">
        <x:f>IF(OR(COUNT(N6,O6)&lt;2,O6&lt;=0),"",N6/O6)</x:f>
      </x:c>
      <x:c r="AN6" s="159"/>
      <x:c r="AO6" s="159"/>
      <x:c r="AP6" s="159"/>
      <x:c r="AQ6" s="159"/>
      <x:c r="AR6" s="159"/>
      <x:c r="AS6" s="234"/>
      <x:c r="AT6" s="159"/>
      <x:c r="AU6" s="159" t="str">
        <x:f>IF($G6="","",IF(COUNTIF($DZ$4:$DZ$4,$G6)&lt;&gt;1,"",IF(COUNTIFS($DZ$4:$DZ$4,$G6,$EG$4:$EG$4,"&lt;&gt;")=0,"",VLOOKUP($G6,$DZ$4:$EL$4,8,FALSE))))</x:f>
      </x:c>
      <x:c r="AV6" s="159" t="str">
        <x:f>IF($G6="","",IF(COUNTIF($DZ$4:$DZ$4,$G6)&lt;&gt;1,"",IF(COUNTIFS($DZ$4:$DZ$4,$G6,$EH$4:$EH$4,"&lt;&gt;")=0,"",VLOOKUP($G6,$DZ$4:$EL$4,9,FALSE))))</x:f>
      </x:c>
      <x:c r="AW6" s="209"/>
      <x:c r="AX6" s="209"/>
      <x:c r="AY6" s="159"/>
      <x:c r="AZ6" s="159"/>
      <x:c r="BA6" s="159"/>
      <x:c r="BB6" s="159"/>
      <x:c r="BC6" s="159"/>
      <x:c r="BD6" s="159"/>
      <x:c r="BE6" s="159"/>
      <x:c r="BF6" s="159"/>
      <x:c r="BG6" s="159"/>
      <x:c r="BH6" s="159"/>
      <x:c r="BI6" s="159"/>
      <x:c r="BJ6" s="159"/>
      <x:c r="BK6" s="159"/>
      <x:c r="BL6" s="159"/>
      <x:c r="BM6" s="159"/>
      <x:c r="BN6" s="159"/>
      <x:c r="BO6" s="159"/>
      <x:c r="BP6" s="159"/>
      <x:c r="BQ6" s="159"/>
      <x:c r="BR6" s="159"/>
      <x:c r="BS6" s="159"/>
      <x:c r="BT6" s="159"/>
      <x:c r="BU6" s="159"/>
      <x:c r="BV6" s="159"/>
      <x:c r="BW6" s="159"/>
      <x:c r="BX6" s="159"/>
      <x:c r="BY6" s="159"/>
      <x:c r="BZ6" s="159"/>
      <x:c r="CA6" s="159"/>
      <x:c r="CB6" s="159"/>
      <x:c r="CC6" s="159"/>
      <x:c r="CD6" s="159"/>
      <x:c r="CE6" s="159"/>
      <x:c r="CF6" s="159"/>
      <x:c r="CG6" s="159"/>
      <x:c r="CH6" s="159"/>
      <x:c r="CI6" s="159"/>
      <x:c r="CJ6" s="159"/>
      <x:c r="CK6" s="159"/>
      <x:c r="CL6" s="159"/>
      <x:c r="CM6" s="159"/>
      <x:c r="CN6" s="159"/>
      <x:c r="CO6" s="159"/>
      <x:c r="CP6" s="159"/>
      <x:c r="CQ6" s="159"/>
      <x:c r="CR6" s="159"/>
      <x:c r="CS6" s="159"/>
      <x:c r="CT6" s="159"/>
      <x:c r="CU6" s="159"/>
      <x:c r="CV6" s="159"/>
      <x:c r="CW6" s="159"/>
      <x:c r="CX6" s="159"/>
      <x:c r="CY6" s="159"/>
      <x:c r="CZ6" s="159"/>
      <x:c r="DA6" s="159"/>
      <x:c r="DB6" s="159"/>
      <x:c r="DC6" s="159"/>
      <x:c r="DD6" s="159"/>
      <x:c r="DE6" s="159"/>
      <x:c r="DF6" s="159"/>
      <x:c r="DG6" s="159"/>
      <x:c r="DH6" s="159"/>
      <x:c r="DI6" s="159"/>
      <x:c r="DJ6" s="159"/>
    </x:row>
    <x:row r="7" ht="18" customHeight="1">
      <x:c r="A7" s="159"/>
      <x:c r="B7" s="20" t="str">
        <x:f>IF(A6="待排区","",IF(A6&lt;&gt;"",A6,B6))</x:f>
        <x:v>填写机号</x:v>
      </x:c>
      <x:c r="C7" s="20" t="n">
        <x:f>IF(COUNT(AH7)&gt;0,AH7,C6)</x:f>
        <x:v>0</x:v>
      </x:c>
      <x:c r="D7" s="20" t="str">
        <x:f>IF($G7="","",IF(COUNTIF($DZ$4:$DZ$4,$G7)&lt;&gt;1,"",IF(COUNTIFS($DZ$4:$DZ$4,$G7,$EI$4:$EI$4,"&lt;&gt;")=0,"",VLOOKUP($G7,$DZ$4:$EL$4,10,FALSE))))</x:f>
      </x:c>
      <x:c r="E7" s="235"/>
      <x:c r="F7" s="20" t="str">
        <x:f>IF($G7="","",IF(COUNTIF($DZ$4:$DZ$4,$G7)&lt;&gt;1,"",IF(COUNTIFS($DZ$4:$DZ$4,$G7,$EB$4:$EB$4,"&lt;&gt;")=0,"",VLOOKUP($G7,$DZ$4:$EL$4,3,FALSE))))</x:f>
      </x:c>
      <x:c r="G7" s="234"/>
      <x:c r="H7" s="20" t="str">
        <x:f>IF($G7="","",IF(COUNTIF($DZ$4:$DZ$4,$G7)&lt;&gt;1,"",IF(COUNTIFS($DZ$4:$DZ$4,$G7,$EA$4:$EA$4,"&lt;&gt;")=0,"",VLOOKUP($G7,$DZ$4:$EL$4,2,FALSE))))</x:f>
      </x:c>
      <x:c r="I7" s="234"/>
      <x:c r="J7" s="234"/>
      <x:c r="K7" s="236"/>
      <x:c r="L7" s="236"/>
      <x:c r="M7" s="237" t="str">
        <x:f>IF(G7="","",SUM(AW7:AX7,BA7:DJ7))</x:f>
      </x:c>
      <x:c r="N7" s="236" t="str">
        <x:f>IF(G7="","",IF(COUNT(L7,M7)&lt;2,"",MAX(0,L7-M7)))</x:f>
      </x:c>
      <x:c r="O7" s="238" t="str">
        <x:f>IF($G7="","",IF(COUNTIF($DZ$4:$DZ$4,$G7)&lt;&gt;1,"",IF(COUNTIFS($DZ$4:$DZ$4,$G7,$EC$4:$EC$4,"&lt;&gt;")=0,"",VLOOKUP($G7,$DZ$4:$EL$4,4,FALSE))))</x:f>
      </x:c>
      <x:c r="P7" s="159"/>
      <x:c r="Q7" s="234"/>
      <x:c r="R7" s="234"/>
      <x:c r="S7" s="234"/>
      <x:c r="T7" s="20" t="str">
        <x:f>IF($G7="","",IF(COUNTIF($DZ$4:$DZ$4,$G7)&lt;&gt;1,"",IF(COUNTIFS($DZ$4:$DZ$4,$G7,$ED$4:$ED$4,"&lt;&gt;")=0,"",VLOOKUP($G7,$DZ$4:$EL$4,5,FALSE))))</x:f>
      </x:c>
      <x:c r="U7" s="159" t="str">
        <x:f>IF($G7="","",IF(COUNTIF($DZ$4:$DZ$4,$G7)&lt;&gt;1,"",IF(COUNTIFS($DZ$4:$DZ$4,$G7,$EE$4:$EE$4,"&lt;&gt;")=0,"",VLOOKUP($G7,$DZ$4:$EL$4,6,FALSE))))</x:f>
      </x:c>
      <x:c r="V7" s="11" t="str">
        <x:f>IF(COUNT(N7,T7)&lt;2,"",N7*T7/1000*(1+$EM$2))</x:f>
      </x:c>
      <x:c r="W7" s="134" t="str">
        <x:f>IF($G7="","",IF(COUNTIF($DZ$4:$DZ$4,$G7)&lt;&gt;1,"",IF(COUNTIFS($DZ$4:$DZ$4,$G7,$EF$4:$EF$4,"&lt;&gt;")=0,"",VLOOKUP($G7,$DZ$4:$EL$4,7,FALSE))))</x:f>
      </x:c>
      <x:c r="X7" s="36" t="str">
        <x:f>IF(COUNT(N7,W7)&lt;2,"",N7*W7)</x:f>
      </x:c>
      <x:c r="Y7" s="159"/>
      <x:c r="Z7" s="239"/>
      <x:c r="AA7" s="240"/>
      <x:c r="AB7" s="239"/>
      <x:c r="AC7" s="138" t="str">
        <x:f>IF($G7="","",IF(COUNTIF($DZ$4:$DZ$4,$G7)&lt;&gt;1,"",IF(COUNTIFS($DZ$4:$DZ$4,$G7,$EJ$4:$EJ$4,"&lt;&gt;")=0,"",VLOOKUP($G7,$DZ$4:$EL$4,11,FALSE))))</x:f>
      </x:c>
      <x:c r="AD7" s="138" t="str">
        <x:f>IF($G7="","",IF(COUNTIF($DZ$4:$DZ$4,$G7)&lt;&gt;1,"",IF(COUNTIFS($DZ$4:$DZ$4,$G7,$EK$4:$EK$4,"&lt;&gt;")=0,"",VLOOKUP($G7,$DZ$4:$EL$4,12,FALSE))))</x:f>
      </x:c>
      <x:c r="AE7" s="56" t="n">
        <x:f>IF(OR(G7="",A6&lt;&gt;"",B7&lt;&gt;B6),0,IF(G7=G6,IF(Q7=Q6,0,AD7),AC7+IF(Q7=Q6,0,AD7)))</x:f>
        <x:v>0</x:v>
      </x:c>
      <x:c r="AF7" s="70"/>
      <x:c r="AG7" s="239" t="str">
        <x:f>IF(OR(G7="",B7="",B7="填写机号",COUNT($I$2)=0,COUNT(O7)=0,O7&lt;=0),"",MAX($I$2,C6)+AE7)</x:f>
      </x:c>
      <x:c r="AH7" s="239" t="str">
        <x:f>IF(OR(COUNT(AG7,N7,O7)&lt;3,O7&lt;=0),"",AG7+N7/O7)</x:f>
      </x:c>
      <x:c r="AI7" s="142" t="str">
        <x:f>IF(COUNT(AH7)=0,"",YEAR(AH7)&amp;"/"&amp;MONTH(AH7))</x:f>
      </x:c>
      <x:c r="AJ7" s="239" t="str">
        <x:f>IF(COUNT(AH7)=0,"",AH7+$EM$1)</x:f>
      </x:c>
      <x:c r="AK7" s="48" t="str">
        <x:f>IF(COUNT(AB7,AJ7)&lt;2,"",AB7-AJ7)</x:f>
      </x:c>
      <x:c r="AL7" s="159"/>
      <x:c r="AM7" s="159" t="str">
        <x:f>IF(OR(COUNT(N7,O7)&lt;2,O7&lt;=0),"",N7/O7)</x:f>
      </x:c>
      <x:c r="AN7" s="159"/>
      <x:c r="AO7" s="159"/>
      <x:c r="AP7" s="159"/>
      <x:c r="AQ7" s="159"/>
      <x:c r="AR7" s="159"/>
      <x:c r="AS7" s="234"/>
      <x:c r="AT7" s="159"/>
      <x:c r="AU7" s="159" t="str">
        <x:f>IF($G7="","",IF(COUNTIF($DZ$4:$DZ$4,$G7)&lt;&gt;1,"",IF(COUNTIFS($DZ$4:$DZ$4,$G7,$EG$4:$EG$4,"&lt;&gt;")=0,"",VLOOKUP($G7,$DZ$4:$EL$4,8,FALSE))))</x:f>
      </x:c>
      <x:c r="AV7" s="159" t="str">
        <x:f>IF($G7="","",IF(COUNTIF($DZ$4:$DZ$4,$G7)&lt;&gt;1,"",IF(COUNTIFS($DZ$4:$DZ$4,$G7,$EH$4:$EH$4,"&lt;&gt;")=0,"",VLOOKUP($G7,$DZ$4:$EL$4,9,FALSE))))</x:f>
      </x:c>
      <x:c r="AW7" s="209"/>
      <x:c r="AX7" s="209"/>
      <x:c r="AY7" s="159"/>
      <x:c r="AZ7" s="159"/>
      <x:c r="BA7" s="159"/>
      <x:c r="BB7" s="159"/>
      <x:c r="BC7" s="159"/>
      <x:c r="BD7" s="159"/>
      <x:c r="BE7" s="159"/>
      <x:c r="BF7" s="159"/>
      <x:c r="BG7" s="159"/>
      <x:c r="BH7" s="159"/>
      <x:c r="BI7" s="159"/>
      <x:c r="BJ7" s="159"/>
      <x:c r="BK7" s="159"/>
      <x:c r="BL7" s="159"/>
      <x:c r="BM7" s="159"/>
      <x:c r="BN7" s="159"/>
      <x:c r="BO7" s="159"/>
      <x:c r="BP7" s="159"/>
      <x:c r="BQ7" s="159"/>
      <x:c r="BR7" s="159"/>
      <x:c r="BS7" s="159"/>
      <x:c r="BT7" s="159"/>
      <x:c r="BU7" s="159"/>
      <x:c r="BV7" s="159"/>
      <x:c r="BW7" s="159"/>
      <x:c r="BX7" s="159"/>
      <x:c r="BY7" s="159"/>
      <x:c r="BZ7" s="159"/>
      <x:c r="CA7" s="159"/>
      <x:c r="CB7" s="159"/>
      <x:c r="CC7" s="159"/>
      <x:c r="CD7" s="159"/>
      <x:c r="CE7" s="159"/>
      <x:c r="CF7" s="159"/>
      <x:c r="CG7" s="159"/>
      <x:c r="CH7" s="159"/>
      <x:c r="CI7" s="159"/>
      <x:c r="CJ7" s="159"/>
      <x:c r="CK7" s="159"/>
      <x:c r="CL7" s="159"/>
      <x:c r="CM7" s="159"/>
      <x:c r="CN7" s="159"/>
      <x:c r="CO7" s="159"/>
      <x:c r="CP7" s="159"/>
      <x:c r="CQ7" s="159"/>
      <x:c r="CR7" s="159"/>
      <x:c r="CS7" s="159"/>
      <x:c r="CT7" s="159"/>
      <x:c r="CU7" s="159"/>
      <x:c r="CV7" s="159"/>
      <x:c r="CW7" s="159"/>
      <x:c r="CX7" s="159"/>
      <x:c r="CY7" s="159"/>
      <x:c r="CZ7" s="159"/>
      <x:c r="DA7" s="159"/>
      <x:c r="DB7" s="159"/>
      <x:c r="DC7" s="159"/>
      <x:c r="DD7" s="159"/>
      <x:c r="DE7" s="159"/>
      <x:c r="DF7" s="159"/>
      <x:c r="DG7" s="159"/>
      <x:c r="DH7" s="159"/>
      <x:c r="DI7" s="159"/>
      <x:c r="DJ7" s="159"/>
    </x:row>
    <x:row r="8" ht="18" customHeight="1">
      <x:c r="A8" s="159"/>
      <x:c r="B8" s="20" t="str">
        <x:f>IF(A7="待排区","",IF(A7&lt;&gt;"",A7,B7))</x:f>
        <x:v>填写机号</x:v>
      </x:c>
      <x:c r="C8" s="20" t="n">
        <x:f>IF(COUNT(AH8)&gt;0,AH8,C7)</x:f>
        <x:v>0</x:v>
      </x:c>
      <x:c r="D8" s="20" t="str">
        <x:f>IF($G8="","",IF(COUNTIF($DZ$4:$DZ$4,$G8)&lt;&gt;1,"",IF(COUNTIFS($DZ$4:$DZ$4,$G8,$EI$4:$EI$4,"&lt;&gt;")=0,"",VLOOKUP($G8,$DZ$4:$EL$4,10,FALSE))))</x:f>
      </x:c>
      <x:c r="E8" s="235"/>
      <x:c r="F8" s="20" t="str">
        <x:f>IF($G8="","",IF(COUNTIF($DZ$4:$DZ$4,$G8)&lt;&gt;1,"",IF(COUNTIFS($DZ$4:$DZ$4,$G8,$EB$4:$EB$4,"&lt;&gt;")=0,"",VLOOKUP($G8,$DZ$4:$EL$4,3,FALSE))))</x:f>
      </x:c>
      <x:c r="G8" s="234"/>
      <x:c r="H8" s="20" t="str">
        <x:f>IF($G8="","",IF(COUNTIF($DZ$4:$DZ$4,$G8)&lt;&gt;1,"",IF(COUNTIFS($DZ$4:$DZ$4,$G8,$EA$4:$EA$4,"&lt;&gt;")=0,"",VLOOKUP($G8,$DZ$4:$EL$4,2,FALSE))))</x:f>
      </x:c>
      <x:c r="I8" s="234"/>
      <x:c r="J8" s="234"/>
      <x:c r="K8" s="236"/>
      <x:c r="L8" s="236"/>
      <x:c r="M8" s="237" t="str">
        <x:f>IF(G8="","",SUM(AW8:AX8,BA8:DJ8))</x:f>
      </x:c>
      <x:c r="N8" s="236" t="str">
        <x:f>IF(G8="","",IF(COUNT(L8,M8)&lt;2,"",MAX(0,L8-M8)))</x:f>
      </x:c>
      <x:c r="O8" s="238" t="str">
        <x:f>IF($G8="","",IF(COUNTIF($DZ$4:$DZ$4,$G8)&lt;&gt;1,"",IF(COUNTIFS($DZ$4:$DZ$4,$G8,$EC$4:$EC$4,"&lt;&gt;")=0,"",VLOOKUP($G8,$DZ$4:$EL$4,4,FALSE))))</x:f>
      </x:c>
      <x:c r="P8" s="159"/>
      <x:c r="Q8" s="234"/>
      <x:c r="R8" s="234"/>
      <x:c r="S8" s="234"/>
      <x:c r="T8" s="20" t="str">
        <x:f>IF($G8="","",IF(COUNTIF($DZ$4:$DZ$4,$G8)&lt;&gt;1,"",IF(COUNTIFS($DZ$4:$DZ$4,$G8,$ED$4:$ED$4,"&lt;&gt;")=0,"",VLOOKUP($G8,$DZ$4:$EL$4,5,FALSE))))</x:f>
      </x:c>
      <x:c r="U8" s="159" t="str">
        <x:f>IF($G8="","",IF(COUNTIF($DZ$4:$DZ$4,$G8)&lt;&gt;1,"",IF(COUNTIFS($DZ$4:$DZ$4,$G8,$EE$4:$EE$4,"&lt;&gt;")=0,"",VLOOKUP($G8,$DZ$4:$EL$4,6,FALSE))))</x:f>
      </x:c>
      <x:c r="V8" s="11" t="str">
        <x:f>IF(COUNT(N8,T8)&lt;2,"",N8*T8/1000*(1+$EM$2))</x:f>
      </x:c>
      <x:c r="W8" s="134" t="str">
        <x:f>IF($G8="","",IF(COUNTIF($DZ$4:$DZ$4,$G8)&lt;&gt;1,"",IF(COUNTIFS($DZ$4:$DZ$4,$G8,$EF$4:$EF$4,"&lt;&gt;")=0,"",VLOOKUP($G8,$DZ$4:$EL$4,7,FALSE))))</x:f>
      </x:c>
      <x:c r="X8" s="36" t="str">
        <x:f>IF(COUNT(N8,W8)&lt;2,"",N8*W8)</x:f>
      </x:c>
      <x:c r="Y8" s="159"/>
      <x:c r="Z8" s="239"/>
      <x:c r="AA8" s="240"/>
      <x:c r="AB8" s="239"/>
      <x:c r="AC8" s="138" t="str">
        <x:f>IF($G8="","",IF(COUNTIF($DZ$4:$DZ$4,$G8)&lt;&gt;1,"",IF(COUNTIFS($DZ$4:$DZ$4,$G8,$EJ$4:$EJ$4,"&lt;&gt;")=0,"",VLOOKUP($G8,$DZ$4:$EL$4,11,FALSE))))</x:f>
      </x:c>
      <x:c r="AD8" s="138" t="str">
        <x:f>IF($G8="","",IF(COUNTIF($DZ$4:$DZ$4,$G8)&lt;&gt;1,"",IF(COUNTIFS($DZ$4:$DZ$4,$G8,$EK$4:$EK$4,"&lt;&gt;")=0,"",VLOOKUP($G8,$DZ$4:$EL$4,12,FALSE))))</x:f>
      </x:c>
      <x:c r="AE8" s="56" t="n">
        <x:f>IF(OR(G8="",A7&lt;&gt;"",B8&lt;&gt;B7),0,IF(G8=G7,IF(Q8=Q7,0,AD8),AC8+IF(Q8=Q7,0,AD8)))</x:f>
        <x:v>0</x:v>
      </x:c>
      <x:c r="AF8" s="70"/>
      <x:c r="AG8" s="239" t="str">
        <x:f>IF(OR(G8="",B8="",B8="填写机号",COUNT($I$2)=0,COUNT(O8)=0,O8&lt;=0),"",MAX($I$2,C7)+AE8)</x:f>
      </x:c>
      <x:c r="AH8" s="239" t="str">
        <x:f>IF(OR(COUNT(AG8,N8,O8)&lt;3,O8&lt;=0),"",AG8+N8/O8)</x:f>
      </x:c>
      <x:c r="AI8" s="142" t="str">
        <x:f>IF(COUNT(AH8)=0,"",YEAR(AH8)&amp;"/"&amp;MONTH(AH8))</x:f>
      </x:c>
      <x:c r="AJ8" s="239" t="str">
        <x:f>IF(COUNT(AH8)=0,"",AH8+$EM$1)</x:f>
      </x:c>
      <x:c r="AK8" s="48" t="str">
        <x:f>IF(COUNT(AB8,AJ8)&lt;2,"",AB8-AJ8)</x:f>
      </x:c>
      <x:c r="AL8" s="159"/>
      <x:c r="AM8" s="159" t="str">
        <x:f>IF(OR(COUNT(N8,O8)&lt;2,O8&lt;=0),"",N8/O8)</x:f>
      </x:c>
      <x:c r="AN8" s="159"/>
      <x:c r="AO8" s="159"/>
      <x:c r="AP8" s="159"/>
      <x:c r="AQ8" s="159"/>
      <x:c r="AR8" s="159"/>
      <x:c r="AS8" s="234"/>
      <x:c r="AT8" s="159"/>
      <x:c r="AU8" s="159" t="str">
        <x:f>IF($G8="","",IF(COUNTIF($DZ$4:$DZ$4,$G8)&lt;&gt;1,"",IF(COUNTIFS($DZ$4:$DZ$4,$G8,$EG$4:$EG$4,"&lt;&gt;")=0,"",VLOOKUP($G8,$DZ$4:$EL$4,8,FALSE))))</x:f>
      </x:c>
      <x:c r="AV8" s="159" t="str">
        <x:f>IF($G8="","",IF(COUNTIF($DZ$4:$DZ$4,$G8)&lt;&gt;1,"",IF(COUNTIFS($DZ$4:$DZ$4,$G8,$EH$4:$EH$4,"&lt;&gt;")=0,"",VLOOKUP($G8,$DZ$4:$EL$4,9,FALSE))))</x:f>
      </x:c>
      <x:c r="AW8" s="209"/>
      <x:c r="AX8" s="209"/>
      <x:c r="AY8" s="159"/>
      <x:c r="AZ8" s="159"/>
      <x:c r="BA8" s="159"/>
      <x:c r="BB8" s="159"/>
      <x:c r="BC8" s="159"/>
      <x:c r="BD8" s="159"/>
      <x:c r="BE8" s="159"/>
      <x:c r="BF8" s="159"/>
      <x:c r="BG8" s="159"/>
      <x:c r="BH8" s="159"/>
      <x:c r="BI8" s="159"/>
      <x:c r="BJ8" s="159"/>
      <x:c r="BK8" s="159"/>
      <x:c r="BL8" s="159"/>
      <x:c r="BM8" s="159"/>
      <x:c r="BN8" s="159"/>
      <x:c r="BO8" s="159"/>
      <x:c r="BP8" s="159"/>
      <x:c r="BQ8" s="159"/>
      <x:c r="BR8" s="159"/>
      <x:c r="BS8" s="159"/>
      <x:c r="BT8" s="159"/>
      <x:c r="BU8" s="159"/>
      <x:c r="BV8" s="159"/>
      <x:c r="BW8" s="159"/>
      <x:c r="BX8" s="159"/>
      <x:c r="BY8" s="159"/>
      <x:c r="BZ8" s="159"/>
      <x:c r="CA8" s="159"/>
      <x:c r="CB8" s="159"/>
      <x:c r="CC8" s="159"/>
      <x:c r="CD8" s="159"/>
      <x:c r="CE8" s="159"/>
      <x:c r="CF8" s="159"/>
      <x:c r="CG8" s="159"/>
      <x:c r="CH8" s="159"/>
      <x:c r="CI8" s="159"/>
      <x:c r="CJ8" s="159"/>
      <x:c r="CK8" s="159"/>
      <x:c r="CL8" s="159"/>
      <x:c r="CM8" s="159"/>
      <x:c r="CN8" s="159"/>
      <x:c r="CO8" s="159"/>
      <x:c r="CP8" s="159"/>
      <x:c r="CQ8" s="159"/>
      <x:c r="CR8" s="159"/>
      <x:c r="CS8" s="159"/>
      <x:c r="CT8" s="159"/>
      <x:c r="CU8" s="159"/>
      <x:c r="CV8" s="159"/>
      <x:c r="CW8" s="159"/>
      <x:c r="CX8" s="159"/>
      <x:c r="CY8" s="159"/>
      <x:c r="CZ8" s="159"/>
      <x:c r="DA8" s="159"/>
      <x:c r="DB8" s="159"/>
      <x:c r="DC8" s="159"/>
      <x:c r="DD8" s="159"/>
      <x:c r="DE8" s="159"/>
      <x:c r="DF8" s="159"/>
      <x:c r="DG8" s="159"/>
      <x:c r="DH8" s="159"/>
      <x:c r="DI8" s="159"/>
      <x:c r="DJ8" s="159"/>
    </x:row>
    <x:row r="9" ht="18" customHeight="1">
      <x:c r="A9" s="159"/>
      <x:c r="B9" s="20" t="str">
        <x:f>IF(A8="待排区","",IF(A8&lt;&gt;"",A8,B8))</x:f>
        <x:v>填写机号</x:v>
      </x:c>
      <x:c r="C9" s="20" t="n">
        <x:f>IF(COUNT(AH9)&gt;0,AH9,C8)</x:f>
        <x:v>0</x:v>
      </x:c>
      <x:c r="D9" s="20" t="str">
        <x:f>IF($G9="","",IF(COUNTIF($DZ$4:$DZ$4,$G9)&lt;&gt;1,"",IF(COUNTIFS($DZ$4:$DZ$4,$G9,$EI$4:$EI$4,"&lt;&gt;")=0,"",VLOOKUP($G9,$DZ$4:$EL$4,10,FALSE))))</x:f>
      </x:c>
      <x:c r="E9" s="235"/>
      <x:c r="F9" s="20" t="str">
        <x:f>IF($G9="","",IF(COUNTIF($DZ$4:$DZ$4,$G9)&lt;&gt;1,"",IF(COUNTIFS($DZ$4:$DZ$4,$G9,$EB$4:$EB$4,"&lt;&gt;")=0,"",VLOOKUP($G9,$DZ$4:$EL$4,3,FALSE))))</x:f>
      </x:c>
      <x:c r="G9" s="234"/>
      <x:c r="H9" s="20" t="str">
        <x:f>IF($G9="","",IF(COUNTIF($DZ$4:$DZ$4,$G9)&lt;&gt;1,"",IF(COUNTIFS($DZ$4:$DZ$4,$G9,$EA$4:$EA$4,"&lt;&gt;")=0,"",VLOOKUP($G9,$DZ$4:$EL$4,2,FALSE))))</x:f>
      </x:c>
      <x:c r="I9" s="234"/>
      <x:c r="J9" s="234"/>
      <x:c r="K9" s="236"/>
      <x:c r="L9" s="236"/>
      <x:c r="M9" s="237" t="str">
        <x:f>IF(G9="","",SUM(AW9:AX9,BA9:DJ9))</x:f>
      </x:c>
      <x:c r="N9" s="236" t="str">
        <x:f>IF(G9="","",IF(COUNT(L9,M9)&lt;2,"",MAX(0,L9-M9)))</x:f>
      </x:c>
      <x:c r="O9" s="238" t="str">
        <x:f>IF($G9="","",IF(COUNTIF($DZ$4:$DZ$4,$G9)&lt;&gt;1,"",IF(COUNTIFS($DZ$4:$DZ$4,$G9,$EC$4:$EC$4,"&lt;&gt;")=0,"",VLOOKUP($G9,$DZ$4:$EL$4,4,FALSE))))</x:f>
      </x:c>
      <x:c r="P9" s="159"/>
      <x:c r="Q9" s="234"/>
      <x:c r="R9" s="234"/>
      <x:c r="S9" s="234"/>
      <x:c r="T9" s="20" t="str">
        <x:f>IF($G9="","",IF(COUNTIF($DZ$4:$DZ$4,$G9)&lt;&gt;1,"",IF(COUNTIFS($DZ$4:$DZ$4,$G9,$ED$4:$ED$4,"&lt;&gt;")=0,"",VLOOKUP($G9,$DZ$4:$EL$4,5,FALSE))))</x:f>
      </x:c>
      <x:c r="U9" s="159" t="str">
        <x:f>IF($G9="","",IF(COUNTIF($DZ$4:$DZ$4,$G9)&lt;&gt;1,"",IF(COUNTIFS($DZ$4:$DZ$4,$G9,$EE$4:$EE$4,"&lt;&gt;")=0,"",VLOOKUP($G9,$DZ$4:$EL$4,6,FALSE))))</x:f>
      </x:c>
      <x:c r="V9" s="11" t="str">
        <x:f>IF(COUNT(N9,T9)&lt;2,"",N9*T9/1000*(1+$EM$2))</x:f>
      </x:c>
      <x:c r="W9" s="134" t="str">
        <x:f>IF($G9="","",IF(COUNTIF($DZ$4:$DZ$4,$G9)&lt;&gt;1,"",IF(COUNTIFS($DZ$4:$DZ$4,$G9,$EF$4:$EF$4,"&lt;&gt;")=0,"",VLOOKUP($G9,$DZ$4:$EL$4,7,FALSE))))</x:f>
      </x:c>
      <x:c r="X9" s="36" t="str">
        <x:f>IF(COUNT(N9,W9)&lt;2,"",N9*W9)</x:f>
      </x:c>
      <x:c r="Y9" s="159"/>
      <x:c r="Z9" s="239"/>
      <x:c r="AA9" s="240"/>
      <x:c r="AB9" s="239"/>
      <x:c r="AC9" s="138" t="str">
        <x:f>IF($G9="","",IF(COUNTIF($DZ$4:$DZ$4,$G9)&lt;&gt;1,"",IF(COUNTIFS($DZ$4:$DZ$4,$G9,$EJ$4:$EJ$4,"&lt;&gt;")=0,"",VLOOKUP($G9,$DZ$4:$EL$4,11,FALSE))))</x:f>
      </x:c>
      <x:c r="AD9" s="138" t="str">
        <x:f>IF($G9="","",IF(COUNTIF($DZ$4:$DZ$4,$G9)&lt;&gt;1,"",IF(COUNTIFS($DZ$4:$DZ$4,$G9,$EK$4:$EK$4,"&lt;&gt;")=0,"",VLOOKUP($G9,$DZ$4:$EL$4,12,FALSE))))</x:f>
      </x:c>
      <x:c r="AE9" s="56" t="n">
        <x:f>IF(OR(G9="",A8&lt;&gt;"",B9&lt;&gt;B8),0,IF(G9=G8,IF(Q9=Q8,0,AD9),AC9+IF(Q9=Q8,0,AD9)))</x:f>
        <x:v>0</x:v>
      </x:c>
      <x:c r="AF9" s="70"/>
      <x:c r="AG9" s="239" t="str">
        <x:f>IF(OR(G9="",B9="",B9="填写机号",COUNT($I$2)=0,COUNT(O9)=0,O9&lt;=0),"",MAX($I$2,C8)+AE9)</x:f>
      </x:c>
      <x:c r="AH9" s="239" t="str">
        <x:f>IF(OR(COUNT(AG9,N9,O9)&lt;3,O9&lt;=0),"",AG9+N9/O9)</x:f>
      </x:c>
      <x:c r="AI9" s="142" t="str">
        <x:f>IF(COUNT(AH9)=0,"",YEAR(AH9)&amp;"/"&amp;MONTH(AH9))</x:f>
      </x:c>
      <x:c r="AJ9" s="239" t="str">
        <x:f>IF(COUNT(AH9)=0,"",AH9+$EM$1)</x:f>
      </x:c>
      <x:c r="AK9" s="48" t="str">
        <x:f>IF(COUNT(AB9,AJ9)&lt;2,"",AB9-AJ9)</x:f>
      </x:c>
      <x:c r="AL9" s="159"/>
      <x:c r="AM9" s="159" t="str">
        <x:f>IF(OR(COUNT(N9,O9)&lt;2,O9&lt;=0),"",N9/O9)</x:f>
      </x:c>
      <x:c r="AN9" s="159"/>
      <x:c r="AO9" s="159"/>
      <x:c r="AP9" s="159"/>
      <x:c r="AQ9" s="159"/>
      <x:c r="AR9" s="159"/>
      <x:c r="AS9" s="234"/>
      <x:c r="AT9" s="159"/>
      <x:c r="AU9" s="159" t="str">
        <x:f>IF($G9="","",IF(COUNTIF($DZ$4:$DZ$4,$G9)&lt;&gt;1,"",IF(COUNTIFS($DZ$4:$DZ$4,$G9,$EG$4:$EG$4,"&lt;&gt;")=0,"",VLOOKUP($G9,$DZ$4:$EL$4,8,FALSE))))</x:f>
      </x:c>
      <x:c r="AV9" s="159" t="str">
        <x:f>IF($G9="","",IF(COUNTIF($DZ$4:$DZ$4,$G9)&lt;&gt;1,"",IF(COUNTIFS($DZ$4:$DZ$4,$G9,$EH$4:$EH$4,"&lt;&gt;")=0,"",VLOOKUP($G9,$DZ$4:$EL$4,9,FALSE))))</x:f>
      </x:c>
      <x:c r="AW9" s="209"/>
      <x:c r="AX9" s="209"/>
      <x:c r="AY9" s="159"/>
      <x:c r="AZ9" s="159"/>
      <x:c r="BA9" s="159"/>
      <x:c r="BB9" s="159"/>
      <x:c r="BC9" s="159"/>
      <x:c r="BD9" s="159"/>
      <x:c r="BE9" s="159"/>
      <x:c r="BF9" s="159"/>
      <x:c r="BG9" s="159"/>
      <x:c r="BH9" s="159"/>
      <x:c r="BI9" s="159"/>
      <x:c r="BJ9" s="159"/>
      <x:c r="BK9" s="159"/>
      <x:c r="BL9" s="159"/>
      <x:c r="BM9" s="159"/>
      <x:c r="BN9" s="159"/>
      <x:c r="BO9" s="159"/>
      <x:c r="BP9" s="159"/>
      <x:c r="BQ9" s="159"/>
      <x:c r="BR9" s="159"/>
      <x:c r="BS9" s="159"/>
      <x:c r="BT9" s="159"/>
      <x:c r="BU9" s="159"/>
      <x:c r="BV9" s="159"/>
      <x:c r="BW9" s="159"/>
      <x:c r="BX9" s="159"/>
      <x:c r="BY9" s="159"/>
      <x:c r="BZ9" s="159"/>
      <x:c r="CA9" s="159"/>
      <x:c r="CB9" s="159"/>
      <x:c r="CC9" s="159"/>
      <x:c r="CD9" s="159"/>
      <x:c r="CE9" s="159"/>
      <x:c r="CF9" s="159"/>
      <x:c r="CG9" s="159"/>
      <x:c r="CH9" s="159"/>
      <x:c r="CI9" s="159"/>
      <x:c r="CJ9" s="159"/>
      <x:c r="CK9" s="159"/>
      <x:c r="CL9" s="159"/>
      <x:c r="CM9" s="159"/>
      <x:c r="CN9" s="159"/>
      <x:c r="CO9" s="159"/>
      <x:c r="CP9" s="159"/>
      <x:c r="CQ9" s="159"/>
      <x:c r="CR9" s="159"/>
      <x:c r="CS9" s="159"/>
      <x:c r="CT9" s="159"/>
      <x:c r="CU9" s="159"/>
      <x:c r="CV9" s="159"/>
      <x:c r="CW9" s="159"/>
      <x:c r="CX9" s="159"/>
      <x:c r="CY9" s="159"/>
      <x:c r="CZ9" s="159"/>
      <x:c r="DA9" s="159"/>
      <x:c r="DB9" s="159"/>
      <x:c r="DC9" s="159"/>
      <x:c r="DD9" s="159"/>
      <x:c r="DE9" s="159"/>
      <x:c r="DF9" s="159"/>
      <x:c r="DG9" s="159"/>
      <x:c r="DH9" s="159"/>
      <x:c r="DI9" s="159"/>
      <x:c r="DJ9" s="159"/>
    </x:row>
    <x:row r="10" ht="20" customHeight="1">
      <x:c r="A10" s="219" t="str">
        <x:v>填写机号</x:v>
      </x:c>
      <x:c r="B10" s="218" t="str">
        <x:f>A10</x:f>
        <x:v>填写机号</x:v>
      </x:c>
      <x:c r="C10" s="218" t="n">
        <x:v>0</x:v>
      </x:c>
      <x:c r="D10" s="218"/>
      <x:c r="E10" s="218"/>
      <x:c r="F10" s="218"/>
      <x:c r="G10" s="218" t="str">
        <x:f>IF(COUNTIF($EO$4:$EO$4,"M:"&amp;$A10)&lt;&gt;1,"",IF(VLOOKUP("M:"&amp;$A10,$EO$4:$EU$4,2,FALSE)="","",VLOOKUP("M:"&amp;$A10,$EO$4:$EU$4,2,FALSE)))</x:f>
      </x:c>
      <x:c r="H10" s="218" t="str">
        <x:f>IF(COUNTIF($EO$4:$EO$4,"M:"&amp;$A10)&lt;&gt;1,"",IF(VLOOKUP("M:"&amp;$A10,$EO$4:$EU$4,3,FALSE)="","",VLOOKUP("M:"&amp;$A10,$EO$4:$EU$4,3,FALSE)))</x:f>
      </x:c>
      <x:c r="I10" s="218" t="str">
        <x:f>IF(COUNTIF($EO$4:$EO$4,"M:"&amp;$A10)&lt;&gt;1,"",IF(VLOOKUP("M:"&amp;$A10,$EO$4:$EU$4,4,FALSE)="","",VLOOKUP("M:"&amp;$A10,$EO$4:$EU$4,4,FALSE)))</x:f>
      </x:c>
      <x:c r="J10" s="218" t="str">
        <x:f>IF(COUNTIF($EO$4:$EO$4,"M:"&amp;$A10)&lt;&gt;1,"",IF(VLOOKUP("M:"&amp;$A10,$EO$4:$EU$4,5,FALSE)="","",VLOOKUP("M:"&amp;$A10,$EO$4:$EU$4,5,FALSE)))</x:f>
      </x:c>
      <x:c r="K10" s="218"/>
      <x:c r="L10" s="218" t="str">
        <x:f>IF(COUNTIF($EO$4:$EO$4,"M:"&amp;$A10)&lt;&gt;1,"",IF(VLOOKUP("M:"&amp;$A10,$EO$4:$EU$4,6,FALSE)="","",VLOOKUP("M:"&amp;$A10,$EO$4:$EU$4,6,FALSE)))</x:f>
      </x:c>
      <x:c r="M10" s="218"/>
      <x:c r="N10" s="218"/>
      <x:c r="O10" s="218"/>
      <x:c r="P10" s="218"/>
      <x:c r="Q10" s="218" t="str">
        <x:f>IF(COUNTIF($EO$4:$EO$4,"M:"&amp;$A10)&lt;&gt;1,"",IF(VLOOKUP("M:"&amp;$A10,$EO$4:$EU$4,7,FALSE)="","",VLOOKUP("M:"&amp;$A10,$EO$4:$EU$4,7,FALSE)))</x:f>
      </x:c>
      <x:c r="R10" s="218"/>
      <x:c r="S10" s="218"/>
      <x:c r="T10" s="218"/>
      <x:c r="U10" s="218"/>
      <x:c r="V10" s="218"/>
      <x:c r="W10" s="218"/>
      <x:c r="X10" s="218"/>
      <x:c r="Y10" s="218"/>
      <x:c r="Z10" s="218"/>
      <x:c r="AA10" s="218"/>
      <x:c r="AB10" s="218"/>
      <x:c r="AC10" s="218"/>
      <x:c r="AD10" s="218"/>
      <x:c r="AE10" s="218"/>
      <x:c r="AF10" s="218"/>
      <x:c r="AG10" s="218"/>
      <x:c r="AH10" s="218"/>
      <x:c r="AI10" s="218"/>
      <x:c r="AJ10" s="218"/>
      <x:c r="AK10" s="218"/>
      <x:c r="AL10" s="218"/>
      <x:c r="AM10" s="218"/>
      <x:c r="AN10" s="218"/>
      <x:c r="AO10" s="218"/>
      <x:c r="AP10" s="218"/>
      <x:c r="AQ10" s="218"/>
      <x:c r="AR10" s="218"/>
      <x:c r="AS10" s="218"/>
      <x:c r="AT10" s="218"/>
      <x:c r="AU10" s="218"/>
      <x:c r="AV10" s="218"/>
      <x:c r="AW10" s="218"/>
      <x:c r="AX10" s="218"/>
      <x:c r="AY10" s="218"/>
      <x:c r="AZ10" s="218"/>
      <x:c r="BA10" s="218"/>
      <x:c r="BB10" s="218"/>
      <x:c r="BC10" s="218"/>
      <x:c r="BD10" s="218"/>
      <x:c r="BE10" s="218"/>
      <x:c r="BF10" s="218"/>
      <x:c r="BG10" s="218"/>
      <x:c r="BH10" s="218"/>
      <x:c r="BI10" s="218"/>
      <x:c r="BJ10" s="218"/>
      <x:c r="BK10" s="218"/>
      <x:c r="BL10" s="218"/>
      <x:c r="BM10" s="218"/>
      <x:c r="BN10" s="218"/>
      <x:c r="BO10" s="218"/>
      <x:c r="BP10" s="218"/>
      <x:c r="BQ10" s="218"/>
      <x:c r="BR10" s="218"/>
      <x:c r="BS10" s="218"/>
      <x:c r="BT10" s="218"/>
      <x:c r="BU10" s="218"/>
      <x:c r="BV10" s="218"/>
      <x:c r="BW10" s="218"/>
      <x:c r="BX10" s="218"/>
      <x:c r="BY10" s="218"/>
      <x:c r="BZ10" s="218"/>
      <x:c r="CA10" s="218"/>
      <x:c r="CB10" s="218"/>
      <x:c r="CC10" s="218"/>
      <x:c r="CD10" s="218"/>
      <x:c r="CE10" s="218"/>
      <x:c r="CF10" s="218"/>
      <x:c r="CG10" s="218"/>
      <x:c r="CH10" s="218"/>
      <x:c r="CI10" s="218"/>
      <x:c r="CJ10" s="218"/>
      <x:c r="CK10" s="218"/>
      <x:c r="CL10" s="218"/>
      <x:c r="CM10" s="218"/>
      <x:c r="CN10" s="218"/>
      <x:c r="CO10" s="218"/>
      <x:c r="CP10" s="218"/>
      <x:c r="CQ10" s="218"/>
      <x:c r="CR10" s="218"/>
      <x:c r="CS10" s="218"/>
      <x:c r="CT10" s="218"/>
      <x:c r="CU10" s="218"/>
      <x:c r="CV10" s="218"/>
      <x:c r="CW10" s="218"/>
      <x:c r="CX10" s="218"/>
      <x:c r="CY10" s="218"/>
      <x:c r="CZ10" s="218"/>
      <x:c r="DA10" s="218"/>
      <x:c r="DB10" s="218"/>
      <x:c r="DC10" s="218"/>
      <x:c r="DD10" s="218"/>
      <x:c r="DE10" s="218"/>
      <x:c r="DF10" s="218"/>
      <x:c r="DG10" s="218"/>
      <x:c r="DH10" s="218"/>
      <x:c r="DI10" s="218"/>
      <x:c r="DJ10" s="218"/>
    </x:row>
    <x:row r="11" ht="18" customHeight="1">
      <x:c r="A11" s="159"/>
      <x:c r="B11" s="20" t="str">
        <x:f>IF(A10="待排区","",IF(A10&lt;&gt;"",A10,B10))</x:f>
        <x:v>填写机号</x:v>
      </x:c>
      <x:c r="C11" s="20" t="n">
        <x:f>IF(COUNT(AH11)&gt;0,AH11,C10)</x:f>
        <x:v>0</x:v>
      </x:c>
      <x:c r="D11" s="20" t="str">
        <x:f>IF($G11="","",IF(COUNTIF($DZ$4:$DZ$4,$G11)&lt;&gt;1,"",IF(COUNTIFS($DZ$4:$DZ$4,$G11,$EI$4:$EI$4,"&lt;&gt;")=0,"",VLOOKUP($G11,$DZ$4:$EL$4,10,FALSE))))</x:f>
      </x:c>
      <x:c r="E11" s="235"/>
      <x:c r="F11" s="20" t="str">
        <x:f>IF($G11="","",IF(COUNTIF($DZ$4:$DZ$4,$G11)&lt;&gt;1,"",IF(COUNTIFS($DZ$4:$DZ$4,$G11,$EB$4:$EB$4,"&lt;&gt;")=0,"",VLOOKUP($G11,$DZ$4:$EL$4,3,FALSE))))</x:f>
      </x:c>
      <x:c r="G11" s="234"/>
      <x:c r="H11" s="20" t="str">
        <x:f>IF($G11="","",IF(COUNTIF($DZ$4:$DZ$4,$G11)&lt;&gt;1,"",IF(COUNTIFS($DZ$4:$DZ$4,$G11,$EA$4:$EA$4,"&lt;&gt;")=0,"",VLOOKUP($G11,$DZ$4:$EL$4,2,FALSE))))</x:f>
      </x:c>
      <x:c r="I11" s="234"/>
      <x:c r="J11" s="234"/>
      <x:c r="K11" s="236"/>
      <x:c r="L11" s="236"/>
      <x:c r="M11" s="237" t="str">
        <x:f>IF(G11="","",SUM(AW11:AX11,BA11:DJ11))</x:f>
      </x:c>
      <x:c r="N11" s="236" t="str">
        <x:f>IF(G11="","",IF(COUNT(L11,M11)&lt;2,"",MAX(0,L11-M11)))</x:f>
      </x:c>
      <x:c r="O11" s="238" t="str">
        <x:f>IF($G11="","",IF(COUNTIF($DZ$4:$DZ$4,$G11)&lt;&gt;1,"",IF(COUNTIFS($DZ$4:$DZ$4,$G11,$EC$4:$EC$4,"&lt;&gt;")=0,"",VLOOKUP($G11,$DZ$4:$EL$4,4,FALSE))))</x:f>
      </x:c>
      <x:c r="P11" s="159"/>
      <x:c r="Q11" s="234"/>
      <x:c r="R11" s="234"/>
      <x:c r="S11" s="234"/>
      <x:c r="T11" s="20" t="str">
        <x:f>IF($G11="","",IF(COUNTIF($DZ$4:$DZ$4,$G11)&lt;&gt;1,"",IF(COUNTIFS($DZ$4:$DZ$4,$G11,$ED$4:$ED$4,"&lt;&gt;")=0,"",VLOOKUP($G11,$DZ$4:$EL$4,5,FALSE))))</x:f>
      </x:c>
      <x:c r="U11" s="159" t="str">
        <x:f>IF($G11="","",IF(COUNTIF($DZ$4:$DZ$4,$G11)&lt;&gt;1,"",IF(COUNTIFS($DZ$4:$DZ$4,$G11,$EE$4:$EE$4,"&lt;&gt;")=0,"",VLOOKUP($G11,$DZ$4:$EL$4,6,FALSE))))</x:f>
      </x:c>
      <x:c r="V11" s="11" t="str">
        <x:f>IF(COUNT(N11,T11)&lt;2,"",N11*T11/1000*(1+$EM$2))</x:f>
      </x:c>
      <x:c r="W11" s="134" t="str">
        <x:f>IF($G11="","",IF(COUNTIF($DZ$4:$DZ$4,$G11)&lt;&gt;1,"",IF(COUNTIFS($DZ$4:$DZ$4,$G11,$EF$4:$EF$4,"&lt;&gt;")=0,"",VLOOKUP($G11,$DZ$4:$EL$4,7,FALSE))))</x:f>
      </x:c>
      <x:c r="X11" s="36" t="str">
        <x:f>IF(COUNT(N11,W11)&lt;2,"",N11*W11)</x:f>
      </x:c>
      <x:c r="Y11" s="159"/>
      <x:c r="Z11" s="239"/>
      <x:c r="AA11" s="240"/>
      <x:c r="AB11" s="239"/>
      <x:c r="AC11" s="138" t="str">
        <x:f>IF($G11="","",IF(COUNTIF($DZ$4:$DZ$4,$G11)&lt;&gt;1,"",IF(COUNTIFS($DZ$4:$DZ$4,$G11,$EJ$4:$EJ$4,"&lt;&gt;")=0,"",VLOOKUP($G11,$DZ$4:$EL$4,11,FALSE))))</x:f>
      </x:c>
      <x:c r="AD11" s="138" t="str">
        <x:f>IF($G11="","",IF(COUNTIF($DZ$4:$DZ$4,$G11)&lt;&gt;1,"",IF(COUNTIFS($DZ$4:$DZ$4,$G11,$EK$4:$EK$4,"&lt;&gt;")=0,"",VLOOKUP($G11,$DZ$4:$EL$4,12,FALSE))))</x:f>
      </x:c>
      <x:c r="AE11" s="56" t="n">
        <x:f>IF(OR(G11="",A10&lt;&gt;"",B11&lt;&gt;B10),0,IF(G11=G10,IF(Q11=Q10,0,AD11),AC11+IF(Q11=Q10,0,AD11)))</x:f>
        <x:v>0</x:v>
      </x:c>
      <x:c r="AF11" s="70"/>
      <x:c r="AG11" s="239" t="str">
        <x:f>IF(OR(G11="",B11="",B11="填写机号",COUNT($I$2)=0,COUNT(O11)=0,O11&lt;=0),"",MAX($I$2,C10)+AE11)</x:f>
      </x:c>
      <x:c r="AH11" s="239" t="str">
        <x:f>IF(OR(COUNT(AG11,N11,O11)&lt;3,O11&lt;=0),"",AG11+N11/O11)</x:f>
      </x:c>
      <x:c r="AI11" s="142" t="str">
        <x:f>IF(COUNT(AH11)=0,"",YEAR(AH11)&amp;"/"&amp;MONTH(AH11))</x:f>
      </x:c>
      <x:c r="AJ11" s="239" t="str">
        <x:f>IF(COUNT(AH11)=0,"",AH11+$EM$1)</x:f>
      </x:c>
      <x:c r="AK11" s="48" t="str">
        <x:f>IF(COUNT(AB11,AJ11)&lt;2,"",AB11-AJ11)</x:f>
      </x:c>
      <x:c r="AL11" s="159"/>
      <x:c r="AM11" s="159" t="str">
        <x:f>IF(OR(COUNT(N11,O11)&lt;2,O11&lt;=0),"",N11/O11)</x:f>
      </x:c>
      <x:c r="AN11" s="159"/>
      <x:c r="AO11" s="159"/>
      <x:c r="AP11" s="159"/>
      <x:c r="AQ11" s="159"/>
      <x:c r="AR11" s="159"/>
      <x:c r="AS11" s="234"/>
      <x:c r="AT11" s="159"/>
      <x:c r="AU11" s="159" t="str">
        <x:f>IF($G11="","",IF(COUNTIF($DZ$4:$DZ$4,$G11)&lt;&gt;1,"",IF(COUNTIFS($DZ$4:$DZ$4,$G11,$EG$4:$EG$4,"&lt;&gt;")=0,"",VLOOKUP($G11,$DZ$4:$EL$4,8,FALSE))))</x:f>
      </x:c>
      <x:c r="AV11" s="159" t="str">
        <x:f>IF($G11="","",IF(COUNTIF($DZ$4:$DZ$4,$G11)&lt;&gt;1,"",IF(COUNTIFS($DZ$4:$DZ$4,$G11,$EH$4:$EH$4,"&lt;&gt;")=0,"",VLOOKUP($G11,$DZ$4:$EL$4,9,FALSE))))</x:f>
      </x:c>
      <x:c r="AW11" s="209"/>
      <x:c r="AX11" s="209"/>
      <x:c r="AY11" s="159"/>
      <x:c r="AZ11" s="159"/>
      <x:c r="BA11" s="159"/>
      <x:c r="BB11" s="159"/>
      <x:c r="BC11" s="159"/>
      <x:c r="BD11" s="159"/>
      <x:c r="BE11" s="159"/>
      <x:c r="BF11" s="159"/>
      <x:c r="BG11" s="159"/>
      <x:c r="BH11" s="159"/>
      <x:c r="BI11" s="159"/>
      <x:c r="BJ11" s="159"/>
      <x:c r="BK11" s="159"/>
      <x:c r="BL11" s="159"/>
      <x:c r="BM11" s="159"/>
      <x:c r="BN11" s="159"/>
      <x:c r="BO11" s="159"/>
      <x:c r="BP11" s="159"/>
      <x:c r="BQ11" s="159"/>
      <x:c r="BR11" s="159"/>
      <x:c r="BS11" s="159"/>
      <x:c r="BT11" s="159"/>
      <x:c r="BU11" s="159"/>
      <x:c r="BV11" s="159"/>
      <x:c r="BW11" s="159"/>
      <x:c r="BX11" s="159"/>
      <x:c r="BY11" s="159"/>
      <x:c r="BZ11" s="159"/>
      <x:c r="CA11" s="159"/>
      <x:c r="CB11" s="159"/>
      <x:c r="CC11" s="159"/>
      <x:c r="CD11" s="159"/>
      <x:c r="CE11" s="159"/>
      <x:c r="CF11" s="159"/>
      <x:c r="CG11" s="159"/>
      <x:c r="CH11" s="159"/>
      <x:c r="CI11" s="159"/>
      <x:c r="CJ11" s="159"/>
      <x:c r="CK11" s="159"/>
      <x:c r="CL11" s="159"/>
      <x:c r="CM11" s="159"/>
      <x:c r="CN11" s="159"/>
      <x:c r="CO11" s="159"/>
      <x:c r="CP11" s="159"/>
      <x:c r="CQ11" s="159"/>
      <x:c r="CR11" s="159"/>
      <x:c r="CS11" s="159"/>
      <x:c r="CT11" s="159"/>
      <x:c r="CU11" s="159"/>
      <x:c r="CV11" s="159"/>
      <x:c r="CW11" s="159"/>
      <x:c r="CX11" s="159"/>
      <x:c r="CY11" s="159"/>
      <x:c r="CZ11" s="159"/>
      <x:c r="DA11" s="159"/>
      <x:c r="DB11" s="159"/>
      <x:c r="DC11" s="159"/>
      <x:c r="DD11" s="159"/>
      <x:c r="DE11" s="159"/>
      <x:c r="DF11" s="159"/>
      <x:c r="DG11" s="159"/>
      <x:c r="DH11" s="159"/>
      <x:c r="DI11" s="159"/>
      <x:c r="DJ11" s="159"/>
    </x:row>
    <x:row r="12" ht="18" customHeight="1">
      <x:c r="A12" s="159"/>
      <x:c r="B12" s="20" t="str">
        <x:f>IF(A11="待排区","",IF(A11&lt;&gt;"",A11,B11))</x:f>
        <x:v>填写机号</x:v>
      </x:c>
      <x:c r="C12" s="20" t="n">
        <x:f>IF(COUNT(AH12)&gt;0,AH12,C11)</x:f>
        <x:v>0</x:v>
      </x:c>
      <x:c r="D12" s="20" t="str">
        <x:f>IF($G12="","",IF(COUNTIF($DZ$4:$DZ$4,$G12)&lt;&gt;1,"",IF(COUNTIFS($DZ$4:$DZ$4,$G12,$EI$4:$EI$4,"&lt;&gt;")=0,"",VLOOKUP($G12,$DZ$4:$EL$4,10,FALSE))))</x:f>
      </x:c>
      <x:c r="E12" s="235"/>
      <x:c r="F12" s="20" t="str">
        <x:f>IF($G12="","",IF(COUNTIF($DZ$4:$DZ$4,$G12)&lt;&gt;1,"",IF(COUNTIFS($DZ$4:$DZ$4,$G12,$EB$4:$EB$4,"&lt;&gt;")=0,"",VLOOKUP($G12,$DZ$4:$EL$4,3,FALSE))))</x:f>
      </x:c>
      <x:c r="G12" s="234"/>
      <x:c r="H12" s="20" t="str">
        <x:f>IF($G12="","",IF(COUNTIF($DZ$4:$DZ$4,$G12)&lt;&gt;1,"",IF(COUNTIFS($DZ$4:$DZ$4,$G12,$EA$4:$EA$4,"&lt;&gt;")=0,"",VLOOKUP($G12,$DZ$4:$EL$4,2,FALSE))))</x:f>
      </x:c>
      <x:c r="I12" s="234"/>
      <x:c r="J12" s="234"/>
      <x:c r="K12" s="236"/>
      <x:c r="L12" s="236"/>
      <x:c r="M12" s="237" t="str">
        <x:f>IF(G12="","",SUM(AW12:AX12,BA12:DJ12))</x:f>
      </x:c>
      <x:c r="N12" s="236" t="str">
        <x:f>IF(G12="","",IF(COUNT(L12,M12)&lt;2,"",MAX(0,L12-M12)))</x:f>
      </x:c>
      <x:c r="O12" s="238" t="str">
        <x:f>IF($G12="","",IF(COUNTIF($DZ$4:$DZ$4,$G12)&lt;&gt;1,"",IF(COUNTIFS($DZ$4:$DZ$4,$G12,$EC$4:$EC$4,"&lt;&gt;")=0,"",VLOOKUP($G12,$DZ$4:$EL$4,4,FALSE))))</x:f>
      </x:c>
      <x:c r="P12" s="159"/>
      <x:c r="Q12" s="234"/>
      <x:c r="R12" s="234"/>
      <x:c r="S12" s="234"/>
      <x:c r="T12" s="20" t="str">
        <x:f>IF($G12="","",IF(COUNTIF($DZ$4:$DZ$4,$G12)&lt;&gt;1,"",IF(COUNTIFS($DZ$4:$DZ$4,$G12,$ED$4:$ED$4,"&lt;&gt;")=0,"",VLOOKUP($G12,$DZ$4:$EL$4,5,FALSE))))</x:f>
      </x:c>
      <x:c r="U12" s="159" t="str">
        <x:f>IF($G12="","",IF(COUNTIF($DZ$4:$DZ$4,$G12)&lt;&gt;1,"",IF(COUNTIFS($DZ$4:$DZ$4,$G12,$EE$4:$EE$4,"&lt;&gt;")=0,"",VLOOKUP($G12,$DZ$4:$EL$4,6,FALSE))))</x:f>
      </x:c>
      <x:c r="V12" s="11" t="str">
        <x:f>IF(COUNT(N12,T12)&lt;2,"",N12*T12/1000*(1+$EM$2))</x:f>
      </x:c>
      <x:c r="W12" s="134" t="str">
        <x:f>IF($G12="","",IF(COUNTIF($DZ$4:$DZ$4,$G12)&lt;&gt;1,"",IF(COUNTIFS($DZ$4:$DZ$4,$G12,$EF$4:$EF$4,"&lt;&gt;")=0,"",VLOOKUP($G12,$DZ$4:$EL$4,7,FALSE))))</x:f>
      </x:c>
      <x:c r="X12" s="36" t="str">
        <x:f>IF(COUNT(N12,W12)&lt;2,"",N12*W12)</x:f>
      </x:c>
      <x:c r="Y12" s="159"/>
      <x:c r="Z12" s="239"/>
      <x:c r="AA12" s="240"/>
      <x:c r="AB12" s="239"/>
      <x:c r="AC12" s="138" t="str">
        <x:f>IF($G12="","",IF(COUNTIF($DZ$4:$DZ$4,$G12)&lt;&gt;1,"",IF(COUNTIFS($DZ$4:$DZ$4,$G12,$EJ$4:$EJ$4,"&lt;&gt;")=0,"",VLOOKUP($G12,$DZ$4:$EL$4,11,FALSE))))</x:f>
      </x:c>
      <x:c r="AD12" s="138" t="str">
        <x:f>IF($G12="","",IF(COUNTIF($DZ$4:$DZ$4,$G12)&lt;&gt;1,"",IF(COUNTIFS($DZ$4:$DZ$4,$G12,$EK$4:$EK$4,"&lt;&gt;")=0,"",VLOOKUP($G12,$DZ$4:$EL$4,12,FALSE))))</x:f>
      </x:c>
      <x:c r="AE12" s="56" t="n">
        <x:f>IF(OR(G12="",A11&lt;&gt;"",B12&lt;&gt;B11),0,IF(G12=G11,IF(Q12=Q11,0,AD12),AC12+IF(Q12=Q11,0,AD12)))</x:f>
        <x:v>0</x:v>
      </x:c>
      <x:c r="AF12" s="70"/>
      <x:c r="AG12" s="239" t="str">
        <x:f>IF(OR(G12="",B12="",B12="填写机号",COUNT($I$2)=0,COUNT(O12)=0,O12&lt;=0),"",MAX($I$2,C11)+AE12)</x:f>
      </x:c>
      <x:c r="AH12" s="239" t="str">
        <x:f>IF(OR(COUNT(AG12,N12,O12)&lt;3,O12&lt;=0),"",AG12+N12/O12)</x:f>
      </x:c>
      <x:c r="AI12" s="142" t="str">
        <x:f>IF(COUNT(AH12)=0,"",YEAR(AH12)&amp;"/"&amp;MONTH(AH12))</x:f>
      </x:c>
      <x:c r="AJ12" s="239" t="str">
        <x:f>IF(COUNT(AH12)=0,"",AH12+$EM$1)</x:f>
      </x:c>
      <x:c r="AK12" s="48" t="str">
        <x:f>IF(COUNT(AB12,AJ12)&lt;2,"",AB12-AJ12)</x:f>
      </x:c>
      <x:c r="AL12" s="159"/>
      <x:c r="AM12" s="159" t="str">
        <x:f>IF(OR(COUNT(N12,O12)&lt;2,O12&lt;=0),"",N12/O12)</x:f>
      </x:c>
      <x:c r="AN12" s="159"/>
      <x:c r="AO12" s="159"/>
      <x:c r="AP12" s="159"/>
      <x:c r="AQ12" s="159"/>
      <x:c r="AR12" s="159"/>
      <x:c r="AS12" s="234"/>
      <x:c r="AT12" s="159"/>
      <x:c r="AU12" s="159" t="str">
        <x:f>IF($G12="","",IF(COUNTIF($DZ$4:$DZ$4,$G12)&lt;&gt;1,"",IF(COUNTIFS($DZ$4:$DZ$4,$G12,$EG$4:$EG$4,"&lt;&gt;")=0,"",VLOOKUP($G12,$DZ$4:$EL$4,8,FALSE))))</x:f>
      </x:c>
      <x:c r="AV12" s="159" t="str">
        <x:f>IF($G12="","",IF(COUNTIF($DZ$4:$DZ$4,$G12)&lt;&gt;1,"",IF(COUNTIFS($DZ$4:$DZ$4,$G12,$EH$4:$EH$4,"&lt;&gt;")=0,"",VLOOKUP($G12,$DZ$4:$EL$4,9,FALSE))))</x:f>
      </x:c>
      <x:c r="AW12" s="209"/>
      <x:c r="AX12" s="209"/>
      <x:c r="AY12" s="159"/>
      <x:c r="AZ12" s="159"/>
      <x:c r="BA12" s="159"/>
      <x:c r="BB12" s="159"/>
      <x:c r="BC12" s="159"/>
      <x:c r="BD12" s="159"/>
      <x:c r="BE12" s="159"/>
      <x:c r="BF12" s="159"/>
      <x:c r="BG12" s="159"/>
      <x:c r="BH12" s="159"/>
      <x:c r="BI12" s="159"/>
      <x:c r="BJ12" s="159"/>
      <x:c r="BK12" s="159"/>
      <x:c r="BL12" s="159"/>
      <x:c r="BM12" s="159"/>
      <x:c r="BN12" s="159"/>
      <x:c r="BO12" s="159"/>
      <x:c r="BP12" s="159"/>
      <x:c r="BQ12" s="159"/>
      <x:c r="BR12" s="159"/>
      <x:c r="BS12" s="159"/>
      <x:c r="BT12" s="159"/>
      <x:c r="BU12" s="159"/>
      <x:c r="BV12" s="159"/>
      <x:c r="BW12" s="159"/>
      <x:c r="BX12" s="159"/>
      <x:c r="BY12" s="159"/>
      <x:c r="BZ12" s="159"/>
      <x:c r="CA12" s="159"/>
      <x:c r="CB12" s="159"/>
      <x:c r="CC12" s="159"/>
      <x:c r="CD12" s="159"/>
      <x:c r="CE12" s="159"/>
      <x:c r="CF12" s="159"/>
      <x:c r="CG12" s="159"/>
      <x:c r="CH12" s="159"/>
      <x:c r="CI12" s="159"/>
      <x:c r="CJ12" s="159"/>
      <x:c r="CK12" s="159"/>
      <x:c r="CL12" s="159"/>
      <x:c r="CM12" s="159"/>
      <x:c r="CN12" s="159"/>
      <x:c r="CO12" s="159"/>
      <x:c r="CP12" s="159"/>
      <x:c r="CQ12" s="159"/>
      <x:c r="CR12" s="159"/>
      <x:c r="CS12" s="159"/>
      <x:c r="CT12" s="159"/>
      <x:c r="CU12" s="159"/>
      <x:c r="CV12" s="159"/>
      <x:c r="CW12" s="159"/>
      <x:c r="CX12" s="159"/>
      <x:c r="CY12" s="159"/>
      <x:c r="CZ12" s="159"/>
      <x:c r="DA12" s="159"/>
      <x:c r="DB12" s="159"/>
      <x:c r="DC12" s="159"/>
      <x:c r="DD12" s="159"/>
      <x:c r="DE12" s="159"/>
      <x:c r="DF12" s="159"/>
      <x:c r="DG12" s="159"/>
      <x:c r="DH12" s="159"/>
      <x:c r="DI12" s="159"/>
      <x:c r="DJ12" s="159"/>
    </x:row>
    <x:row r="13" ht="18" customHeight="1">
      <x:c r="A13" s="159"/>
      <x:c r="B13" s="20" t="str">
        <x:f>IF(A12="待排区","",IF(A12&lt;&gt;"",A12,B12))</x:f>
        <x:v>填写机号</x:v>
      </x:c>
      <x:c r="C13" s="20" t="n">
        <x:f>IF(COUNT(AH13)&gt;0,AH13,C12)</x:f>
        <x:v>0</x:v>
      </x:c>
      <x:c r="D13" s="20" t="str">
        <x:f>IF($G13="","",IF(COUNTIF($DZ$4:$DZ$4,$G13)&lt;&gt;1,"",IF(COUNTIFS($DZ$4:$DZ$4,$G13,$EI$4:$EI$4,"&lt;&gt;")=0,"",VLOOKUP($G13,$DZ$4:$EL$4,10,FALSE))))</x:f>
      </x:c>
      <x:c r="E13" s="235"/>
      <x:c r="F13" s="20" t="str">
        <x:f>IF($G13="","",IF(COUNTIF($DZ$4:$DZ$4,$G13)&lt;&gt;1,"",IF(COUNTIFS($DZ$4:$DZ$4,$G13,$EB$4:$EB$4,"&lt;&gt;")=0,"",VLOOKUP($G13,$DZ$4:$EL$4,3,FALSE))))</x:f>
      </x:c>
      <x:c r="G13" s="234"/>
      <x:c r="H13" s="20" t="str">
        <x:f>IF($G13="","",IF(COUNTIF($DZ$4:$DZ$4,$G13)&lt;&gt;1,"",IF(COUNTIFS($DZ$4:$DZ$4,$G13,$EA$4:$EA$4,"&lt;&gt;")=0,"",VLOOKUP($G13,$DZ$4:$EL$4,2,FALSE))))</x:f>
      </x:c>
      <x:c r="I13" s="234"/>
      <x:c r="J13" s="234"/>
      <x:c r="K13" s="236"/>
      <x:c r="L13" s="236"/>
      <x:c r="M13" s="237" t="str">
        <x:f>IF(G13="","",SUM(AW13:AX13,BA13:DJ13))</x:f>
      </x:c>
      <x:c r="N13" s="236" t="str">
        <x:f>IF(G13="","",IF(COUNT(L13,M13)&lt;2,"",MAX(0,L13-M13)))</x:f>
      </x:c>
      <x:c r="O13" s="238" t="str">
        <x:f>IF($G13="","",IF(COUNTIF($DZ$4:$DZ$4,$G13)&lt;&gt;1,"",IF(COUNTIFS($DZ$4:$DZ$4,$G13,$EC$4:$EC$4,"&lt;&gt;")=0,"",VLOOKUP($G13,$DZ$4:$EL$4,4,FALSE))))</x:f>
      </x:c>
      <x:c r="P13" s="159"/>
      <x:c r="Q13" s="234"/>
      <x:c r="R13" s="234"/>
      <x:c r="S13" s="234"/>
      <x:c r="T13" s="20" t="str">
        <x:f>IF($G13="","",IF(COUNTIF($DZ$4:$DZ$4,$G13)&lt;&gt;1,"",IF(COUNTIFS($DZ$4:$DZ$4,$G13,$ED$4:$ED$4,"&lt;&gt;")=0,"",VLOOKUP($G13,$DZ$4:$EL$4,5,FALSE))))</x:f>
      </x:c>
      <x:c r="U13" s="159" t="str">
        <x:f>IF($G13="","",IF(COUNTIF($DZ$4:$DZ$4,$G13)&lt;&gt;1,"",IF(COUNTIFS($DZ$4:$DZ$4,$G13,$EE$4:$EE$4,"&lt;&gt;")=0,"",VLOOKUP($G13,$DZ$4:$EL$4,6,FALSE))))</x:f>
      </x:c>
      <x:c r="V13" s="11" t="str">
        <x:f>IF(COUNT(N13,T13)&lt;2,"",N13*T13/1000*(1+$EM$2))</x:f>
      </x:c>
      <x:c r="W13" s="134" t="str">
        <x:f>IF($G13="","",IF(COUNTIF($DZ$4:$DZ$4,$G13)&lt;&gt;1,"",IF(COUNTIFS($DZ$4:$DZ$4,$G13,$EF$4:$EF$4,"&lt;&gt;")=0,"",VLOOKUP($G13,$DZ$4:$EL$4,7,FALSE))))</x:f>
      </x:c>
      <x:c r="X13" s="36" t="str">
        <x:f>IF(COUNT(N13,W13)&lt;2,"",N13*W13)</x:f>
      </x:c>
      <x:c r="Y13" s="159"/>
      <x:c r="Z13" s="239"/>
      <x:c r="AA13" s="240"/>
      <x:c r="AB13" s="239"/>
      <x:c r="AC13" s="138" t="str">
        <x:f>IF($G13="","",IF(COUNTIF($DZ$4:$DZ$4,$G13)&lt;&gt;1,"",IF(COUNTIFS($DZ$4:$DZ$4,$G13,$EJ$4:$EJ$4,"&lt;&gt;")=0,"",VLOOKUP($G13,$DZ$4:$EL$4,11,FALSE))))</x:f>
      </x:c>
      <x:c r="AD13" s="138" t="str">
        <x:f>IF($G13="","",IF(COUNTIF($DZ$4:$DZ$4,$G13)&lt;&gt;1,"",IF(COUNTIFS($DZ$4:$DZ$4,$G13,$EK$4:$EK$4,"&lt;&gt;")=0,"",VLOOKUP($G13,$DZ$4:$EL$4,12,FALSE))))</x:f>
      </x:c>
      <x:c r="AE13" s="56" t="n">
        <x:f>IF(OR(G13="",A12&lt;&gt;"",B13&lt;&gt;B12),0,IF(G13=G12,IF(Q13=Q12,0,AD13),AC13+IF(Q13=Q12,0,AD13)))</x:f>
        <x:v>0</x:v>
      </x:c>
      <x:c r="AF13" s="70"/>
      <x:c r="AG13" s="239" t="str">
        <x:f>IF(OR(G13="",B13="",B13="填写机号",COUNT($I$2)=0,COUNT(O13)=0,O13&lt;=0),"",MAX($I$2,C12)+AE13)</x:f>
      </x:c>
      <x:c r="AH13" s="239" t="str">
        <x:f>IF(OR(COUNT(AG13,N13,O13)&lt;3,O13&lt;=0),"",AG13+N13/O13)</x:f>
      </x:c>
      <x:c r="AI13" s="142" t="str">
        <x:f>IF(COUNT(AH13)=0,"",YEAR(AH13)&amp;"/"&amp;MONTH(AH13))</x:f>
      </x:c>
      <x:c r="AJ13" s="239" t="str">
        <x:f>IF(COUNT(AH13)=0,"",AH13+$EM$1)</x:f>
      </x:c>
      <x:c r="AK13" s="48" t="str">
        <x:f>IF(COUNT(AB13,AJ13)&lt;2,"",AB13-AJ13)</x:f>
      </x:c>
      <x:c r="AL13" s="159"/>
      <x:c r="AM13" s="159" t="str">
        <x:f>IF(OR(COUNT(N13,O13)&lt;2,O13&lt;=0),"",N13/O13)</x:f>
      </x:c>
      <x:c r="AN13" s="159"/>
      <x:c r="AO13" s="159"/>
      <x:c r="AP13" s="159"/>
      <x:c r="AQ13" s="159"/>
      <x:c r="AR13" s="159"/>
      <x:c r="AS13" s="234"/>
      <x:c r="AT13" s="159"/>
      <x:c r="AU13" s="159" t="str">
        <x:f>IF($G13="","",IF(COUNTIF($DZ$4:$DZ$4,$G13)&lt;&gt;1,"",IF(COUNTIFS($DZ$4:$DZ$4,$G13,$EG$4:$EG$4,"&lt;&gt;")=0,"",VLOOKUP($G13,$DZ$4:$EL$4,8,FALSE))))</x:f>
      </x:c>
      <x:c r="AV13" s="159" t="str">
        <x:f>IF($G13="","",IF(COUNTIF($DZ$4:$DZ$4,$G13)&lt;&gt;1,"",IF(COUNTIFS($DZ$4:$DZ$4,$G13,$EH$4:$EH$4,"&lt;&gt;")=0,"",VLOOKUP($G13,$DZ$4:$EL$4,9,FALSE))))</x:f>
      </x:c>
      <x:c r="AW13" s="209"/>
      <x:c r="AX13" s="209"/>
      <x:c r="AY13" s="159"/>
      <x:c r="AZ13" s="159"/>
      <x:c r="BA13" s="159"/>
      <x:c r="BB13" s="159"/>
      <x:c r="BC13" s="159"/>
      <x:c r="BD13" s="159"/>
      <x:c r="BE13" s="159"/>
      <x:c r="BF13" s="159"/>
      <x:c r="BG13" s="159"/>
      <x:c r="BH13" s="159"/>
      <x:c r="BI13" s="159"/>
      <x:c r="BJ13" s="159"/>
      <x:c r="BK13" s="159"/>
      <x:c r="BL13" s="159"/>
      <x:c r="BM13" s="159"/>
      <x:c r="BN13" s="159"/>
      <x:c r="BO13" s="159"/>
      <x:c r="BP13" s="159"/>
      <x:c r="BQ13" s="159"/>
      <x:c r="BR13" s="159"/>
      <x:c r="BS13" s="159"/>
      <x:c r="BT13" s="159"/>
      <x:c r="BU13" s="159"/>
      <x:c r="BV13" s="159"/>
      <x:c r="BW13" s="159"/>
      <x:c r="BX13" s="159"/>
      <x:c r="BY13" s="159"/>
      <x:c r="BZ13" s="159"/>
      <x:c r="CA13" s="159"/>
      <x:c r="CB13" s="159"/>
      <x:c r="CC13" s="159"/>
      <x:c r="CD13" s="159"/>
      <x:c r="CE13" s="159"/>
      <x:c r="CF13" s="159"/>
      <x:c r="CG13" s="159"/>
      <x:c r="CH13" s="159"/>
      <x:c r="CI13" s="159"/>
      <x:c r="CJ13" s="159"/>
      <x:c r="CK13" s="159"/>
      <x:c r="CL13" s="159"/>
      <x:c r="CM13" s="159"/>
      <x:c r="CN13" s="159"/>
      <x:c r="CO13" s="159"/>
      <x:c r="CP13" s="159"/>
      <x:c r="CQ13" s="159"/>
      <x:c r="CR13" s="159"/>
      <x:c r="CS13" s="159"/>
      <x:c r="CT13" s="159"/>
      <x:c r="CU13" s="159"/>
      <x:c r="CV13" s="159"/>
      <x:c r="CW13" s="159"/>
      <x:c r="CX13" s="159"/>
      <x:c r="CY13" s="159"/>
      <x:c r="CZ13" s="159"/>
      <x:c r="DA13" s="159"/>
      <x:c r="DB13" s="159"/>
      <x:c r="DC13" s="159"/>
      <x:c r="DD13" s="159"/>
      <x:c r="DE13" s="159"/>
      <x:c r="DF13" s="159"/>
      <x:c r="DG13" s="159"/>
      <x:c r="DH13" s="159"/>
      <x:c r="DI13" s="159"/>
      <x:c r="DJ13" s="159"/>
    </x:row>
    <x:row r="14" ht="18" customHeight="1">
      <x:c r="A14" s="159"/>
      <x:c r="B14" s="20" t="str">
        <x:f>IF(A13="待排区","",IF(A13&lt;&gt;"",A13,B13))</x:f>
        <x:v>填写机号</x:v>
      </x:c>
      <x:c r="C14" s="20" t="n">
        <x:f>IF(COUNT(AH14)&gt;0,AH14,C13)</x:f>
        <x:v>0</x:v>
      </x:c>
      <x:c r="D14" s="20" t="str">
        <x:f>IF($G14="","",IF(COUNTIF($DZ$4:$DZ$4,$G14)&lt;&gt;1,"",IF(COUNTIFS($DZ$4:$DZ$4,$G14,$EI$4:$EI$4,"&lt;&gt;")=0,"",VLOOKUP($G14,$DZ$4:$EL$4,10,FALSE))))</x:f>
      </x:c>
      <x:c r="E14" s="235"/>
      <x:c r="F14" s="20" t="str">
        <x:f>IF($G14="","",IF(COUNTIF($DZ$4:$DZ$4,$G14)&lt;&gt;1,"",IF(COUNTIFS($DZ$4:$DZ$4,$G14,$EB$4:$EB$4,"&lt;&gt;")=0,"",VLOOKUP($G14,$DZ$4:$EL$4,3,FALSE))))</x:f>
      </x:c>
      <x:c r="G14" s="234"/>
      <x:c r="H14" s="20" t="str">
        <x:f>IF($G14="","",IF(COUNTIF($DZ$4:$DZ$4,$G14)&lt;&gt;1,"",IF(COUNTIFS($DZ$4:$DZ$4,$G14,$EA$4:$EA$4,"&lt;&gt;")=0,"",VLOOKUP($G14,$DZ$4:$EL$4,2,FALSE))))</x:f>
      </x:c>
      <x:c r="I14" s="234"/>
      <x:c r="J14" s="234"/>
      <x:c r="K14" s="236"/>
      <x:c r="L14" s="236"/>
      <x:c r="M14" s="237" t="str">
        <x:f>IF(G14="","",SUM(AW14:AX14,BA14:DJ14))</x:f>
      </x:c>
      <x:c r="N14" s="236" t="str">
        <x:f>IF(G14="","",IF(COUNT(L14,M14)&lt;2,"",MAX(0,L14-M14)))</x:f>
      </x:c>
      <x:c r="O14" s="238" t="str">
        <x:f>IF($G14="","",IF(COUNTIF($DZ$4:$DZ$4,$G14)&lt;&gt;1,"",IF(COUNTIFS($DZ$4:$DZ$4,$G14,$EC$4:$EC$4,"&lt;&gt;")=0,"",VLOOKUP($G14,$DZ$4:$EL$4,4,FALSE))))</x:f>
      </x:c>
      <x:c r="P14" s="159"/>
      <x:c r="Q14" s="234"/>
      <x:c r="R14" s="234"/>
      <x:c r="S14" s="234"/>
      <x:c r="T14" s="20" t="str">
        <x:f>IF($G14="","",IF(COUNTIF($DZ$4:$DZ$4,$G14)&lt;&gt;1,"",IF(COUNTIFS($DZ$4:$DZ$4,$G14,$ED$4:$ED$4,"&lt;&gt;")=0,"",VLOOKUP($G14,$DZ$4:$EL$4,5,FALSE))))</x:f>
      </x:c>
      <x:c r="U14" s="159" t="str">
        <x:f>IF($G14="","",IF(COUNTIF($DZ$4:$DZ$4,$G14)&lt;&gt;1,"",IF(COUNTIFS($DZ$4:$DZ$4,$G14,$EE$4:$EE$4,"&lt;&gt;")=0,"",VLOOKUP($G14,$DZ$4:$EL$4,6,FALSE))))</x:f>
      </x:c>
      <x:c r="V14" s="11" t="str">
        <x:f>IF(COUNT(N14,T14)&lt;2,"",N14*T14/1000*(1+$EM$2))</x:f>
      </x:c>
      <x:c r="W14" s="134" t="str">
        <x:f>IF($G14="","",IF(COUNTIF($DZ$4:$DZ$4,$G14)&lt;&gt;1,"",IF(COUNTIFS($DZ$4:$DZ$4,$G14,$EF$4:$EF$4,"&lt;&gt;")=0,"",VLOOKUP($G14,$DZ$4:$EL$4,7,FALSE))))</x:f>
      </x:c>
      <x:c r="X14" s="36" t="str">
        <x:f>IF(COUNT(N14,W14)&lt;2,"",N14*W14)</x:f>
      </x:c>
      <x:c r="Y14" s="159"/>
      <x:c r="Z14" s="239"/>
      <x:c r="AA14" s="240"/>
      <x:c r="AB14" s="239"/>
      <x:c r="AC14" s="138" t="str">
        <x:f>IF($G14="","",IF(COUNTIF($DZ$4:$DZ$4,$G14)&lt;&gt;1,"",IF(COUNTIFS($DZ$4:$DZ$4,$G14,$EJ$4:$EJ$4,"&lt;&gt;")=0,"",VLOOKUP($G14,$DZ$4:$EL$4,11,FALSE))))</x:f>
      </x:c>
      <x:c r="AD14" s="138" t="str">
        <x:f>IF($G14="","",IF(COUNTIF($DZ$4:$DZ$4,$G14)&lt;&gt;1,"",IF(COUNTIFS($DZ$4:$DZ$4,$G14,$EK$4:$EK$4,"&lt;&gt;")=0,"",VLOOKUP($G14,$DZ$4:$EL$4,12,FALSE))))</x:f>
      </x:c>
      <x:c r="AE14" s="56" t="n">
        <x:f>IF(OR(G14="",A13&lt;&gt;"",B14&lt;&gt;B13),0,IF(G14=G13,IF(Q14=Q13,0,AD14),AC14+IF(Q14=Q13,0,AD14)))</x:f>
        <x:v>0</x:v>
      </x:c>
      <x:c r="AF14" s="70"/>
      <x:c r="AG14" s="239" t="str">
        <x:f>IF(OR(G14="",B14="",B14="填写机号",COUNT($I$2)=0,COUNT(O14)=0,O14&lt;=0),"",MAX($I$2,C13)+AE14)</x:f>
      </x:c>
      <x:c r="AH14" s="239" t="str">
        <x:f>IF(OR(COUNT(AG14,N14,O14)&lt;3,O14&lt;=0),"",AG14+N14/O14)</x:f>
      </x:c>
      <x:c r="AI14" s="142" t="str">
        <x:f>IF(COUNT(AH14)=0,"",YEAR(AH14)&amp;"/"&amp;MONTH(AH14))</x:f>
      </x:c>
      <x:c r="AJ14" s="239" t="str">
        <x:f>IF(COUNT(AH14)=0,"",AH14+$EM$1)</x:f>
      </x:c>
      <x:c r="AK14" s="48" t="str">
        <x:f>IF(COUNT(AB14,AJ14)&lt;2,"",AB14-AJ14)</x:f>
      </x:c>
      <x:c r="AL14" s="159"/>
      <x:c r="AM14" s="159" t="str">
        <x:f>IF(OR(COUNT(N14,O14)&lt;2,O14&lt;=0),"",N14/O14)</x:f>
      </x:c>
      <x:c r="AN14" s="159"/>
      <x:c r="AO14" s="159"/>
      <x:c r="AP14" s="159"/>
      <x:c r="AQ14" s="159"/>
      <x:c r="AR14" s="159"/>
      <x:c r="AS14" s="234"/>
      <x:c r="AT14" s="159"/>
      <x:c r="AU14" s="159" t="str">
        <x:f>IF($G14="","",IF(COUNTIF($DZ$4:$DZ$4,$G14)&lt;&gt;1,"",IF(COUNTIFS($DZ$4:$DZ$4,$G14,$EG$4:$EG$4,"&lt;&gt;")=0,"",VLOOKUP($G14,$DZ$4:$EL$4,8,FALSE))))</x:f>
      </x:c>
      <x:c r="AV14" s="159" t="str">
        <x:f>IF($G14="","",IF(COUNTIF($DZ$4:$DZ$4,$G14)&lt;&gt;1,"",IF(COUNTIFS($DZ$4:$DZ$4,$G14,$EH$4:$EH$4,"&lt;&gt;")=0,"",VLOOKUP($G14,$DZ$4:$EL$4,9,FALSE))))</x:f>
      </x:c>
      <x:c r="AW14" s="209"/>
      <x:c r="AX14" s="209"/>
      <x:c r="AY14" s="159"/>
      <x:c r="AZ14" s="159"/>
      <x:c r="BA14" s="159"/>
      <x:c r="BB14" s="159"/>
      <x:c r="BC14" s="159"/>
      <x:c r="BD14" s="159"/>
      <x:c r="BE14" s="159"/>
      <x:c r="BF14" s="159"/>
      <x:c r="BG14" s="159"/>
      <x:c r="BH14" s="159"/>
      <x:c r="BI14" s="159"/>
      <x:c r="BJ14" s="159"/>
      <x:c r="BK14" s="159"/>
      <x:c r="BL14" s="159"/>
      <x:c r="BM14" s="159"/>
      <x:c r="BN14" s="159"/>
      <x:c r="BO14" s="159"/>
      <x:c r="BP14" s="159"/>
      <x:c r="BQ14" s="159"/>
      <x:c r="BR14" s="159"/>
      <x:c r="BS14" s="159"/>
      <x:c r="BT14" s="159"/>
      <x:c r="BU14" s="159"/>
      <x:c r="BV14" s="159"/>
      <x:c r="BW14" s="159"/>
      <x:c r="BX14" s="159"/>
      <x:c r="BY14" s="159"/>
      <x:c r="BZ14" s="159"/>
      <x:c r="CA14" s="159"/>
      <x:c r="CB14" s="159"/>
      <x:c r="CC14" s="159"/>
      <x:c r="CD14" s="159"/>
      <x:c r="CE14" s="159"/>
      <x:c r="CF14" s="159"/>
      <x:c r="CG14" s="159"/>
      <x:c r="CH14" s="159"/>
      <x:c r="CI14" s="159"/>
      <x:c r="CJ14" s="159"/>
      <x:c r="CK14" s="159"/>
      <x:c r="CL14" s="159"/>
      <x:c r="CM14" s="159"/>
      <x:c r="CN14" s="159"/>
      <x:c r="CO14" s="159"/>
      <x:c r="CP14" s="159"/>
      <x:c r="CQ14" s="159"/>
      <x:c r="CR14" s="159"/>
      <x:c r="CS14" s="159"/>
      <x:c r="CT14" s="159"/>
      <x:c r="CU14" s="159"/>
      <x:c r="CV14" s="159"/>
      <x:c r="CW14" s="159"/>
      <x:c r="CX14" s="159"/>
      <x:c r="CY14" s="159"/>
      <x:c r="CZ14" s="159"/>
      <x:c r="DA14" s="159"/>
      <x:c r="DB14" s="159"/>
      <x:c r="DC14" s="159"/>
      <x:c r="DD14" s="159"/>
      <x:c r="DE14" s="159"/>
      <x:c r="DF14" s="159"/>
      <x:c r="DG14" s="159"/>
      <x:c r="DH14" s="159"/>
      <x:c r="DI14" s="159"/>
      <x:c r="DJ14" s="159"/>
    </x:row>
    <x:row r="15" ht="18" customHeight="1">
      <x:c r="A15" s="159"/>
      <x:c r="B15" s="20" t="str">
        <x:f>IF(A14="待排区","",IF(A14&lt;&gt;"",A14,B14))</x:f>
        <x:v>填写机号</x:v>
      </x:c>
      <x:c r="C15" s="20" t="n">
        <x:f>IF(COUNT(AH15)&gt;0,AH15,C14)</x:f>
        <x:v>0</x:v>
      </x:c>
      <x:c r="D15" s="20" t="str">
        <x:f>IF($G15="","",IF(COUNTIF($DZ$4:$DZ$4,$G15)&lt;&gt;1,"",IF(COUNTIFS($DZ$4:$DZ$4,$G15,$EI$4:$EI$4,"&lt;&gt;")=0,"",VLOOKUP($G15,$DZ$4:$EL$4,10,FALSE))))</x:f>
      </x:c>
      <x:c r="E15" s="235"/>
      <x:c r="F15" s="20" t="str">
        <x:f>IF($G15="","",IF(COUNTIF($DZ$4:$DZ$4,$G15)&lt;&gt;1,"",IF(COUNTIFS($DZ$4:$DZ$4,$G15,$EB$4:$EB$4,"&lt;&gt;")=0,"",VLOOKUP($G15,$DZ$4:$EL$4,3,FALSE))))</x:f>
      </x:c>
      <x:c r="G15" s="234"/>
      <x:c r="H15" s="20" t="str">
        <x:f>IF($G15="","",IF(COUNTIF($DZ$4:$DZ$4,$G15)&lt;&gt;1,"",IF(COUNTIFS($DZ$4:$DZ$4,$G15,$EA$4:$EA$4,"&lt;&gt;")=0,"",VLOOKUP($G15,$DZ$4:$EL$4,2,FALSE))))</x:f>
      </x:c>
      <x:c r="I15" s="234"/>
      <x:c r="J15" s="234"/>
      <x:c r="K15" s="236"/>
      <x:c r="L15" s="236"/>
      <x:c r="M15" s="237" t="str">
        <x:f>IF(G15="","",SUM(AW15:AX15,BA15:DJ15))</x:f>
      </x:c>
      <x:c r="N15" s="236" t="str">
        <x:f>IF(G15="","",IF(COUNT(L15,M15)&lt;2,"",MAX(0,L15-M15)))</x:f>
      </x:c>
      <x:c r="O15" s="238" t="str">
        <x:f>IF($G15="","",IF(COUNTIF($DZ$4:$DZ$4,$G15)&lt;&gt;1,"",IF(COUNTIFS($DZ$4:$DZ$4,$G15,$EC$4:$EC$4,"&lt;&gt;")=0,"",VLOOKUP($G15,$DZ$4:$EL$4,4,FALSE))))</x:f>
      </x:c>
      <x:c r="P15" s="159"/>
      <x:c r="Q15" s="234"/>
      <x:c r="R15" s="234"/>
      <x:c r="S15" s="234"/>
      <x:c r="T15" s="20" t="str">
        <x:f>IF($G15="","",IF(COUNTIF($DZ$4:$DZ$4,$G15)&lt;&gt;1,"",IF(COUNTIFS($DZ$4:$DZ$4,$G15,$ED$4:$ED$4,"&lt;&gt;")=0,"",VLOOKUP($G15,$DZ$4:$EL$4,5,FALSE))))</x:f>
      </x:c>
      <x:c r="U15" s="159" t="str">
        <x:f>IF($G15="","",IF(COUNTIF($DZ$4:$DZ$4,$G15)&lt;&gt;1,"",IF(COUNTIFS($DZ$4:$DZ$4,$G15,$EE$4:$EE$4,"&lt;&gt;")=0,"",VLOOKUP($G15,$DZ$4:$EL$4,6,FALSE))))</x:f>
      </x:c>
      <x:c r="V15" s="11" t="str">
        <x:f>IF(COUNT(N15,T15)&lt;2,"",N15*T15/1000*(1+$EM$2))</x:f>
      </x:c>
      <x:c r="W15" s="134" t="str">
        <x:f>IF($G15="","",IF(COUNTIF($DZ$4:$DZ$4,$G15)&lt;&gt;1,"",IF(COUNTIFS($DZ$4:$DZ$4,$G15,$EF$4:$EF$4,"&lt;&gt;")=0,"",VLOOKUP($G15,$DZ$4:$EL$4,7,FALSE))))</x:f>
      </x:c>
      <x:c r="X15" s="36" t="str">
        <x:f>IF(COUNT(N15,W15)&lt;2,"",N15*W15)</x:f>
      </x:c>
      <x:c r="Y15" s="159"/>
      <x:c r="Z15" s="239"/>
      <x:c r="AA15" s="240"/>
      <x:c r="AB15" s="239"/>
      <x:c r="AC15" s="138" t="str">
        <x:f>IF($G15="","",IF(COUNTIF($DZ$4:$DZ$4,$G15)&lt;&gt;1,"",IF(COUNTIFS($DZ$4:$DZ$4,$G15,$EJ$4:$EJ$4,"&lt;&gt;")=0,"",VLOOKUP($G15,$DZ$4:$EL$4,11,FALSE))))</x:f>
      </x:c>
      <x:c r="AD15" s="138" t="str">
        <x:f>IF($G15="","",IF(COUNTIF($DZ$4:$DZ$4,$G15)&lt;&gt;1,"",IF(COUNTIFS($DZ$4:$DZ$4,$G15,$EK$4:$EK$4,"&lt;&gt;")=0,"",VLOOKUP($G15,$DZ$4:$EL$4,12,FALSE))))</x:f>
      </x:c>
      <x:c r="AE15" s="56" t="n">
        <x:f>IF(OR(G15="",A14&lt;&gt;"",B15&lt;&gt;B14),0,IF(G15=G14,IF(Q15=Q14,0,AD15),AC15+IF(Q15=Q14,0,AD15)))</x:f>
        <x:v>0</x:v>
      </x:c>
      <x:c r="AF15" s="70"/>
      <x:c r="AG15" s="239" t="str">
        <x:f>IF(OR(G15="",B15="",B15="填写机号",COUNT($I$2)=0,COUNT(O15)=0,O15&lt;=0),"",MAX($I$2,C14)+AE15)</x:f>
      </x:c>
      <x:c r="AH15" s="239" t="str">
        <x:f>IF(OR(COUNT(AG15,N15,O15)&lt;3,O15&lt;=0),"",AG15+N15/O15)</x:f>
      </x:c>
      <x:c r="AI15" s="142" t="str">
        <x:f>IF(COUNT(AH15)=0,"",YEAR(AH15)&amp;"/"&amp;MONTH(AH15))</x:f>
      </x:c>
      <x:c r="AJ15" s="239" t="str">
        <x:f>IF(COUNT(AH15)=0,"",AH15+$EM$1)</x:f>
      </x:c>
      <x:c r="AK15" s="48" t="str">
        <x:f>IF(COUNT(AB15,AJ15)&lt;2,"",AB15-AJ15)</x:f>
      </x:c>
      <x:c r="AL15" s="159"/>
      <x:c r="AM15" s="159" t="str">
        <x:f>IF(OR(COUNT(N15,O15)&lt;2,O15&lt;=0),"",N15/O15)</x:f>
      </x:c>
      <x:c r="AN15" s="159"/>
      <x:c r="AO15" s="159"/>
      <x:c r="AP15" s="159"/>
      <x:c r="AQ15" s="159"/>
      <x:c r="AR15" s="159"/>
      <x:c r="AS15" s="234"/>
      <x:c r="AT15" s="159"/>
      <x:c r="AU15" s="159" t="str">
        <x:f>IF($G15="","",IF(COUNTIF($DZ$4:$DZ$4,$G15)&lt;&gt;1,"",IF(COUNTIFS($DZ$4:$DZ$4,$G15,$EG$4:$EG$4,"&lt;&gt;")=0,"",VLOOKUP($G15,$DZ$4:$EL$4,8,FALSE))))</x:f>
      </x:c>
      <x:c r="AV15" s="159" t="str">
        <x:f>IF($G15="","",IF(COUNTIF($DZ$4:$DZ$4,$G15)&lt;&gt;1,"",IF(COUNTIFS($DZ$4:$DZ$4,$G15,$EH$4:$EH$4,"&lt;&gt;")=0,"",VLOOKUP($G15,$DZ$4:$EL$4,9,FALSE))))</x:f>
      </x:c>
      <x:c r="AW15" s="209"/>
      <x:c r="AX15" s="209"/>
      <x:c r="AY15" s="159"/>
      <x:c r="AZ15" s="159"/>
      <x:c r="BA15" s="159"/>
      <x:c r="BB15" s="159"/>
      <x:c r="BC15" s="159"/>
      <x:c r="BD15" s="159"/>
      <x:c r="BE15" s="159"/>
      <x:c r="BF15" s="159"/>
      <x:c r="BG15" s="159"/>
      <x:c r="BH15" s="159"/>
      <x:c r="BI15" s="159"/>
      <x:c r="BJ15" s="159"/>
      <x:c r="BK15" s="159"/>
      <x:c r="BL15" s="159"/>
      <x:c r="BM15" s="159"/>
      <x:c r="BN15" s="159"/>
      <x:c r="BO15" s="159"/>
      <x:c r="BP15" s="159"/>
      <x:c r="BQ15" s="159"/>
      <x:c r="BR15" s="159"/>
      <x:c r="BS15" s="159"/>
      <x:c r="BT15" s="159"/>
      <x:c r="BU15" s="159"/>
      <x:c r="BV15" s="159"/>
      <x:c r="BW15" s="159"/>
      <x:c r="BX15" s="159"/>
      <x:c r="BY15" s="159"/>
      <x:c r="BZ15" s="159"/>
      <x:c r="CA15" s="159"/>
      <x:c r="CB15" s="159"/>
      <x:c r="CC15" s="159"/>
      <x:c r="CD15" s="159"/>
      <x:c r="CE15" s="159"/>
      <x:c r="CF15" s="159"/>
      <x:c r="CG15" s="159"/>
      <x:c r="CH15" s="159"/>
      <x:c r="CI15" s="159"/>
      <x:c r="CJ15" s="159"/>
      <x:c r="CK15" s="159"/>
      <x:c r="CL15" s="159"/>
      <x:c r="CM15" s="159"/>
      <x:c r="CN15" s="159"/>
      <x:c r="CO15" s="159"/>
      <x:c r="CP15" s="159"/>
      <x:c r="CQ15" s="159"/>
      <x:c r="CR15" s="159"/>
      <x:c r="CS15" s="159"/>
      <x:c r="CT15" s="159"/>
      <x:c r="CU15" s="159"/>
      <x:c r="CV15" s="159"/>
      <x:c r="CW15" s="159"/>
      <x:c r="CX15" s="159"/>
      <x:c r="CY15" s="159"/>
      <x:c r="CZ15" s="159"/>
      <x:c r="DA15" s="159"/>
      <x:c r="DB15" s="159"/>
      <x:c r="DC15" s="159"/>
      <x:c r="DD15" s="159"/>
      <x:c r="DE15" s="159"/>
      <x:c r="DF15" s="159"/>
      <x:c r="DG15" s="159"/>
      <x:c r="DH15" s="159"/>
      <x:c r="DI15" s="159"/>
      <x:c r="DJ15" s="159"/>
    </x:row>
    <x:row r="16" ht="20" customHeight="1">
      <x:c r="A16" s="219" t="str">
        <x:v>填写机号</x:v>
      </x:c>
      <x:c r="B16" s="218" t="str">
        <x:f>A16</x:f>
        <x:v>填写机号</x:v>
      </x:c>
      <x:c r="C16" s="218" t="n">
        <x:v>0</x:v>
      </x:c>
      <x:c r="D16" s="218"/>
      <x:c r="E16" s="218"/>
      <x:c r="F16" s="218"/>
      <x:c r="G16" s="218" t="str">
        <x:f>IF(COUNTIF($EO$4:$EO$4,"M:"&amp;$A16)&lt;&gt;1,"",IF(VLOOKUP("M:"&amp;$A16,$EO$4:$EU$4,2,FALSE)="","",VLOOKUP("M:"&amp;$A16,$EO$4:$EU$4,2,FALSE)))</x:f>
      </x:c>
      <x:c r="H16" s="218" t="str">
        <x:f>IF(COUNTIF($EO$4:$EO$4,"M:"&amp;$A16)&lt;&gt;1,"",IF(VLOOKUP("M:"&amp;$A16,$EO$4:$EU$4,3,FALSE)="","",VLOOKUP("M:"&amp;$A16,$EO$4:$EU$4,3,FALSE)))</x:f>
      </x:c>
      <x:c r="I16" s="218" t="str">
        <x:f>IF(COUNTIF($EO$4:$EO$4,"M:"&amp;$A16)&lt;&gt;1,"",IF(VLOOKUP("M:"&amp;$A16,$EO$4:$EU$4,4,FALSE)="","",VLOOKUP("M:"&amp;$A16,$EO$4:$EU$4,4,FALSE)))</x:f>
      </x:c>
      <x:c r="J16" s="218" t="str">
        <x:f>IF(COUNTIF($EO$4:$EO$4,"M:"&amp;$A16)&lt;&gt;1,"",IF(VLOOKUP("M:"&amp;$A16,$EO$4:$EU$4,5,FALSE)="","",VLOOKUP("M:"&amp;$A16,$EO$4:$EU$4,5,FALSE)))</x:f>
      </x:c>
      <x:c r="K16" s="218"/>
      <x:c r="L16" s="218" t="str">
        <x:f>IF(COUNTIF($EO$4:$EO$4,"M:"&amp;$A16)&lt;&gt;1,"",IF(VLOOKUP("M:"&amp;$A16,$EO$4:$EU$4,6,FALSE)="","",VLOOKUP("M:"&amp;$A16,$EO$4:$EU$4,6,FALSE)))</x:f>
      </x:c>
      <x:c r="M16" s="218"/>
      <x:c r="N16" s="218"/>
      <x:c r="O16" s="218"/>
      <x:c r="P16" s="218"/>
      <x:c r="Q16" s="218" t="str">
        <x:f>IF(COUNTIF($EO$4:$EO$4,"M:"&amp;$A16)&lt;&gt;1,"",IF(VLOOKUP("M:"&amp;$A16,$EO$4:$EU$4,7,FALSE)="","",VLOOKUP("M:"&amp;$A16,$EO$4:$EU$4,7,FALSE)))</x:f>
      </x:c>
      <x:c r="R16" s="218"/>
      <x:c r="S16" s="218"/>
      <x:c r="T16" s="218"/>
      <x:c r="U16" s="218"/>
      <x:c r="V16" s="218"/>
      <x:c r="W16" s="218"/>
      <x:c r="X16" s="218"/>
      <x:c r="Y16" s="218"/>
      <x:c r="Z16" s="218"/>
      <x:c r="AA16" s="218"/>
      <x:c r="AB16" s="218"/>
      <x:c r="AC16" s="218"/>
      <x:c r="AD16" s="218"/>
      <x:c r="AE16" s="218"/>
      <x:c r="AF16" s="218"/>
      <x:c r="AG16" s="218"/>
      <x:c r="AH16" s="218"/>
      <x:c r="AI16" s="218"/>
      <x:c r="AJ16" s="218"/>
      <x:c r="AK16" s="218"/>
      <x:c r="AL16" s="218"/>
      <x:c r="AM16" s="218"/>
      <x:c r="AN16" s="218"/>
      <x:c r="AO16" s="218"/>
      <x:c r="AP16" s="218"/>
      <x:c r="AQ16" s="218"/>
      <x:c r="AR16" s="218"/>
      <x:c r="AS16" s="218"/>
      <x:c r="AT16" s="218"/>
      <x:c r="AU16" s="218"/>
      <x:c r="AV16" s="218"/>
      <x:c r="AW16" s="218"/>
      <x:c r="AX16" s="218"/>
      <x:c r="AY16" s="218"/>
      <x:c r="AZ16" s="218"/>
      <x:c r="BA16" s="218"/>
      <x:c r="BB16" s="218"/>
      <x:c r="BC16" s="218"/>
      <x:c r="BD16" s="218"/>
      <x:c r="BE16" s="218"/>
      <x:c r="BF16" s="218"/>
      <x:c r="BG16" s="218"/>
      <x:c r="BH16" s="218"/>
      <x:c r="BI16" s="218"/>
      <x:c r="BJ16" s="218"/>
      <x:c r="BK16" s="218"/>
      <x:c r="BL16" s="218"/>
      <x:c r="BM16" s="218"/>
      <x:c r="BN16" s="218"/>
      <x:c r="BO16" s="218"/>
      <x:c r="BP16" s="218"/>
      <x:c r="BQ16" s="218"/>
      <x:c r="BR16" s="218"/>
      <x:c r="BS16" s="218"/>
      <x:c r="BT16" s="218"/>
      <x:c r="BU16" s="218"/>
      <x:c r="BV16" s="218"/>
      <x:c r="BW16" s="218"/>
      <x:c r="BX16" s="218"/>
      <x:c r="BY16" s="218"/>
      <x:c r="BZ16" s="218"/>
      <x:c r="CA16" s="218"/>
      <x:c r="CB16" s="218"/>
      <x:c r="CC16" s="218"/>
      <x:c r="CD16" s="218"/>
      <x:c r="CE16" s="218"/>
      <x:c r="CF16" s="218"/>
      <x:c r="CG16" s="218"/>
      <x:c r="CH16" s="218"/>
      <x:c r="CI16" s="218"/>
      <x:c r="CJ16" s="218"/>
      <x:c r="CK16" s="218"/>
      <x:c r="CL16" s="218"/>
      <x:c r="CM16" s="218"/>
      <x:c r="CN16" s="218"/>
      <x:c r="CO16" s="218"/>
      <x:c r="CP16" s="218"/>
      <x:c r="CQ16" s="218"/>
      <x:c r="CR16" s="218"/>
      <x:c r="CS16" s="218"/>
      <x:c r="CT16" s="218"/>
      <x:c r="CU16" s="218"/>
      <x:c r="CV16" s="218"/>
      <x:c r="CW16" s="218"/>
      <x:c r="CX16" s="218"/>
      <x:c r="CY16" s="218"/>
      <x:c r="CZ16" s="218"/>
      <x:c r="DA16" s="218"/>
      <x:c r="DB16" s="218"/>
      <x:c r="DC16" s="218"/>
      <x:c r="DD16" s="218"/>
      <x:c r="DE16" s="218"/>
      <x:c r="DF16" s="218"/>
      <x:c r="DG16" s="218"/>
      <x:c r="DH16" s="218"/>
      <x:c r="DI16" s="218"/>
      <x:c r="DJ16" s="218"/>
    </x:row>
    <x:row r="17" ht="18" customHeight="1">
      <x:c r="A17" s="159"/>
      <x:c r="B17" s="20" t="str">
        <x:f>IF(A16="待排区","",IF(A16&lt;&gt;"",A16,B16))</x:f>
        <x:v>填写机号</x:v>
      </x:c>
      <x:c r="C17" s="20" t="n">
        <x:f>IF(COUNT(AH17)&gt;0,AH17,C16)</x:f>
        <x:v>0</x:v>
      </x:c>
      <x:c r="D17" s="20" t="str">
        <x:f>IF($G17="","",IF(COUNTIF($DZ$4:$DZ$4,$G17)&lt;&gt;1,"",IF(COUNTIFS($DZ$4:$DZ$4,$G17,$EI$4:$EI$4,"&lt;&gt;")=0,"",VLOOKUP($G17,$DZ$4:$EL$4,10,FALSE))))</x:f>
      </x:c>
      <x:c r="E17" s="235"/>
      <x:c r="F17" s="20" t="str">
        <x:f>IF($G17="","",IF(COUNTIF($DZ$4:$DZ$4,$G17)&lt;&gt;1,"",IF(COUNTIFS($DZ$4:$DZ$4,$G17,$EB$4:$EB$4,"&lt;&gt;")=0,"",VLOOKUP($G17,$DZ$4:$EL$4,3,FALSE))))</x:f>
      </x:c>
      <x:c r="G17" s="234"/>
      <x:c r="H17" s="20" t="str">
        <x:f>IF($G17="","",IF(COUNTIF($DZ$4:$DZ$4,$G17)&lt;&gt;1,"",IF(COUNTIFS($DZ$4:$DZ$4,$G17,$EA$4:$EA$4,"&lt;&gt;")=0,"",VLOOKUP($G17,$DZ$4:$EL$4,2,FALSE))))</x:f>
      </x:c>
      <x:c r="I17" s="234"/>
      <x:c r="J17" s="234"/>
      <x:c r="K17" s="236"/>
      <x:c r="L17" s="236"/>
      <x:c r="M17" s="237" t="str">
        <x:f>IF(G17="","",SUM(AW17:AX17,BA17:DJ17))</x:f>
      </x:c>
      <x:c r="N17" s="236" t="str">
        <x:f>IF(G17="","",IF(COUNT(L17,M17)&lt;2,"",MAX(0,L17-M17)))</x:f>
      </x:c>
      <x:c r="O17" s="238" t="str">
        <x:f>IF($G17="","",IF(COUNTIF($DZ$4:$DZ$4,$G17)&lt;&gt;1,"",IF(COUNTIFS($DZ$4:$DZ$4,$G17,$EC$4:$EC$4,"&lt;&gt;")=0,"",VLOOKUP($G17,$DZ$4:$EL$4,4,FALSE))))</x:f>
      </x:c>
      <x:c r="P17" s="159"/>
      <x:c r="Q17" s="234"/>
      <x:c r="R17" s="234"/>
      <x:c r="S17" s="234"/>
      <x:c r="T17" s="20" t="str">
        <x:f>IF($G17="","",IF(COUNTIF($DZ$4:$DZ$4,$G17)&lt;&gt;1,"",IF(COUNTIFS($DZ$4:$DZ$4,$G17,$ED$4:$ED$4,"&lt;&gt;")=0,"",VLOOKUP($G17,$DZ$4:$EL$4,5,FALSE))))</x:f>
      </x:c>
      <x:c r="U17" s="159" t="str">
        <x:f>IF($G17="","",IF(COUNTIF($DZ$4:$DZ$4,$G17)&lt;&gt;1,"",IF(COUNTIFS($DZ$4:$DZ$4,$G17,$EE$4:$EE$4,"&lt;&gt;")=0,"",VLOOKUP($G17,$DZ$4:$EL$4,6,FALSE))))</x:f>
      </x:c>
      <x:c r="V17" s="11" t="str">
        <x:f>IF(COUNT(N17,T17)&lt;2,"",N17*T17/1000*(1+$EM$2))</x:f>
      </x:c>
      <x:c r="W17" s="134" t="str">
        <x:f>IF($G17="","",IF(COUNTIF($DZ$4:$DZ$4,$G17)&lt;&gt;1,"",IF(COUNTIFS($DZ$4:$DZ$4,$G17,$EF$4:$EF$4,"&lt;&gt;")=0,"",VLOOKUP($G17,$DZ$4:$EL$4,7,FALSE))))</x:f>
      </x:c>
      <x:c r="X17" s="36" t="str">
        <x:f>IF(COUNT(N17,W17)&lt;2,"",N17*W17)</x:f>
      </x:c>
      <x:c r="Y17" s="159"/>
      <x:c r="Z17" s="239"/>
      <x:c r="AA17" s="240"/>
      <x:c r="AB17" s="239"/>
      <x:c r="AC17" s="138" t="str">
        <x:f>IF($G17="","",IF(COUNTIF($DZ$4:$DZ$4,$G17)&lt;&gt;1,"",IF(COUNTIFS($DZ$4:$DZ$4,$G17,$EJ$4:$EJ$4,"&lt;&gt;")=0,"",VLOOKUP($G17,$DZ$4:$EL$4,11,FALSE))))</x:f>
      </x:c>
      <x:c r="AD17" s="138" t="str">
        <x:f>IF($G17="","",IF(COUNTIF($DZ$4:$DZ$4,$G17)&lt;&gt;1,"",IF(COUNTIFS($DZ$4:$DZ$4,$G17,$EK$4:$EK$4,"&lt;&gt;")=0,"",VLOOKUP($G17,$DZ$4:$EL$4,12,FALSE))))</x:f>
      </x:c>
      <x:c r="AE17" s="56" t="n">
        <x:f>IF(OR(G17="",A16&lt;&gt;"",B17&lt;&gt;B16),0,IF(G17=G16,IF(Q17=Q16,0,AD17),AC17+IF(Q17=Q16,0,AD17)))</x:f>
        <x:v>0</x:v>
      </x:c>
      <x:c r="AF17" s="70"/>
      <x:c r="AG17" s="239" t="str">
        <x:f>IF(OR(G17="",B17="",B17="填写机号",COUNT($I$2)=0,COUNT(O17)=0,O17&lt;=0),"",MAX($I$2,C16)+AE17)</x:f>
      </x:c>
      <x:c r="AH17" s="239" t="str">
        <x:f>IF(OR(COUNT(AG17,N17,O17)&lt;3,O17&lt;=0),"",AG17+N17/O17)</x:f>
      </x:c>
      <x:c r="AI17" s="142" t="str">
        <x:f>IF(COUNT(AH17)=0,"",YEAR(AH17)&amp;"/"&amp;MONTH(AH17))</x:f>
      </x:c>
      <x:c r="AJ17" s="239" t="str">
        <x:f>IF(COUNT(AH17)=0,"",AH17+$EM$1)</x:f>
      </x:c>
      <x:c r="AK17" s="48" t="str">
        <x:f>IF(COUNT(AB17,AJ17)&lt;2,"",AB17-AJ17)</x:f>
      </x:c>
      <x:c r="AL17" s="159"/>
      <x:c r="AM17" s="159" t="str">
        <x:f>IF(OR(COUNT(N17,O17)&lt;2,O17&lt;=0),"",N17/O17)</x:f>
      </x:c>
      <x:c r="AN17" s="159"/>
      <x:c r="AO17" s="159"/>
      <x:c r="AP17" s="159"/>
      <x:c r="AQ17" s="159"/>
      <x:c r="AR17" s="159"/>
      <x:c r="AS17" s="234"/>
      <x:c r="AT17" s="159"/>
      <x:c r="AU17" s="159" t="str">
        <x:f>IF($G17="","",IF(COUNTIF($DZ$4:$DZ$4,$G17)&lt;&gt;1,"",IF(COUNTIFS($DZ$4:$DZ$4,$G17,$EG$4:$EG$4,"&lt;&gt;")=0,"",VLOOKUP($G17,$DZ$4:$EL$4,8,FALSE))))</x:f>
      </x:c>
      <x:c r="AV17" s="159" t="str">
        <x:f>IF($G17="","",IF(COUNTIF($DZ$4:$DZ$4,$G17)&lt;&gt;1,"",IF(COUNTIFS($DZ$4:$DZ$4,$G17,$EH$4:$EH$4,"&lt;&gt;")=0,"",VLOOKUP($G17,$DZ$4:$EL$4,9,FALSE))))</x:f>
      </x:c>
      <x:c r="AW17" s="209"/>
      <x:c r="AX17" s="209"/>
      <x:c r="AY17" s="159"/>
      <x:c r="AZ17" s="159"/>
      <x:c r="BA17" s="159"/>
      <x:c r="BB17" s="159"/>
      <x:c r="BC17" s="159"/>
      <x:c r="BD17" s="159"/>
      <x:c r="BE17" s="159"/>
      <x:c r="BF17" s="159"/>
      <x:c r="BG17" s="159"/>
      <x:c r="BH17" s="159"/>
      <x:c r="BI17" s="159"/>
      <x:c r="BJ17" s="159"/>
      <x:c r="BK17" s="159"/>
      <x:c r="BL17" s="159"/>
      <x:c r="BM17" s="159"/>
      <x:c r="BN17" s="159"/>
      <x:c r="BO17" s="159"/>
      <x:c r="BP17" s="159"/>
      <x:c r="BQ17" s="159"/>
      <x:c r="BR17" s="159"/>
      <x:c r="BS17" s="159"/>
      <x:c r="BT17" s="159"/>
      <x:c r="BU17" s="159"/>
      <x:c r="BV17" s="159"/>
      <x:c r="BW17" s="159"/>
      <x:c r="BX17" s="159"/>
      <x:c r="BY17" s="159"/>
      <x:c r="BZ17" s="159"/>
      <x:c r="CA17" s="159"/>
      <x:c r="CB17" s="159"/>
      <x:c r="CC17" s="159"/>
      <x:c r="CD17" s="159"/>
      <x:c r="CE17" s="159"/>
      <x:c r="CF17" s="159"/>
      <x:c r="CG17" s="159"/>
      <x:c r="CH17" s="159"/>
      <x:c r="CI17" s="159"/>
      <x:c r="CJ17" s="159"/>
      <x:c r="CK17" s="159"/>
      <x:c r="CL17" s="159"/>
      <x:c r="CM17" s="159"/>
      <x:c r="CN17" s="159"/>
      <x:c r="CO17" s="159"/>
      <x:c r="CP17" s="159"/>
      <x:c r="CQ17" s="159"/>
      <x:c r="CR17" s="159"/>
      <x:c r="CS17" s="159"/>
      <x:c r="CT17" s="159"/>
      <x:c r="CU17" s="159"/>
      <x:c r="CV17" s="159"/>
      <x:c r="CW17" s="159"/>
      <x:c r="CX17" s="159"/>
      <x:c r="CY17" s="159"/>
      <x:c r="CZ17" s="159"/>
      <x:c r="DA17" s="159"/>
      <x:c r="DB17" s="159"/>
      <x:c r="DC17" s="159"/>
      <x:c r="DD17" s="159"/>
      <x:c r="DE17" s="159"/>
      <x:c r="DF17" s="159"/>
      <x:c r="DG17" s="159"/>
      <x:c r="DH17" s="159"/>
      <x:c r="DI17" s="159"/>
      <x:c r="DJ17" s="159"/>
    </x:row>
    <x:row r="18" ht="18" customHeight="1">
      <x:c r="A18" s="159"/>
      <x:c r="B18" s="20" t="str">
        <x:f>IF(A17="待排区","",IF(A17&lt;&gt;"",A17,B17))</x:f>
        <x:v>填写机号</x:v>
      </x:c>
      <x:c r="C18" s="20" t="n">
        <x:f>IF(COUNT(AH18)&gt;0,AH18,C17)</x:f>
        <x:v>0</x:v>
      </x:c>
      <x:c r="D18" s="20" t="str">
        <x:f>IF($G18="","",IF(COUNTIF($DZ$4:$DZ$4,$G18)&lt;&gt;1,"",IF(COUNTIFS($DZ$4:$DZ$4,$G18,$EI$4:$EI$4,"&lt;&gt;")=0,"",VLOOKUP($G18,$DZ$4:$EL$4,10,FALSE))))</x:f>
      </x:c>
      <x:c r="E18" s="235"/>
      <x:c r="F18" s="20" t="str">
        <x:f>IF($G18="","",IF(COUNTIF($DZ$4:$DZ$4,$G18)&lt;&gt;1,"",IF(COUNTIFS($DZ$4:$DZ$4,$G18,$EB$4:$EB$4,"&lt;&gt;")=0,"",VLOOKUP($G18,$DZ$4:$EL$4,3,FALSE))))</x:f>
      </x:c>
      <x:c r="G18" s="234"/>
      <x:c r="H18" s="20" t="str">
        <x:f>IF($G18="","",IF(COUNTIF($DZ$4:$DZ$4,$G18)&lt;&gt;1,"",IF(COUNTIFS($DZ$4:$DZ$4,$G18,$EA$4:$EA$4,"&lt;&gt;")=0,"",VLOOKUP($G18,$DZ$4:$EL$4,2,FALSE))))</x:f>
      </x:c>
      <x:c r="I18" s="234"/>
      <x:c r="J18" s="234"/>
      <x:c r="K18" s="236"/>
      <x:c r="L18" s="236"/>
      <x:c r="M18" s="237" t="str">
        <x:f>IF(G18="","",SUM(AW18:AX18,BA18:DJ18))</x:f>
      </x:c>
      <x:c r="N18" s="236" t="str">
        <x:f>IF(G18="","",IF(COUNT(L18,M18)&lt;2,"",MAX(0,L18-M18)))</x:f>
      </x:c>
      <x:c r="O18" s="238" t="str">
        <x:f>IF($G18="","",IF(COUNTIF($DZ$4:$DZ$4,$G18)&lt;&gt;1,"",IF(COUNTIFS($DZ$4:$DZ$4,$G18,$EC$4:$EC$4,"&lt;&gt;")=0,"",VLOOKUP($G18,$DZ$4:$EL$4,4,FALSE))))</x:f>
      </x:c>
      <x:c r="P18" s="159"/>
      <x:c r="Q18" s="234"/>
      <x:c r="R18" s="234"/>
      <x:c r="S18" s="234"/>
      <x:c r="T18" s="20" t="str">
        <x:f>IF($G18="","",IF(COUNTIF($DZ$4:$DZ$4,$G18)&lt;&gt;1,"",IF(COUNTIFS($DZ$4:$DZ$4,$G18,$ED$4:$ED$4,"&lt;&gt;")=0,"",VLOOKUP($G18,$DZ$4:$EL$4,5,FALSE))))</x:f>
      </x:c>
      <x:c r="U18" s="159" t="str">
        <x:f>IF($G18="","",IF(COUNTIF($DZ$4:$DZ$4,$G18)&lt;&gt;1,"",IF(COUNTIFS($DZ$4:$DZ$4,$G18,$EE$4:$EE$4,"&lt;&gt;")=0,"",VLOOKUP($G18,$DZ$4:$EL$4,6,FALSE))))</x:f>
      </x:c>
      <x:c r="V18" s="11" t="str">
        <x:f>IF(COUNT(N18,T18)&lt;2,"",N18*T18/1000*(1+$EM$2))</x:f>
      </x:c>
      <x:c r="W18" s="134" t="str">
        <x:f>IF($G18="","",IF(COUNTIF($DZ$4:$DZ$4,$G18)&lt;&gt;1,"",IF(COUNTIFS($DZ$4:$DZ$4,$G18,$EF$4:$EF$4,"&lt;&gt;")=0,"",VLOOKUP($G18,$DZ$4:$EL$4,7,FALSE))))</x:f>
      </x:c>
      <x:c r="X18" s="36" t="str">
        <x:f>IF(COUNT(N18,W18)&lt;2,"",N18*W18)</x:f>
      </x:c>
      <x:c r="Y18" s="159"/>
      <x:c r="Z18" s="239"/>
      <x:c r="AA18" s="240"/>
      <x:c r="AB18" s="239"/>
      <x:c r="AC18" s="138" t="str">
        <x:f>IF($G18="","",IF(COUNTIF($DZ$4:$DZ$4,$G18)&lt;&gt;1,"",IF(COUNTIFS($DZ$4:$DZ$4,$G18,$EJ$4:$EJ$4,"&lt;&gt;")=0,"",VLOOKUP($G18,$DZ$4:$EL$4,11,FALSE))))</x:f>
      </x:c>
      <x:c r="AD18" s="138" t="str">
        <x:f>IF($G18="","",IF(COUNTIF($DZ$4:$DZ$4,$G18)&lt;&gt;1,"",IF(COUNTIFS($DZ$4:$DZ$4,$G18,$EK$4:$EK$4,"&lt;&gt;")=0,"",VLOOKUP($G18,$DZ$4:$EL$4,12,FALSE))))</x:f>
      </x:c>
      <x:c r="AE18" s="56" t="n">
        <x:f>IF(OR(G18="",A17&lt;&gt;"",B18&lt;&gt;B17),0,IF(G18=G17,IF(Q18=Q17,0,AD18),AC18+IF(Q18=Q17,0,AD18)))</x:f>
        <x:v>0</x:v>
      </x:c>
      <x:c r="AF18" s="70"/>
      <x:c r="AG18" s="239" t="str">
        <x:f>IF(OR(G18="",B18="",B18="填写机号",COUNT($I$2)=0,COUNT(O18)=0,O18&lt;=0),"",MAX($I$2,C17)+AE18)</x:f>
      </x:c>
      <x:c r="AH18" s="239" t="str">
        <x:f>IF(OR(COUNT(AG18,N18,O18)&lt;3,O18&lt;=0),"",AG18+N18/O18)</x:f>
      </x:c>
      <x:c r="AI18" s="142" t="str">
        <x:f>IF(COUNT(AH18)=0,"",YEAR(AH18)&amp;"/"&amp;MONTH(AH18))</x:f>
      </x:c>
      <x:c r="AJ18" s="239" t="str">
        <x:f>IF(COUNT(AH18)=0,"",AH18+$EM$1)</x:f>
      </x:c>
      <x:c r="AK18" s="48" t="str">
        <x:f>IF(COUNT(AB18,AJ18)&lt;2,"",AB18-AJ18)</x:f>
      </x:c>
      <x:c r="AL18" s="159"/>
      <x:c r="AM18" s="159" t="str">
        <x:f>IF(OR(COUNT(N18,O18)&lt;2,O18&lt;=0),"",N18/O18)</x:f>
      </x:c>
      <x:c r="AN18" s="159"/>
      <x:c r="AO18" s="159"/>
      <x:c r="AP18" s="159"/>
      <x:c r="AQ18" s="159"/>
      <x:c r="AR18" s="159"/>
      <x:c r="AS18" s="234"/>
      <x:c r="AT18" s="159"/>
      <x:c r="AU18" s="159" t="str">
        <x:f>IF($G18="","",IF(COUNTIF($DZ$4:$DZ$4,$G18)&lt;&gt;1,"",IF(COUNTIFS($DZ$4:$DZ$4,$G18,$EG$4:$EG$4,"&lt;&gt;")=0,"",VLOOKUP($G18,$DZ$4:$EL$4,8,FALSE))))</x:f>
      </x:c>
      <x:c r="AV18" s="159" t="str">
        <x:f>IF($G18="","",IF(COUNTIF($DZ$4:$DZ$4,$G18)&lt;&gt;1,"",IF(COUNTIFS($DZ$4:$DZ$4,$G18,$EH$4:$EH$4,"&lt;&gt;")=0,"",VLOOKUP($G18,$DZ$4:$EL$4,9,FALSE))))</x:f>
      </x:c>
      <x:c r="AW18" s="209"/>
      <x:c r="AX18" s="209"/>
      <x:c r="AY18" s="159"/>
      <x:c r="AZ18" s="159"/>
      <x:c r="BA18" s="159"/>
      <x:c r="BB18" s="159"/>
      <x:c r="BC18" s="159"/>
      <x:c r="BD18" s="159"/>
      <x:c r="BE18" s="159"/>
      <x:c r="BF18" s="159"/>
      <x:c r="BG18" s="159"/>
      <x:c r="BH18" s="159"/>
      <x:c r="BI18" s="159"/>
      <x:c r="BJ18" s="159"/>
      <x:c r="BK18" s="159"/>
      <x:c r="BL18" s="159"/>
      <x:c r="BM18" s="159"/>
      <x:c r="BN18" s="159"/>
      <x:c r="BO18" s="159"/>
      <x:c r="BP18" s="159"/>
      <x:c r="BQ18" s="159"/>
      <x:c r="BR18" s="159"/>
      <x:c r="BS18" s="159"/>
      <x:c r="BT18" s="159"/>
      <x:c r="BU18" s="159"/>
      <x:c r="BV18" s="159"/>
      <x:c r="BW18" s="159"/>
      <x:c r="BX18" s="159"/>
      <x:c r="BY18" s="159"/>
      <x:c r="BZ18" s="159"/>
      <x:c r="CA18" s="159"/>
      <x:c r="CB18" s="159"/>
      <x:c r="CC18" s="159"/>
      <x:c r="CD18" s="159"/>
      <x:c r="CE18" s="159"/>
      <x:c r="CF18" s="159"/>
      <x:c r="CG18" s="159"/>
      <x:c r="CH18" s="159"/>
      <x:c r="CI18" s="159"/>
      <x:c r="CJ18" s="159"/>
      <x:c r="CK18" s="159"/>
      <x:c r="CL18" s="159"/>
      <x:c r="CM18" s="159"/>
      <x:c r="CN18" s="159"/>
      <x:c r="CO18" s="159"/>
      <x:c r="CP18" s="159"/>
      <x:c r="CQ18" s="159"/>
      <x:c r="CR18" s="159"/>
      <x:c r="CS18" s="159"/>
      <x:c r="CT18" s="159"/>
      <x:c r="CU18" s="159"/>
      <x:c r="CV18" s="159"/>
      <x:c r="CW18" s="159"/>
      <x:c r="CX18" s="159"/>
      <x:c r="CY18" s="159"/>
      <x:c r="CZ18" s="159"/>
      <x:c r="DA18" s="159"/>
      <x:c r="DB18" s="159"/>
      <x:c r="DC18" s="159"/>
      <x:c r="DD18" s="159"/>
      <x:c r="DE18" s="159"/>
      <x:c r="DF18" s="159"/>
      <x:c r="DG18" s="159"/>
      <x:c r="DH18" s="159"/>
      <x:c r="DI18" s="159"/>
      <x:c r="DJ18" s="159"/>
    </x:row>
    <x:row r="19" ht="18" customHeight="1">
      <x:c r="A19" s="159"/>
      <x:c r="B19" s="20" t="str">
        <x:f>IF(A18="待排区","",IF(A18&lt;&gt;"",A18,B18))</x:f>
        <x:v>填写机号</x:v>
      </x:c>
      <x:c r="C19" s="20" t="n">
        <x:f>IF(COUNT(AH19)&gt;0,AH19,C18)</x:f>
        <x:v>0</x:v>
      </x:c>
      <x:c r="D19" s="20" t="str">
        <x:f>IF($G19="","",IF(COUNTIF($DZ$4:$DZ$4,$G19)&lt;&gt;1,"",IF(COUNTIFS($DZ$4:$DZ$4,$G19,$EI$4:$EI$4,"&lt;&gt;")=0,"",VLOOKUP($G19,$DZ$4:$EL$4,10,FALSE))))</x:f>
      </x:c>
      <x:c r="E19" s="235"/>
      <x:c r="F19" s="20" t="str">
        <x:f>IF($G19="","",IF(COUNTIF($DZ$4:$DZ$4,$G19)&lt;&gt;1,"",IF(COUNTIFS($DZ$4:$DZ$4,$G19,$EB$4:$EB$4,"&lt;&gt;")=0,"",VLOOKUP($G19,$DZ$4:$EL$4,3,FALSE))))</x:f>
      </x:c>
      <x:c r="G19" s="234"/>
      <x:c r="H19" s="20" t="str">
        <x:f>IF($G19="","",IF(COUNTIF($DZ$4:$DZ$4,$G19)&lt;&gt;1,"",IF(COUNTIFS($DZ$4:$DZ$4,$G19,$EA$4:$EA$4,"&lt;&gt;")=0,"",VLOOKUP($G19,$DZ$4:$EL$4,2,FALSE))))</x:f>
      </x:c>
      <x:c r="I19" s="234"/>
      <x:c r="J19" s="234"/>
      <x:c r="K19" s="236"/>
      <x:c r="L19" s="236"/>
      <x:c r="M19" s="237" t="str">
        <x:f>IF(G19="","",SUM(AW19:AX19,BA19:DJ19))</x:f>
      </x:c>
      <x:c r="N19" s="236" t="str">
        <x:f>IF(G19="","",IF(COUNT(L19,M19)&lt;2,"",MAX(0,L19-M19)))</x:f>
      </x:c>
      <x:c r="O19" s="238" t="str">
        <x:f>IF($G19="","",IF(COUNTIF($DZ$4:$DZ$4,$G19)&lt;&gt;1,"",IF(COUNTIFS($DZ$4:$DZ$4,$G19,$EC$4:$EC$4,"&lt;&gt;")=0,"",VLOOKUP($G19,$DZ$4:$EL$4,4,FALSE))))</x:f>
      </x:c>
      <x:c r="P19" s="159"/>
      <x:c r="Q19" s="234"/>
      <x:c r="R19" s="234"/>
      <x:c r="S19" s="234"/>
      <x:c r="T19" s="20" t="str">
        <x:f>IF($G19="","",IF(COUNTIF($DZ$4:$DZ$4,$G19)&lt;&gt;1,"",IF(COUNTIFS($DZ$4:$DZ$4,$G19,$ED$4:$ED$4,"&lt;&gt;")=0,"",VLOOKUP($G19,$DZ$4:$EL$4,5,FALSE))))</x:f>
      </x:c>
      <x:c r="U19" s="159" t="str">
        <x:f>IF($G19="","",IF(COUNTIF($DZ$4:$DZ$4,$G19)&lt;&gt;1,"",IF(COUNTIFS($DZ$4:$DZ$4,$G19,$EE$4:$EE$4,"&lt;&gt;")=0,"",VLOOKUP($G19,$DZ$4:$EL$4,6,FALSE))))</x:f>
      </x:c>
      <x:c r="V19" s="11" t="str">
        <x:f>IF(COUNT(N19,T19)&lt;2,"",N19*T19/1000*(1+$EM$2))</x:f>
      </x:c>
      <x:c r="W19" s="134" t="str">
        <x:f>IF($G19="","",IF(COUNTIF($DZ$4:$DZ$4,$G19)&lt;&gt;1,"",IF(COUNTIFS($DZ$4:$DZ$4,$G19,$EF$4:$EF$4,"&lt;&gt;")=0,"",VLOOKUP($G19,$DZ$4:$EL$4,7,FALSE))))</x:f>
      </x:c>
      <x:c r="X19" s="36" t="str">
        <x:f>IF(COUNT(N19,W19)&lt;2,"",N19*W19)</x:f>
      </x:c>
      <x:c r="Y19" s="159"/>
      <x:c r="Z19" s="239"/>
      <x:c r="AA19" s="240"/>
      <x:c r="AB19" s="239"/>
      <x:c r="AC19" s="138" t="str">
        <x:f>IF($G19="","",IF(COUNTIF($DZ$4:$DZ$4,$G19)&lt;&gt;1,"",IF(COUNTIFS($DZ$4:$DZ$4,$G19,$EJ$4:$EJ$4,"&lt;&gt;")=0,"",VLOOKUP($G19,$DZ$4:$EL$4,11,FALSE))))</x:f>
      </x:c>
      <x:c r="AD19" s="138" t="str">
        <x:f>IF($G19="","",IF(COUNTIF($DZ$4:$DZ$4,$G19)&lt;&gt;1,"",IF(COUNTIFS($DZ$4:$DZ$4,$G19,$EK$4:$EK$4,"&lt;&gt;")=0,"",VLOOKUP($G19,$DZ$4:$EL$4,12,FALSE))))</x:f>
      </x:c>
      <x:c r="AE19" s="56" t="n">
        <x:f>IF(OR(G19="",A18&lt;&gt;"",B19&lt;&gt;B18),0,IF(G19=G18,IF(Q19=Q18,0,AD19),AC19+IF(Q19=Q18,0,AD19)))</x:f>
        <x:v>0</x:v>
      </x:c>
      <x:c r="AF19" s="70"/>
      <x:c r="AG19" s="239" t="str">
        <x:f>IF(OR(G19="",B19="",B19="填写机号",COUNT($I$2)=0,COUNT(O19)=0,O19&lt;=0),"",MAX($I$2,C18)+AE19)</x:f>
      </x:c>
      <x:c r="AH19" s="239" t="str">
        <x:f>IF(OR(COUNT(AG19,N19,O19)&lt;3,O19&lt;=0),"",AG19+N19/O19)</x:f>
      </x:c>
      <x:c r="AI19" s="142" t="str">
        <x:f>IF(COUNT(AH19)=0,"",YEAR(AH19)&amp;"/"&amp;MONTH(AH19))</x:f>
      </x:c>
      <x:c r="AJ19" s="239" t="str">
        <x:f>IF(COUNT(AH19)=0,"",AH19+$EM$1)</x:f>
      </x:c>
      <x:c r="AK19" s="48" t="str">
        <x:f>IF(COUNT(AB19,AJ19)&lt;2,"",AB19-AJ19)</x:f>
      </x:c>
      <x:c r="AL19" s="159"/>
      <x:c r="AM19" s="159" t="str">
        <x:f>IF(OR(COUNT(N19,O19)&lt;2,O19&lt;=0),"",N19/O19)</x:f>
      </x:c>
      <x:c r="AN19" s="159"/>
      <x:c r="AO19" s="159"/>
      <x:c r="AP19" s="159"/>
      <x:c r="AQ19" s="159"/>
      <x:c r="AR19" s="159"/>
      <x:c r="AS19" s="234"/>
      <x:c r="AT19" s="159"/>
      <x:c r="AU19" s="159" t="str">
        <x:f>IF($G19="","",IF(COUNTIF($DZ$4:$DZ$4,$G19)&lt;&gt;1,"",IF(COUNTIFS($DZ$4:$DZ$4,$G19,$EG$4:$EG$4,"&lt;&gt;")=0,"",VLOOKUP($G19,$DZ$4:$EL$4,8,FALSE))))</x:f>
      </x:c>
      <x:c r="AV19" s="159" t="str">
        <x:f>IF($G19="","",IF(COUNTIF($DZ$4:$DZ$4,$G19)&lt;&gt;1,"",IF(COUNTIFS($DZ$4:$DZ$4,$G19,$EH$4:$EH$4,"&lt;&gt;")=0,"",VLOOKUP($G19,$DZ$4:$EL$4,9,FALSE))))</x:f>
      </x:c>
      <x:c r="AW19" s="209"/>
      <x:c r="AX19" s="209"/>
      <x:c r="AY19" s="159"/>
      <x:c r="AZ19" s="159"/>
      <x:c r="BA19" s="159"/>
      <x:c r="BB19" s="159"/>
      <x:c r="BC19" s="159"/>
      <x:c r="BD19" s="159"/>
      <x:c r="BE19" s="159"/>
      <x:c r="BF19" s="159"/>
      <x:c r="BG19" s="159"/>
      <x:c r="BH19" s="159"/>
      <x:c r="BI19" s="159"/>
      <x:c r="BJ19" s="159"/>
      <x:c r="BK19" s="159"/>
      <x:c r="BL19" s="159"/>
      <x:c r="BM19" s="159"/>
      <x:c r="BN19" s="159"/>
      <x:c r="BO19" s="159"/>
      <x:c r="BP19" s="159"/>
      <x:c r="BQ19" s="159"/>
      <x:c r="BR19" s="159"/>
      <x:c r="BS19" s="159"/>
      <x:c r="BT19" s="159"/>
      <x:c r="BU19" s="159"/>
      <x:c r="BV19" s="159"/>
      <x:c r="BW19" s="159"/>
      <x:c r="BX19" s="159"/>
      <x:c r="BY19" s="159"/>
      <x:c r="BZ19" s="159"/>
      <x:c r="CA19" s="159"/>
      <x:c r="CB19" s="159"/>
      <x:c r="CC19" s="159"/>
      <x:c r="CD19" s="159"/>
      <x:c r="CE19" s="159"/>
      <x:c r="CF19" s="159"/>
      <x:c r="CG19" s="159"/>
      <x:c r="CH19" s="159"/>
      <x:c r="CI19" s="159"/>
      <x:c r="CJ19" s="159"/>
      <x:c r="CK19" s="159"/>
      <x:c r="CL19" s="159"/>
      <x:c r="CM19" s="159"/>
      <x:c r="CN19" s="159"/>
      <x:c r="CO19" s="159"/>
      <x:c r="CP19" s="159"/>
      <x:c r="CQ19" s="159"/>
      <x:c r="CR19" s="159"/>
      <x:c r="CS19" s="159"/>
      <x:c r="CT19" s="159"/>
      <x:c r="CU19" s="159"/>
      <x:c r="CV19" s="159"/>
      <x:c r="CW19" s="159"/>
      <x:c r="CX19" s="159"/>
      <x:c r="CY19" s="159"/>
      <x:c r="CZ19" s="159"/>
      <x:c r="DA19" s="159"/>
      <x:c r="DB19" s="159"/>
      <x:c r="DC19" s="159"/>
      <x:c r="DD19" s="159"/>
      <x:c r="DE19" s="159"/>
      <x:c r="DF19" s="159"/>
      <x:c r="DG19" s="159"/>
      <x:c r="DH19" s="159"/>
      <x:c r="DI19" s="159"/>
      <x:c r="DJ19" s="159"/>
    </x:row>
    <x:row r="20" ht="18" customHeight="1">
      <x:c r="A20" s="159"/>
      <x:c r="B20" s="20" t="str">
        <x:f>IF(A19="待排区","",IF(A19&lt;&gt;"",A19,B19))</x:f>
        <x:v>填写机号</x:v>
      </x:c>
      <x:c r="C20" s="20" t="n">
        <x:f>IF(COUNT(AH20)&gt;0,AH20,C19)</x:f>
        <x:v>0</x:v>
      </x:c>
      <x:c r="D20" s="20" t="str">
        <x:f>IF($G20="","",IF(COUNTIF($DZ$4:$DZ$4,$G20)&lt;&gt;1,"",IF(COUNTIFS($DZ$4:$DZ$4,$G20,$EI$4:$EI$4,"&lt;&gt;")=0,"",VLOOKUP($G20,$DZ$4:$EL$4,10,FALSE))))</x:f>
      </x:c>
      <x:c r="E20" s="235"/>
      <x:c r="F20" s="20" t="str">
        <x:f>IF($G20="","",IF(COUNTIF($DZ$4:$DZ$4,$G20)&lt;&gt;1,"",IF(COUNTIFS($DZ$4:$DZ$4,$G20,$EB$4:$EB$4,"&lt;&gt;")=0,"",VLOOKUP($G20,$DZ$4:$EL$4,3,FALSE))))</x:f>
      </x:c>
      <x:c r="G20" s="234"/>
      <x:c r="H20" s="20" t="str">
        <x:f>IF($G20="","",IF(COUNTIF($DZ$4:$DZ$4,$G20)&lt;&gt;1,"",IF(COUNTIFS($DZ$4:$DZ$4,$G20,$EA$4:$EA$4,"&lt;&gt;")=0,"",VLOOKUP($G20,$DZ$4:$EL$4,2,FALSE))))</x:f>
      </x:c>
      <x:c r="I20" s="234"/>
      <x:c r="J20" s="234"/>
      <x:c r="K20" s="236"/>
      <x:c r="L20" s="236"/>
      <x:c r="M20" s="237" t="str">
        <x:f>IF(G20="","",SUM(AW20:AX20,BA20:DJ20))</x:f>
      </x:c>
      <x:c r="N20" s="236" t="str">
        <x:f>IF(G20="","",IF(COUNT(L20,M20)&lt;2,"",MAX(0,L20-M20)))</x:f>
      </x:c>
      <x:c r="O20" s="238" t="str">
        <x:f>IF($G20="","",IF(COUNTIF($DZ$4:$DZ$4,$G20)&lt;&gt;1,"",IF(COUNTIFS($DZ$4:$DZ$4,$G20,$EC$4:$EC$4,"&lt;&gt;")=0,"",VLOOKUP($G20,$DZ$4:$EL$4,4,FALSE))))</x:f>
      </x:c>
      <x:c r="P20" s="159"/>
      <x:c r="Q20" s="234"/>
      <x:c r="R20" s="234"/>
      <x:c r="S20" s="234"/>
      <x:c r="T20" s="20" t="str">
        <x:f>IF($G20="","",IF(COUNTIF($DZ$4:$DZ$4,$G20)&lt;&gt;1,"",IF(COUNTIFS($DZ$4:$DZ$4,$G20,$ED$4:$ED$4,"&lt;&gt;")=0,"",VLOOKUP($G20,$DZ$4:$EL$4,5,FALSE))))</x:f>
      </x:c>
      <x:c r="U20" s="159" t="str">
        <x:f>IF($G20="","",IF(COUNTIF($DZ$4:$DZ$4,$G20)&lt;&gt;1,"",IF(COUNTIFS($DZ$4:$DZ$4,$G20,$EE$4:$EE$4,"&lt;&gt;")=0,"",VLOOKUP($G20,$DZ$4:$EL$4,6,FALSE))))</x:f>
      </x:c>
      <x:c r="V20" s="11" t="str">
        <x:f>IF(COUNT(N20,T20)&lt;2,"",N20*T20/1000*(1+$EM$2))</x:f>
      </x:c>
      <x:c r="W20" s="134" t="str">
        <x:f>IF($G20="","",IF(COUNTIF($DZ$4:$DZ$4,$G20)&lt;&gt;1,"",IF(COUNTIFS($DZ$4:$DZ$4,$G20,$EF$4:$EF$4,"&lt;&gt;")=0,"",VLOOKUP($G20,$DZ$4:$EL$4,7,FALSE))))</x:f>
      </x:c>
      <x:c r="X20" s="36" t="str">
        <x:f>IF(COUNT(N20,W20)&lt;2,"",N20*W20)</x:f>
      </x:c>
      <x:c r="Y20" s="159"/>
      <x:c r="Z20" s="239"/>
      <x:c r="AA20" s="240"/>
      <x:c r="AB20" s="239"/>
      <x:c r="AC20" s="138" t="str">
        <x:f>IF($G20="","",IF(COUNTIF($DZ$4:$DZ$4,$G20)&lt;&gt;1,"",IF(COUNTIFS($DZ$4:$DZ$4,$G20,$EJ$4:$EJ$4,"&lt;&gt;")=0,"",VLOOKUP($G20,$DZ$4:$EL$4,11,FALSE))))</x:f>
      </x:c>
      <x:c r="AD20" s="138" t="str">
        <x:f>IF($G20="","",IF(COUNTIF($DZ$4:$DZ$4,$G20)&lt;&gt;1,"",IF(COUNTIFS($DZ$4:$DZ$4,$G20,$EK$4:$EK$4,"&lt;&gt;")=0,"",VLOOKUP($G20,$DZ$4:$EL$4,12,FALSE))))</x:f>
      </x:c>
      <x:c r="AE20" s="56" t="n">
        <x:f>IF(OR(G20="",A19&lt;&gt;"",B20&lt;&gt;B19),0,IF(G20=G19,IF(Q20=Q19,0,AD20),AC20+IF(Q20=Q19,0,AD20)))</x:f>
        <x:v>0</x:v>
      </x:c>
      <x:c r="AF20" s="70"/>
      <x:c r="AG20" s="239" t="str">
        <x:f>IF(OR(G20="",B20="",B20="填写机号",COUNT($I$2)=0,COUNT(O20)=0,O20&lt;=0),"",MAX($I$2,C19)+AE20)</x:f>
      </x:c>
      <x:c r="AH20" s="239" t="str">
        <x:f>IF(OR(COUNT(AG20,N20,O20)&lt;3,O20&lt;=0),"",AG20+N20/O20)</x:f>
      </x:c>
      <x:c r="AI20" s="142" t="str">
        <x:f>IF(COUNT(AH20)=0,"",YEAR(AH20)&amp;"/"&amp;MONTH(AH20))</x:f>
      </x:c>
      <x:c r="AJ20" s="239" t="str">
        <x:f>IF(COUNT(AH20)=0,"",AH20+$EM$1)</x:f>
      </x:c>
      <x:c r="AK20" s="48" t="str">
        <x:f>IF(COUNT(AB20,AJ20)&lt;2,"",AB20-AJ20)</x:f>
      </x:c>
      <x:c r="AL20" s="159"/>
      <x:c r="AM20" s="159" t="str">
        <x:f>IF(OR(COUNT(N20,O20)&lt;2,O20&lt;=0),"",N20/O20)</x:f>
      </x:c>
      <x:c r="AN20" s="159"/>
      <x:c r="AO20" s="159"/>
      <x:c r="AP20" s="159"/>
      <x:c r="AQ20" s="159"/>
      <x:c r="AR20" s="159"/>
      <x:c r="AS20" s="234"/>
      <x:c r="AT20" s="159"/>
      <x:c r="AU20" s="159" t="str">
        <x:f>IF($G20="","",IF(COUNTIF($DZ$4:$DZ$4,$G20)&lt;&gt;1,"",IF(COUNTIFS($DZ$4:$DZ$4,$G20,$EG$4:$EG$4,"&lt;&gt;")=0,"",VLOOKUP($G20,$DZ$4:$EL$4,8,FALSE))))</x:f>
      </x:c>
      <x:c r="AV20" s="159" t="str">
        <x:f>IF($G20="","",IF(COUNTIF($DZ$4:$DZ$4,$G20)&lt;&gt;1,"",IF(COUNTIFS($DZ$4:$DZ$4,$G20,$EH$4:$EH$4,"&lt;&gt;")=0,"",VLOOKUP($G20,$DZ$4:$EL$4,9,FALSE))))</x:f>
      </x:c>
      <x:c r="AW20" s="209"/>
      <x:c r="AX20" s="209"/>
      <x:c r="AY20" s="159"/>
      <x:c r="AZ20" s="159"/>
      <x:c r="BA20" s="159"/>
      <x:c r="BB20" s="159"/>
      <x:c r="BC20" s="159"/>
      <x:c r="BD20" s="159"/>
      <x:c r="BE20" s="159"/>
      <x:c r="BF20" s="159"/>
      <x:c r="BG20" s="159"/>
      <x:c r="BH20" s="159"/>
      <x:c r="BI20" s="159"/>
      <x:c r="BJ20" s="159"/>
      <x:c r="BK20" s="159"/>
      <x:c r="BL20" s="159"/>
      <x:c r="BM20" s="159"/>
      <x:c r="BN20" s="159"/>
      <x:c r="BO20" s="159"/>
      <x:c r="BP20" s="159"/>
      <x:c r="BQ20" s="159"/>
      <x:c r="BR20" s="159"/>
      <x:c r="BS20" s="159"/>
      <x:c r="BT20" s="159"/>
      <x:c r="BU20" s="159"/>
      <x:c r="BV20" s="159"/>
      <x:c r="BW20" s="159"/>
      <x:c r="BX20" s="159"/>
      <x:c r="BY20" s="159"/>
      <x:c r="BZ20" s="159"/>
      <x:c r="CA20" s="159"/>
      <x:c r="CB20" s="159"/>
      <x:c r="CC20" s="159"/>
      <x:c r="CD20" s="159"/>
      <x:c r="CE20" s="159"/>
      <x:c r="CF20" s="159"/>
      <x:c r="CG20" s="159"/>
      <x:c r="CH20" s="159"/>
      <x:c r="CI20" s="159"/>
      <x:c r="CJ20" s="159"/>
      <x:c r="CK20" s="159"/>
      <x:c r="CL20" s="159"/>
      <x:c r="CM20" s="159"/>
      <x:c r="CN20" s="159"/>
      <x:c r="CO20" s="159"/>
      <x:c r="CP20" s="159"/>
      <x:c r="CQ20" s="159"/>
      <x:c r="CR20" s="159"/>
      <x:c r="CS20" s="159"/>
      <x:c r="CT20" s="159"/>
      <x:c r="CU20" s="159"/>
      <x:c r="CV20" s="159"/>
      <x:c r="CW20" s="159"/>
      <x:c r="CX20" s="159"/>
      <x:c r="CY20" s="159"/>
      <x:c r="CZ20" s="159"/>
      <x:c r="DA20" s="159"/>
      <x:c r="DB20" s="159"/>
      <x:c r="DC20" s="159"/>
      <x:c r="DD20" s="159"/>
      <x:c r="DE20" s="159"/>
      <x:c r="DF20" s="159"/>
      <x:c r="DG20" s="159"/>
      <x:c r="DH20" s="159"/>
      <x:c r="DI20" s="159"/>
      <x:c r="DJ20" s="159"/>
    </x:row>
    <x:row r="21" ht="18" customHeight="1">
      <x:c r="A21" s="159"/>
      <x:c r="B21" s="20" t="str">
        <x:f>IF(A20="待排区","",IF(A20&lt;&gt;"",A20,B20))</x:f>
        <x:v>填写机号</x:v>
      </x:c>
      <x:c r="C21" s="20" t="n">
        <x:f>IF(COUNT(AH21)&gt;0,AH21,C20)</x:f>
        <x:v>0</x:v>
      </x:c>
      <x:c r="D21" s="20" t="str">
        <x:f>IF($G21="","",IF(COUNTIF($DZ$4:$DZ$4,$G21)&lt;&gt;1,"",IF(COUNTIFS($DZ$4:$DZ$4,$G21,$EI$4:$EI$4,"&lt;&gt;")=0,"",VLOOKUP($G21,$DZ$4:$EL$4,10,FALSE))))</x:f>
      </x:c>
      <x:c r="E21" s="235"/>
      <x:c r="F21" s="20" t="str">
        <x:f>IF($G21="","",IF(COUNTIF($DZ$4:$DZ$4,$G21)&lt;&gt;1,"",IF(COUNTIFS($DZ$4:$DZ$4,$G21,$EB$4:$EB$4,"&lt;&gt;")=0,"",VLOOKUP($G21,$DZ$4:$EL$4,3,FALSE))))</x:f>
      </x:c>
      <x:c r="G21" s="234"/>
      <x:c r="H21" s="20" t="str">
        <x:f>IF($G21="","",IF(COUNTIF($DZ$4:$DZ$4,$G21)&lt;&gt;1,"",IF(COUNTIFS($DZ$4:$DZ$4,$G21,$EA$4:$EA$4,"&lt;&gt;")=0,"",VLOOKUP($G21,$DZ$4:$EL$4,2,FALSE))))</x:f>
      </x:c>
      <x:c r="I21" s="234"/>
      <x:c r="J21" s="234"/>
      <x:c r="K21" s="236"/>
      <x:c r="L21" s="236"/>
      <x:c r="M21" s="237" t="str">
        <x:f>IF(G21="","",SUM(AW21:AX21,BA21:DJ21))</x:f>
      </x:c>
      <x:c r="N21" s="236" t="str">
        <x:f>IF(G21="","",IF(COUNT(L21,M21)&lt;2,"",MAX(0,L21-M21)))</x:f>
      </x:c>
      <x:c r="O21" s="238" t="str">
        <x:f>IF($G21="","",IF(COUNTIF($DZ$4:$DZ$4,$G21)&lt;&gt;1,"",IF(COUNTIFS($DZ$4:$DZ$4,$G21,$EC$4:$EC$4,"&lt;&gt;")=0,"",VLOOKUP($G21,$DZ$4:$EL$4,4,FALSE))))</x:f>
      </x:c>
      <x:c r="P21" s="159"/>
      <x:c r="Q21" s="234"/>
      <x:c r="R21" s="234"/>
      <x:c r="S21" s="234"/>
      <x:c r="T21" s="20" t="str">
        <x:f>IF($G21="","",IF(COUNTIF($DZ$4:$DZ$4,$G21)&lt;&gt;1,"",IF(COUNTIFS($DZ$4:$DZ$4,$G21,$ED$4:$ED$4,"&lt;&gt;")=0,"",VLOOKUP($G21,$DZ$4:$EL$4,5,FALSE))))</x:f>
      </x:c>
      <x:c r="U21" s="159" t="str">
        <x:f>IF($G21="","",IF(COUNTIF($DZ$4:$DZ$4,$G21)&lt;&gt;1,"",IF(COUNTIFS($DZ$4:$DZ$4,$G21,$EE$4:$EE$4,"&lt;&gt;")=0,"",VLOOKUP($G21,$DZ$4:$EL$4,6,FALSE))))</x:f>
      </x:c>
      <x:c r="V21" s="11" t="str">
        <x:f>IF(COUNT(N21,T21)&lt;2,"",N21*T21/1000*(1+$EM$2))</x:f>
      </x:c>
      <x:c r="W21" s="134" t="str">
        <x:f>IF($G21="","",IF(COUNTIF($DZ$4:$DZ$4,$G21)&lt;&gt;1,"",IF(COUNTIFS($DZ$4:$DZ$4,$G21,$EF$4:$EF$4,"&lt;&gt;")=0,"",VLOOKUP($G21,$DZ$4:$EL$4,7,FALSE))))</x:f>
      </x:c>
      <x:c r="X21" s="36" t="str">
        <x:f>IF(COUNT(N21,W21)&lt;2,"",N21*W21)</x:f>
      </x:c>
      <x:c r="Y21" s="159"/>
      <x:c r="Z21" s="239"/>
      <x:c r="AA21" s="240"/>
      <x:c r="AB21" s="239"/>
      <x:c r="AC21" s="138" t="str">
        <x:f>IF($G21="","",IF(COUNTIF($DZ$4:$DZ$4,$G21)&lt;&gt;1,"",IF(COUNTIFS($DZ$4:$DZ$4,$G21,$EJ$4:$EJ$4,"&lt;&gt;")=0,"",VLOOKUP($G21,$DZ$4:$EL$4,11,FALSE))))</x:f>
      </x:c>
      <x:c r="AD21" s="138" t="str">
        <x:f>IF($G21="","",IF(COUNTIF($DZ$4:$DZ$4,$G21)&lt;&gt;1,"",IF(COUNTIFS($DZ$4:$DZ$4,$G21,$EK$4:$EK$4,"&lt;&gt;")=0,"",VLOOKUP($G21,$DZ$4:$EL$4,12,FALSE))))</x:f>
      </x:c>
      <x:c r="AE21" s="56" t="n">
        <x:f>IF(OR(G21="",A20&lt;&gt;"",B21&lt;&gt;B20),0,IF(G21=G20,IF(Q21=Q20,0,AD21),AC21+IF(Q21=Q20,0,AD21)))</x:f>
        <x:v>0</x:v>
      </x:c>
      <x:c r="AF21" s="70"/>
      <x:c r="AG21" s="239" t="str">
        <x:f>IF(OR(G21="",B21="",B21="填写机号",COUNT($I$2)=0,COUNT(O21)=0,O21&lt;=0),"",MAX($I$2,C20)+AE21)</x:f>
      </x:c>
      <x:c r="AH21" s="239" t="str">
        <x:f>IF(OR(COUNT(AG21,N21,O21)&lt;3,O21&lt;=0),"",AG21+N21/O21)</x:f>
      </x:c>
      <x:c r="AI21" s="142" t="str">
        <x:f>IF(COUNT(AH21)=0,"",YEAR(AH21)&amp;"/"&amp;MONTH(AH21))</x:f>
      </x:c>
      <x:c r="AJ21" s="239" t="str">
        <x:f>IF(COUNT(AH21)=0,"",AH21+$EM$1)</x:f>
      </x:c>
      <x:c r="AK21" s="48" t="str">
        <x:f>IF(COUNT(AB21,AJ21)&lt;2,"",AB21-AJ21)</x:f>
      </x:c>
      <x:c r="AL21" s="159"/>
      <x:c r="AM21" s="159" t="str">
        <x:f>IF(OR(COUNT(N21,O21)&lt;2,O21&lt;=0),"",N21/O21)</x:f>
      </x:c>
      <x:c r="AN21" s="159"/>
      <x:c r="AO21" s="159"/>
      <x:c r="AP21" s="159"/>
      <x:c r="AQ21" s="159"/>
      <x:c r="AR21" s="159"/>
      <x:c r="AS21" s="234"/>
      <x:c r="AT21" s="159"/>
      <x:c r="AU21" s="159" t="str">
        <x:f>IF($G21="","",IF(COUNTIF($DZ$4:$DZ$4,$G21)&lt;&gt;1,"",IF(COUNTIFS($DZ$4:$DZ$4,$G21,$EG$4:$EG$4,"&lt;&gt;")=0,"",VLOOKUP($G21,$DZ$4:$EL$4,8,FALSE))))</x:f>
      </x:c>
      <x:c r="AV21" s="159" t="str">
        <x:f>IF($G21="","",IF(COUNTIF($DZ$4:$DZ$4,$G21)&lt;&gt;1,"",IF(COUNTIFS($DZ$4:$DZ$4,$G21,$EH$4:$EH$4,"&lt;&gt;")=0,"",VLOOKUP($G21,$DZ$4:$EL$4,9,FALSE))))</x:f>
      </x:c>
      <x:c r="AW21" s="209"/>
      <x:c r="AX21" s="209"/>
      <x:c r="AY21" s="159"/>
      <x:c r="AZ21" s="159"/>
      <x:c r="BA21" s="159"/>
      <x:c r="BB21" s="159"/>
      <x:c r="BC21" s="159"/>
      <x:c r="BD21" s="159"/>
      <x:c r="BE21" s="159"/>
      <x:c r="BF21" s="159"/>
      <x:c r="BG21" s="159"/>
      <x:c r="BH21" s="159"/>
      <x:c r="BI21" s="159"/>
      <x:c r="BJ21" s="159"/>
      <x:c r="BK21" s="159"/>
      <x:c r="BL21" s="159"/>
      <x:c r="BM21" s="159"/>
      <x:c r="BN21" s="159"/>
      <x:c r="BO21" s="159"/>
      <x:c r="BP21" s="159"/>
      <x:c r="BQ21" s="159"/>
      <x:c r="BR21" s="159"/>
      <x:c r="BS21" s="159"/>
      <x:c r="BT21" s="159"/>
      <x:c r="BU21" s="159"/>
      <x:c r="BV21" s="159"/>
      <x:c r="BW21" s="159"/>
      <x:c r="BX21" s="159"/>
      <x:c r="BY21" s="159"/>
      <x:c r="BZ21" s="159"/>
      <x:c r="CA21" s="159"/>
      <x:c r="CB21" s="159"/>
      <x:c r="CC21" s="159"/>
      <x:c r="CD21" s="159"/>
      <x:c r="CE21" s="159"/>
      <x:c r="CF21" s="159"/>
      <x:c r="CG21" s="159"/>
      <x:c r="CH21" s="159"/>
      <x:c r="CI21" s="159"/>
      <x:c r="CJ21" s="159"/>
      <x:c r="CK21" s="159"/>
      <x:c r="CL21" s="159"/>
      <x:c r="CM21" s="159"/>
      <x:c r="CN21" s="159"/>
      <x:c r="CO21" s="159"/>
      <x:c r="CP21" s="159"/>
      <x:c r="CQ21" s="159"/>
      <x:c r="CR21" s="159"/>
      <x:c r="CS21" s="159"/>
      <x:c r="CT21" s="159"/>
      <x:c r="CU21" s="159"/>
      <x:c r="CV21" s="159"/>
      <x:c r="CW21" s="159"/>
      <x:c r="CX21" s="159"/>
      <x:c r="CY21" s="159"/>
      <x:c r="CZ21" s="159"/>
      <x:c r="DA21" s="159"/>
      <x:c r="DB21" s="159"/>
      <x:c r="DC21" s="159"/>
      <x:c r="DD21" s="159"/>
      <x:c r="DE21" s="159"/>
      <x:c r="DF21" s="159"/>
      <x:c r="DG21" s="159"/>
      <x:c r="DH21" s="159"/>
      <x:c r="DI21" s="159"/>
      <x:c r="DJ21" s="159"/>
    </x:row>
    <x:row r="22" ht="22" customHeight="1">
      <x:c r="A22" s="242" t="str">
        <x:v>待排区</x:v>
      </x:c>
      <x:c r="B22" s="242"/>
      <x:c r="C22" s="242" t="n">
        <x:v>0</x:v>
      </x:c>
      <x:c r="D22" s="242"/>
      <x:c r="E22" s="242"/>
      <x:c r="F22" s="242"/>
      <x:c r="G22" s="242" t="str">
        <x:v>待排区</x:v>
      </x:c>
      <x:c r="H22" s="242"/>
      <x:c r="I22" s="242"/>
      <x:c r="J22" s="242"/>
      <x:c r="K22" s="242"/>
      <x:c r="L22" s="242"/>
      <x:c r="M22" s="242"/>
      <x:c r="N22" s="242"/>
      <x:c r="O22" s="242"/>
      <x:c r="P22" s="242"/>
      <x:c r="Q22" s="242"/>
      <x:c r="R22" s="242"/>
      <x:c r="S22" s="242"/>
      <x:c r="T22" s="242"/>
      <x:c r="U22" s="242"/>
      <x:c r="V22" s="242"/>
      <x:c r="W22" s="242"/>
      <x:c r="X22" s="242"/>
      <x:c r="Y22" s="242"/>
      <x:c r="Z22" s="242"/>
      <x:c r="AA22" s="242"/>
      <x:c r="AB22" s="242"/>
      <x:c r="AC22" s="242"/>
      <x:c r="AD22" s="242"/>
      <x:c r="AE22" s="242"/>
      <x:c r="AF22" s="242"/>
      <x:c r="AG22" s="242"/>
      <x:c r="AH22" s="242"/>
      <x:c r="AI22" s="242"/>
      <x:c r="AJ22" s="242"/>
      <x:c r="AK22" s="242"/>
      <x:c r="AL22" s="242"/>
      <x:c r="AM22" s="242"/>
      <x:c r="AN22" s="242"/>
      <x:c r="AO22" s="242"/>
      <x:c r="AP22" s="242"/>
      <x:c r="AQ22" s="242"/>
      <x:c r="AR22" s="242"/>
      <x:c r="AS22" s="242"/>
      <x:c r="AT22" s="242"/>
      <x:c r="AU22" s="242"/>
      <x:c r="AV22" s="242"/>
      <x:c r="AW22" s="242"/>
      <x:c r="AX22" s="242"/>
      <x:c r="AY22" s="242"/>
      <x:c r="AZ22" s="242"/>
      <x:c r="BA22" s="242"/>
      <x:c r="BB22" s="242"/>
      <x:c r="BC22" s="242"/>
      <x:c r="BD22" s="242"/>
      <x:c r="BE22" s="242"/>
      <x:c r="BF22" s="242"/>
      <x:c r="BG22" s="242"/>
      <x:c r="BH22" s="242"/>
      <x:c r="BI22" s="242"/>
      <x:c r="BJ22" s="242"/>
      <x:c r="BK22" s="242"/>
      <x:c r="BL22" s="242"/>
      <x:c r="BM22" s="242"/>
      <x:c r="BN22" s="242"/>
      <x:c r="BO22" s="242"/>
      <x:c r="BP22" s="242"/>
      <x:c r="BQ22" s="242"/>
      <x:c r="BR22" s="242"/>
      <x:c r="BS22" s="242"/>
      <x:c r="BT22" s="242"/>
      <x:c r="BU22" s="242"/>
      <x:c r="BV22" s="242"/>
      <x:c r="BW22" s="242"/>
      <x:c r="BX22" s="242"/>
      <x:c r="BY22" s="242"/>
      <x:c r="BZ22" s="242"/>
      <x:c r="CA22" s="242"/>
      <x:c r="CB22" s="242"/>
      <x:c r="CC22" s="242"/>
      <x:c r="CD22" s="242"/>
      <x:c r="CE22" s="242"/>
      <x:c r="CF22" s="242"/>
      <x:c r="CG22" s="242"/>
      <x:c r="CH22" s="242"/>
      <x:c r="CI22" s="242"/>
      <x:c r="CJ22" s="242"/>
      <x:c r="CK22" s="242"/>
      <x:c r="CL22" s="242"/>
      <x:c r="CM22" s="242"/>
      <x:c r="CN22" s="242"/>
      <x:c r="CO22" s="242"/>
      <x:c r="CP22" s="242"/>
      <x:c r="CQ22" s="242"/>
      <x:c r="CR22" s="242"/>
      <x:c r="CS22" s="242"/>
      <x:c r="CT22" s="242"/>
      <x:c r="CU22" s="242"/>
      <x:c r="CV22" s="242"/>
      <x:c r="CW22" s="242"/>
      <x:c r="CX22" s="242"/>
      <x:c r="CY22" s="242"/>
      <x:c r="CZ22" s="242"/>
      <x:c r="DA22" s="242"/>
      <x:c r="DB22" s="242"/>
      <x:c r="DC22" s="242"/>
      <x:c r="DD22" s="242"/>
      <x:c r="DE22" s="242"/>
      <x:c r="DF22" s="242"/>
      <x:c r="DG22" s="242"/>
      <x:c r="DH22" s="242"/>
      <x:c r="DI22" s="242"/>
      <x:c r="DJ22" s="242"/>
    </x:row>
    <x:row r="23" ht="18" customHeight="1">
      <x:c r="A23" s="159"/>
      <x:c r="B23" s="20" t="str">
        <x:f>IF(A22="待排区","",IF(A22&lt;&gt;"",A22,B22))</x:f>
      </x:c>
      <x:c r="C23" s="20" t="n">
        <x:f>IF(COUNT(AH23)&gt;0,AH23,C22)</x:f>
        <x:v>0</x:v>
      </x:c>
      <x:c r="D23" s="20" t="str">
        <x:f>IF($G23="","",IF(COUNTIF($DZ$4:$DZ$4,$G23)&lt;&gt;1,"",IF(COUNTIFS($DZ$4:$DZ$4,$G23,$EI$4:$EI$4,"&lt;&gt;")=0,"",VLOOKUP($G23,$DZ$4:$EL$4,10,FALSE))))</x:f>
      </x:c>
      <x:c r="E23" s="235"/>
      <x:c r="F23" s="20" t="str">
        <x:f>IF($G23="","",IF(COUNTIF($DZ$4:$DZ$4,$G23)&lt;&gt;1,"",IF(COUNTIFS($DZ$4:$DZ$4,$G23,$EB$4:$EB$4,"&lt;&gt;")=0,"",VLOOKUP($G23,$DZ$4:$EL$4,3,FALSE))))</x:f>
      </x:c>
      <x:c r="G23" s="234"/>
      <x:c r="H23" s="20" t="str">
        <x:f>IF($G23="","",IF(COUNTIF($DZ$4:$DZ$4,$G23)&lt;&gt;1,"",IF(COUNTIFS($DZ$4:$DZ$4,$G23,$EA$4:$EA$4,"&lt;&gt;")=0,"",VLOOKUP($G23,$DZ$4:$EL$4,2,FALSE))))</x:f>
      </x:c>
      <x:c r="I23" s="234"/>
      <x:c r="J23" s="234"/>
      <x:c r="K23" s="236"/>
      <x:c r="L23" s="236"/>
      <x:c r="M23" s="237" t="str">
        <x:f>IF(G23="","",SUM(AW23:AX23,BA23:DJ23))</x:f>
      </x:c>
      <x:c r="N23" s="236" t="str">
        <x:f>IF(G23="","",IF(COUNT(L23,M23)&lt;2,"",MAX(0,L23-M23)))</x:f>
      </x:c>
      <x:c r="O23" s="238" t="str">
        <x:f>IF($G23="","",IF(COUNTIF($DZ$4:$DZ$4,$G23)&lt;&gt;1,"",IF(COUNTIFS($DZ$4:$DZ$4,$G23,$EC$4:$EC$4,"&lt;&gt;")=0,"",VLOOKUP($G23,$DZ$4:$EL$4,4,FALSE))))</x:f>
      </x:c>
      <x:c r="P23" s="159"/>
      <x:c r="Q23" s="234"/>
      <x:c r="R23" s="234"/>
      <x:c r="S23" s="234"/>
      <x:c r="T23" s="20" t="str">
        <x:f>IF($G23="","",IF(COUNTIF($DZ$4:$DZ$4,$G23)&lt;&gt;1,"",IF(COUNTIFS($DZ$4:$DZ$4,$G23,$ED$4:$ED$4,"&lt;&gt;")=0,"",VLOOKUP($G23,$DZ$4:$EL$4,5,FALSE))))</x:f>
      </x:c>
      <x:c r="U23" s="159" t="str">
        <x:f>IF($G23="","",IF(COUNTIF($DZ$4:$DZ$4,$G23)&lt;&gt;1,"",IF(COUNTIFS($DZ$4:$DZ$4,$G23,$EE$4:$EE$4,"&lt;&gt;")=0,"",VLOOKUP($G23,$DZ$4:$EL$4,6,FALSE))))</x:f>
      </x:c>
      <x:c r="V23" s="11" t="str">
        <x:f>IF(COUNT(N23,T23)&lt;2,"",N23*T23/1000*(1+$EM$2))</x:f>
      </x:c>
      <x:c r="W23" s="134" t="str">
        <x:f>IF($G23="","",IF(COUNTIF($DZ$4:$DZ$4,$G23)&lt;&gt;1,"",IF(COUNTIFS($DZ$4:$DZ$4,$G23,$EF$4:$EF$4,"&lt;&gt;")=0,"",VLOOKUP($G23,$DZ$4:$EL$4,7,FALSE))))</x:f>
      </x:c>
      <x:c r="X23" s="36" t="str">
        <x:f>IF(COUNT(N23,W23)&lt;2,"",N23*W23)</x:f>
      </x:c>
      <x:c r="Y23" s="159"/>
      <x:c r="Z23" s="239"/>
      <x:c r="AA23" s="240"/>
      <x:c r="AB23" s="239"/>
      <x:c r="AC23" s="138" t="str">
        <x:f>IF($G23="","",IF(COUNTIF($DZ$4:$DZ$4,$G23)&lt;&gt;1,"",IF(COUNTIFS($DZ$4:$DZ$4,$G23,$EJ$4:$EJ$4,"&lt;&gt;")=0,"",VLOOKUP($G23,$DZ$4:$EL$4,11,FALSE))))</x:f>
      </x:c>
      <x:c r="AD23" s="138" t="str">
        <x:f>IF($G23="","",IF(COUNTIF($DZ$4:$DZ$4,$G23)&lt;&gt;1,"",IF(COUNTIFS($DZ$4:$DZ$4,$G23,$EK$4:$EK$4,"&lt;&gt;")=0,"",VLOOKUP($G23,$DZ$4:$EL$4,12,FALSE))))</x:f>
      </x:c>
      <x:c r="AE23" s="56" t="n">
        <x:f>IF(OR(G23="",A22&lt;&gt;"",B23&lt;&gt;B22),0,IF(G23=G22,IF(Q23=Q22,0,AD23),AC23+IF(Q23=Q22,0,AD23)))</x:f>
        <x:v>0</x:v>
      </x:c>
      <x:c r="AF23" s="70"/>
      <x:c r="AG23" s="239" t="str">
        <x:f>IF(OR(G23="",B23="",B23="填写机号",COUNT($I$2)=0,COUNT(O23)=0,O23&lt;=0),"",MAX($I$2,C22)+AE23)</x:f>
      </x:c>
      <x:c r="AH23" s="239" t="str">
        <x:f>IF(OR(COUNT(AG23,N23,O23)&lt;3,O23&lt;=0),"",AG23+N23/O23)</x:f>
      </x:c>
      <x:c r="AI23" s="142" t="str">
        <x:f>IF(COUNT(AH23)=0,"",YEAR(AH23)&amp;"/"&amp;MONTH(AH23))</x:f>
      </x:c>
      <x:c r="AJ23" s="239" t="str">
        <x:f>IF(COUNT(AH23)=0,"",AH23+$EM$1)</x:f>
      </x:c>
      <x:c r="AK23" s="48" t="str">
        <x:f>IF(COUNT(AB23,AJ23)&lt;2,"",AB23-AJ23)</x:f>
      </x:c>
      <x:c r="AL23" s="159"/>
      <x:c r="AM23" s="159" t="str">
        <x:f>IF(OR(COUNT(N23,O23)&lt;2,O23&lt;=0),"",N23/O23)</x:f>
      </x:c>
      <x:c r="AN23" s="159"/>
      <x:c r="AO23" s="159"/>
      <x:c r="AP23" s="159"/>
      <x:c r="AQ23" s="159"/>
      <x:c r="AR23" s="159"/>
      <x:c r="AS23" s="234"/>
      <x:c r="AT23" s="159"/>
      <x:c r="AU23" s="159" t="str">
        <x:f>IF($G23="","",IF(COUNTIF($DZ$4:$DZ$4,$G23)&lt;&gt;1,"",IF(COUNTIFS($DZ$4:$DZ$4,$G23,$EG$4:$EG$4,"&lt;&gt;")=0,"",VLOOKUP($G23,$DZ$4:$EL$4,8,FALSE))))</x:f>
      </x:c>
      <x:c r="AV23" s="159" t="str">
        <x:f>IF($G23="","",IF(COUNTIF($DZ$4:$DZ$4,$G23)&lt;&gt;1,"",IF(COUNTIFS($DZ$4:$DZ$4,$G23,$EH$4:$EH$4,"&lt;&gt;")=0,"",VLOOKUP($G23,$DZ$4:$EL$4,9,FALSE))))</x:f>
      </x:c>
      <x:c r="AW23" s="209"/>
      <x:c r="AX23" s="209"/>
      <x:c r="AY23" s="159"/>
      <x:c r="AZ23" s="159"/>
      <x:c r="BA23" s="159"/>
      <x:c r="BB23" s="159"/>
      <x:c r="BC23" s="159"/>
      <x:c r="BD23" s="159"/>
      <x:c r="BE23" s="159"/>
      <x:c r="BF23" s="159"/>
      <x:c r="BG23" s="159"/>
      <x:c r="BH23" s="159"/>
      <x:c r="BI23" s="159"/>
      <x:c r="BJ23" s="159"/>
      <x:c r="BK23" s="159"/>
      <x:c r="BL23" s="159"/>
      <x:c r="BM23" s="159"/>
      <x:c r="BN23" s="159"/>
      <x:c r="BO23" s="159"/>
      <x:c r="BP23" s="159"/>
      <x:c r="BQ23" s="159"/>
      <x:c r="BR23" s="159"/>
      <x:c r="BS23" s="159"/>
      <x:c r="BT23" s="159"/>
      <x:c r="BU23" s="159"/>
      <x:c r="BV23" s="159"/>
      <x:c r="BW23" s="159"/>
      <x:c r="BX23" s="159"/>
      <x:c r="BY23" s="159"/>
      <x:c r="BZ23" s="159"/>
      <x:c r="CA23" s="159"/>
      <x:c r="CB23" s="159"/>
      <x:c r="CC23" s="159"/>
      <x:c r="CD23" s="159"/>
      <x:c r="CE23" s="159"/>
      <x:c r="CF23" s="159"/>
      <x:c r="CG23" s="159"/>
      <x:c r="CH23" s="159"/>
      <x:c r="CI23" s="159"/>
      <x:c r="CJ23" s="159"/>
      <x:c r="CK23" s="159"/>
      <x:c r="CL23" s="159"/>
      <x:c r="CM23" s="159"/>
      <x:c r="CN23" s="159"/>
      <x:c r="CO23" s="159"/>
      <x:c r="CP23" s="159"/>
      <x:c r="CQ23" s="159"/>
      <x:c r="CR23" s="159"/>
      <x:c r="CS23" s="159"/>
      <x:c r="CT23" s="159"/>
      <x:c r="CU23" s="159"/>
      <x:c r="CV23" s="159"/>
      <x:c r="CW23" s="159"/>
      <x:c r="CX23" s="159"/>
      <x:c r="CY23" s="159"/>
      <x:c r="CZ23" s="159"/>
      <x:c r="DA23" s="159"/>
      <x:c r="DB23" s="159"/>
      <x:c r="DC23" s="159"/>
      <x:c r="DD23" s="159"/>
      <x:c r="DE23" s="159"/>
      <x:c r="DF23" s="159"/>
      <x:c r="DG23" s="159"/>
      <x:c r="DH23" s="159"/>
      <x:c r="DI23" s="159"/>
      <x:c r="DJ23" s="159"/>
    </x:row>
    <x:row r="24" ht="18" customHeight="1">
      <x:c r="A24" s="159"/>
      <x:c r="B24" s="20" t="str">
        <x:f>IF(A23="待排区","",IF(A23&lt;&gt;"",A23,B23))</x:f>
      </x:c>
      <x:c r="C24" s="20" t="n">
        <x:f>IF(COUNT(AH24)&gt;0,AH24,C23)</x:f>
        <x:v>0</x:v>
      </x:c>
      <x:c r="D24" s="20" t="str">
        <x:f>IF($G24="","",IF(COUNTIF($DZ$4:$DZ$4,$G24)&lt;&gt;1,"",IF(COUNTIFS($DZ$4:$DZ$4,$G24,$EI$4:$EI$4,"&lt;&gt;")=0,"",VLOOKUP($G24,$DZ$4:$EL$4,10,FALSE))))</x:f>
      </x:c>
      <x:c r="E24" s="235"/>
      <x:c r="F24" s="20" t="str">
        <x:f>IF($G24="","",IF(COUNTIF($DZ$4:$DZ$4,$G24)&lt;&gt;1,"",IF(COUNTIFS($DZ$4:$DZ$4,$G24,$EB$4:$EB$4,"&lt;&gt;")=0,"",VLOOKUP($G24,$DZ$4:$EL$4,3,FALSE))))</x:f>
      </x:c>
      <x:c r="G24" s="234"/>
      <x:c r="H24" s="20" t="str">
        <x:f>IF($G24="","",IF(COUNTIF($DZ$4:$DZ$4,$G24)&lt;&gt;1,"",IF(COUNTIFS($DZ$4:$DZ$4,$G24,$EA$4:$EA$4,"&lt;&gt;")=0,"",VLOOKUP($G24,$DZ$4:$EL$4,2,FALSE))))</x:f>
      </x:c>
      <x:c r="I24" s="234"/>
      <x:c r="J24" s="234"/>
      <x:c r="K24" s="236"/>
      <x:c r="L24" s="236"/>
      <x:c r="M24" s="237" t="str">
        <x:f>IF(G24="","",SUM(AW24:AX24,BA24:DJ24))</x:f>
      </x:c>
      <x:c r="N24" s="236" t="str">
        <x:f>IF(G24="","",IF(COUNT(L24,M24)&lt;2,"",MAX(0,L24-M24)))</x:f>
      </x:c>
      <x:c r="O24" s="238" t="str">
        <x:f>IF($G24="","",IF(COUNTIF($DZ$4:$DZ$4,$G24)&lt;&gt;1,"",IF(COUNTIFS($DZ$4:$DZ$4,$G24,$EC$4:$EC$4,"&lt;&gt;")=0,"",VLOOKUP($G24,$DZ$4:$EL$4,4,FALSE))))</x:f>
      </x:c>
      <x:c r="P24" s="159"/>
      <x:c r="Q24" s="234"/>
      <x:c r="R24" s="234"/>
      <x:c r="S24" s="234"/>
      <x:c r="T24" s="20" t="str">
        <x:f>IF($G24="","",IF(COUNTIF($DZ$4:$DZ$4,$G24)&lt;&gt;1,"",IF(COUNTIFS($DZ$4:$DZ$4,$G24,$ED$4:$ED$4,"&lt;&gt;")=0,"",VLOOKUP($G24,$DZ$4:$EL$4,5,FALSE))))</x:f>
      </x:c>
      <x:c r="U24" s="159" t="str">
        <x:f>IF($G24="","",IF(COUNTIF($DZ$4:$DZ$4,$G24)&lt;&gt;1,"",IF(COUNTIFS($DZ$4:$DZ$4,$G24,$EE$4:$EE$4,"&lt;&gt;")=0,"",VLOOKUP($G24,$DZ$4:$EL$4,6,FALSE))))</x:f>
      </x:c>
      <x:c r="V24" s="11" t="str">
        <x:f>IF(COUNT(N24,T24)&lt;2,"",N24*T24/1000*(1+$EM$2))</x:f>
      </x:c>
      <x:c r="W24" s="134" t="str">
        <x:f>IF($G24="","",IF(COUNTIF($DZ$4:$DZ$4,$G24)&lt;&gt;1,"",IF(COUNTIFS($DZ$4:$DZ$4,$G24,$EF$4:$EF$4,"&lt;&gt;")=0,"",VLOOKUP($G24,$DZ$4:$EL$4,7,FALSE))))</x:f>
      </x:c>
      <x:c r="X24" s="36" t="str">
        <x:f>IF(COUNT(N24,W24)&lt;2,"",N24*W24)</x:f>
      </x:c>
      <x:c r="Y24" s="159"/>
      <x:c r="Z24" s="239"/>
      <x:c r="AA24" s="240"/>
      <x:c r="AB24" s="239"/>
      <x:c r="AC24" s="138" t="str">
        <x:f>IF($G24="","",IF(COUNTIF($DZ$4:$DZ$4,$G24)&lt;&gt;1,"",IF(COUNTIFS($DZ$4:$DZ$4,$G24,$EJ$4:$EJ$4,"&lt;&gt;")=0,"",VLOOKUP($G24,$DZ$4:$EL$4,11,FALSE))))</x:f>
      </x:c>
      <x:c r="AD24" s="138" t="str">
        <x:f>IF($G24="","",IF(COUNTIF($DZ$4:$DZ$4,$G24)&lt;&gt;1,"",IF(COUNTIFS($DZ$4:$DZ$4,$G24,$EK$4:$EK$4,"&lt;&gt;")=0,"",VLOOKUP($G24,$DZ$4:$EL$4,12,FALSE))))</x:f>
      </x:c>
      <x:c r="AE24" s="56" t="n">
        <x:f>IF(OR(G24="",A23&lt;&gt;"",B24&lt;&gt;B23),0,IF(G24=G23,IF(Q24=Q23,0,AD24),AC24+IF(Q24=Q23,0,AD24)))</x:f>
        <x:v>0</x:v>
      </x:c>
      <x:c r="AF24" s="70"/>
      <x:c r="AG24" s="239" t="str">
        <x:f>IF(OR(G24="",B24="",B24="填写机号",COUNT($I$2)=0,COUNT(O24)=0,O24&lt;=0),"",MAX($I$2,C23)+AE24)</x:f>
      </x:c>
      <x:c r="AH24" s="239" t="str">
        <x:f>IF(OR(COUNT(AG24,N24,O24)&lt;3,O24&lt;=0),"",AG24+N24/O24)</x:f>
      </x:c>
      <x:c r="AI24" s="142" t="str">
        <x:f>IF(COUNT(AH24)=0,"",YEAR(AH24)&amp;"/"&amp;MONTH(AH24))</x:f>
      </x:c>
      <x:c r="AJ24" s="239" t="str">
        <x:f>IF(COUNT(AH24)=0,"",AH24+$EM$1)</x:f>
      </x:c>
      <x:c r="AK24" s="48" t="str">
        <x:f>IF(COUNT(AB24,AJ24)&lt;2,"",AB24-AJ24)</x:f>
      </x:c>
      <x:c r="AL24" s="159"/>
      <x:c r="AM24" s="159" t="str">
        <x:f>IF(OR(COUNT(N24,O24)&lt;2,O24&lt;=0),"",N24/O24)</x:f>
      </x:c>
      <x:c r="AN24" s="159"/>
      <x:c r="AO24" s="159"/>
      <x:c r="AP24" s="159"/>
      <x:c r="AQ24" s="159"/>
      <x:c r="AR24" s="159"/>
      <x:c r="AS24" s="234"/>
      <x:c r="AT24" s="159"/>
      <x:c r="AU24" s="159" t="str">
        <x:f>IF($G24="","",IF(COUNTIF($DZ$4:$DZ$4,$G24)&lt;&gt;1,"",IF(COUNTIFS($DZ$4:$DZ$4,$G24,$EG$4:$EG$4,"&lt;&gt;")=0,"",VLOOKUP($G24,$DZ$4:$EL$4,8,FALSE))))</x:f>
      </x:c>
      <x:c r="AV24" s="159" t="str">
        <x:f>IF($G24="","",IF(COUNTIF($DZ$4:$DZ$4,$G24)&lt;&gt;1,"",IF(COUNTIFS($DZ$4:$DZ$4,$G24,$EH$4:$EH$4,"&lt;&gt;")=0,"",VLOOKUP($G24,$DZ$4:$EL$4,9,FALSE))))</x:f>
      </x:c>
      <x:c r="AW24" s="209"/>
      <x:c r="AX24" s="209"/>
      <x:c r="AY24" s="159"/>
      <x:c r="AZ24" s="159"/>
      <x:c r="BA24" s="159"/>
      <x:c r="BB24" s="159"/>
      <x:c r="BC24" s="159"/>
      <x:c r="BD24" s="159"/>
      <x:c r="BE24" s="159"/>
      <x:c r="BF24" s="159"/>
      <x:c r="BG24" s="159"/>
      <x:c r="BH24" s="159"/>
      <x:c r="BI24" s="159"/>
      <x:c r="BJ24" s="159"/>
      <x:c r="BK24" s="159"/>
      <x:c r="BL24" s="159"/>
      <x:c r="BM24" s="159"/>
      <x:c r="BN24" s="159"/>
      <x:c r="BO24" s="159"/>
      <x:c r="BP24" s="159"/>
      <x:c r="BQ24" s="159"/>
      <x:c r="BR24" s="159"/>
      <x:c r="BS24" s="159"/>
      <x:c r="BT24" s="159"/>
      <x:c r="BU24" s="159"/>
      <x:c r="BV24" s="159"/>
      <x:c r="BW24" s="159"/>
      <x:c r="BX24" s="159"/>
      <x:c r="BY24" s="159"/>
      <x:c r="BZ24" s="159"/>
      <x:c r="CA24" s="159"/>
      <x:c r="CB24" s="159"/>
      <x:c r="CC24" s="159"/>
      <x:c r="CD24" s="159"/>
      <x:c r="CE24" s="159"/>
      <x:c r="CF24" s="159"/>
      <x:c r="CG24" s="159"/>
      <x:c r="CH24" s="159"/>
      <x:c r="CI24" s="159"/>
      <x:c r="CJ24" s="159"/>
      <x:c r="CK24" s="159"/>
      <x:c r="CL24" s="159"/>
      <x:c r="CM24" s="159"/>
      <x:c r="CN24" s="159"/>
      <x:c r="CO24" s="159"/>
      <x:c r="CP24" s="159"/>
      <x:c r="CQ24" s="159"/>
      <x:c r="CR24" s="159"/>
      <x:c r="CS24" s="159"/>
      <x:c r="CT24" s="159"/>
      <x:c r="CU24" s="159"/>
      <x:c r="CV24" s="159"/>
      <x:c r="CW24" s="159"/>
      <x:c r="CX24" s="159"/>
      <x:c r="CY24" s="159"/>
      <x:c r="CZ24" s="159"/>
      <x:c r="DA24" s="159"/>
      <x:c r="DB24" s="159"/>
      <x:c r="DC24" s="159"/>
      <x:c r="DD24" s="159"/>
      <x:c r="DE24" s="159"/>
      <x:c r="DF24" s="159"/>
      <x:c r="DG24" s="159"/>
      <x:c r="DH24" s="159"/>
      <x:c r="DI24" s="159"/>
      <x:c r="DJ24" s="159"/>
    </x:row>
    <x:row r="25" ht="18" customHeight="1">
      <x:c r="A25" s="159"/>
      <x:c r="B25" s="20" t="str">
        <x:f>IF(A24="待排区","",IF(A24&lt;&gt;"",A24,B24))</x:f>
      </x:c>
      <x:c r="C25" s="20" t="n">
        <x:f>IF(COUNT(AH25)&gt;0,AH25,C24)</x:f>
        <x:v>0</x:v>
      </x:c>
      <x:c r="D25" s="20" t="str">
        <x:f>IF($G25="","",IF(COUNTIF($DZ$4:$DZ$4,$G25)&lt;&gt;1,"",IF(COUNTIFS($DZ$4:$DZ$4,$G25,$EI$4:$EI$4,"&lt;&gt;")=0,"",VLOOKUP($G25,$DZ$4:$EL$4,10,FALSE))))</x:f>
      </x:c>
      <x:c r="E25" s="235"/>
      <x:c r="F25" s="20" t="str">
        <x:f>IF($G25="","",IF(COUNTIF($DZ$4:$DZ$4,$G25)&lt;&gt;1,"",IF(COUNTIFS($DZ$4:$DZ$4,$G25,$EB$4:$EB$4,"&lt;&gt;")=0,"",VLOOKUP($G25,$DZ$4:$EL$4,3,FALSE))))</x:f>
      </x:c>
      <x:c r="G25" s="234"/>
      <x:c r="H25" s="20" t="str">
        <x:f>IF($G25="","",IF(COUNTIF($DZ$4:$DZ$4,$G25)&lt;&gt;1,"",IF(COUNTIFS($DZ$4:$DZ$4,$G25,$EA$4:$EA$4,"&lt;&gt;")=0,"",VLOOKUP($G25,$DZ$4:$EL$4,2,FALSE))))</x:f>
      </x:c>
      <x:c r="I25" s="234"/>
      <x:c r="J25" s="234"/>
      <x:c r="K25" s="236"/>
      <x:c r="L25" s="236"/>
      <x:c r="M25" s="237" t="str">
        <x:f>IF(G25="","",SUM(AW25:AX25,BA25:DJ25))</x:f>
      </x:c>
      <x:c r="N25" s="236" t="str">
        <x:f>IF(G25="","",IF(COUNT(L25,M25)&lt;2,"",MAX(0,L25-M25)))</x:f>
      </x:c>
      <x:c r="O25" s="238" t="str">
        <x:f>IF($G25="","",IF(COUNTIF($DZ$4:$DZ$4,$G25)&lt;&gt;1,"",IF(COUNTIFS($DZ$4:$DZ$4,$G25,$EC$4:$EC$4,"&lt;&gt;")=0,"",VLOOKUP($G25,$DZ$4:$EL$4,4,FALSE))))</x:f>
      </x:c>
      <x:c r="P25" s="159"/>
      <x:c r="Q25" s="234"/>
      <x:c r="R25" s="234"/>
      <x:c r="S25" s="234"/>
      <x:c r="T25" s="20" t="str">
        <x:f>IF($G25="","",IF(COUNTIF($DZ$4:$DZ$4,$G25)&lt;&gt;1,"",IF(COUNTIFS($DZ$4:$DZ$4,$G25,$ED$4:$ED$4,"&lt;&gt;")=0,"",VLOOKUP($G25,$DZ$4:$EL$4,5,FALSE))))</x:f>
      </x:c>
      <x:c r="U25" s="159" t="str">
        <x:f>IF($G25="","",IF(COUNTIF($DZ$4:$DZ$4,$G25)&lt;&gt;1,"",IF(COUNTIFS($DZ$4:$DZ$4,$G25,$EE$4:$EE$4,"&lt;&gt;")=0,"",VLOOKUP($G25,$DZ$4:$EL$4,6,FALSE))))</x:f>
      </x:c>
      <x:c r="V25" s="11" t="str">
        <x:f>IF(COUNT(N25,T25)&lt;2,"",N25*T25/1000*(1+$EM$2))</x:f>
      </x:c>
      <x:c r="W25" s="134" t="str">
        <x:f>IF($G25="","",IF(COUNTIF($DZ$4:$DZ$4,$G25)&lt;&gt;1,"",IF(COUNTIFS($DZ$4:$DZ$4,$G25,$EF$4:$EF$4,"&lt;&gt;")=0,"",VLOOKUP($G25,$DZ$4:$EL$4,7,FALSE))))</x:f>
      </x:c>
      <x:c r="X25" s="36" t="str">
        <x:f>IF(COUNT(N25,W25)&lt;2,"",N25*W25)</x:f>
      </x:c>
      <x:c r="Y25" s="159"/>
      <x:c r="Z25" s="239"/>
      <x:c r="AA25" s="240"/>
      <x:c r="AB25" s="239"/>
      <x:c r="AC25" s="138" t="str">
        <x:f>IF($G25="","",IF(COUNTIF($DZ$4:$DZ$4,$G25)&lt;&gt;1,"",IF(COUNTIFS($DZ$4:$DZ$4,$G25,$EJ$4:$EJ$4,"&lt;&gt;")=0,"",VLOOKUP($G25,$DZ$4:$EL$4,11,FALSE))))</x:f>
      </x:c>
      <x:c r="AD25" s="138" t="str">
        <x:f>IF($G25="","",IF(COUNTIF($DZ$4:$DZ$4,$G25)&lt;&gt;1,"",IF(COUNTIFS($DZ$4:$DZ$4,$G25,$EK$4:$EK$4,"&lt;&gt;")=0,"",VLOOKUP($G25,$DZ$4:$EL$4,12,FALSE))))</x:f>
      </x:c>
      <x:c r="AE25" s="56" t="n">
        <x:f>IF(OR(G25="",A24&lt;&gt;"",B25&lt;&gt;B24),0,IF(G25=G24,IF(Q25=Q24,0,AD25),AC25+IF(Q25=Q24,0,AD25)))</x:f>
        <x:v>0</x:v>
      </x:c>
      <x:c r="AF25" s="70"/>
      <x:c r="AG25" s="239" t="str">
        <x:f>IF(OR(G25="",B25="",B25="填写机号",COUNT($I$2)=0,COUNT(O25)=0,O25&lt;=0),"",MAX($I$2,C24)+AE25)</x:f>
      </x:c>
      <x:c r="AH25" s="239" t="str">
        <x:f>IF(OR(COUNT(AG25,N25,O25)&lt;3,O25&lt;=0),"",AG25+N25/O25)</x:f>
      </x:c>
      <x:c r="AI25" s="142" t="str">
        <x:f>IF(COUNT(AH25)=0,"",YEAR(AH25)&amp;"/"&amp;MONTH(AH25))</x:f>
      </x:c>
      <x:c r="AJ25" s="239" t="str">
        <x:f>IF(COUNT(AH25)=0,"",AH25+$EM$1)</x:f>
      </x:c>
      <x:c r="AK25" s="48" t="str">
        <x:f>IF(COUNT(AB25,AJ25)&lt;2,"",AB25-AJ25)</x:f>
      </x:c>
      <x:c r="AL25" s="159"/>
      <x:c r="AM25" s="159" t="str">
        <x:f>IF(OR(COUNT(N25,O25)&lt;2,O25&lt;=0),"",N25/O25)</x:f>
      </x:c>
      <x:c r="AN25" s="159"/>
      <x:c r="AO25" s="159"/>
      <x:c r="AP25" s="159"/>
      <x:c r="AQ25" s="159"/>
      <x:c r="AR25" s="159"/>
      <x:c r="AS25" s="234"/>
      <x:c r="AT25" s="159"/>
      <x:c r="AU25" s="159" t="str">
        <x:f>IF($G25="","",IF(COUNTIF($DZ$4:$DZ$4,$G25)&lt;&gt;1,"",IF(COUNTIFS($DZ$4:$DZ$4,$G25,$EG$4:$EG$4,"&lt;&gt;")=0,"",VLOOKUP($G25,$DZ$4:$EL$4,8,FALSE))))</x:f>
      </x:c>
      <x:c r="AV25" s="159" t="str">
        <x:f>IF($G25="","",IF(COUNTIF($DZ$4:$DZ$4,$G25)&lt;&gt;1,"",IF(COUNTIFS($DZ$4:$DZ$4,$G25,$EH$4:$EH$4,"&lt;&gt;")=0,"",VLOOKUP($G25,$DZ$4:$EL$4,9,FALSE))))</x:f>
      </x:c>
      <x:c r="AW25" s="209"/>
      <x:c r="AX25" s="209"/>
      <x:c r="AY25" s="159"/>
      <x:c r="AZ25" s="159"/>
      <x:c r="BA25" s="159"/>
      <x:c r="BB25" s="159"/>
      <x:c r="BC25" s="159"/>
      <x:c r="BD25" s="159"/>
      <x:c r="BE25" s="159"/>
      <x:c r="BF25" s="159"/>
      <x:c r="BG25" s="159"/>
      <x:c r="BH25" s="159"/>
      <x:c r="BI25" s="159"/>
      <x:c r="BJ25" s="159"/>
      <x:c r="BK25" s="159"/>
      <x:c r="BL25" s="159"/>
      <x:c r="BM25" s="159"/>
      <x:c r="BN25" s="159"/>
      <x:c r="BO25" s="159"/>
      <x:c r="BP25" s="159"/>
      <x:c r="BQ25" s="159"/>
      <x:c r="BR25" s="159"/>
      <x:c r="BS25" s="159"/>
      <x:c r="BT25" s="159"/>
      <x:c r="BU25" s="159"/>
      <x:c r="BV25" s="159"/>
      <x:c r="BW25" s="159"/>
      <x:c r="BX25" s="159"/>
      <x:c r="BY25" s="159"/>
      <x:c r="BZ25" s="159"/>
      <x:c r="CA25" s="159"/>
      <x:c r="CB25" s="159"/>
      <x:c r="CC25" s="159"/>
      <x:c r="CD25" s="159"/>
      <x:c r="CE25" s="159"/>
      <x:c r="CF25" s="159"/>
      <x:c r="CG25" s="159"/>
      <x:c r="CH25" s="159"/>
      <x:c r="CI25" s="159"/>
      <x:c r="CJ25" s="159"/>
      <x:c r="CK25" s="159"/>
      <x:c r="CL25" s="159"/>
      <x:c r="CM25" s="159"/>
      <x:c r="CN25" s="159"/>
      <x:c r="CO25" s="159"/>
      <x:c r="CP25" s="159"/>
      <x:c r="CQ25" s="159"/>
      <x:c r="CR25" s="159"/>
      <x:c r="CS25" s="159"/>
      <x:c r="CT25" s="159"/>
      <x:c r="CU25" s="159"/>
      <x:c r="CV25" s="159"/>
      <x:c r="CW25" s="159"/>
      <x:c r="CX25" s="159"/>
      <x:c r="CY25" s="159"/>
      <x:c r="CZ25" s="159"/>
      <x:c r="DA25" s="159"/>
      <x:c r="DB25" s="159"/>
      <x:c r="DC25" s="159"/>
      <x:c r="DD25" s="159"/>
      <x:c r="DE25" s="159"/>
      <x:c r="DF25" s="159"/>
      <x:c r="DG25" s="159"/>
      <x:c r="DH25" s="159"/>
      <x:c r="DI25" s="159"/>
      <x:c r="DJ25" s="159"/>
    </x:row>
    <x:row r="26" ht="18" customHeight="1">
      <x:c r="A26" s="159"/>
      <x:c r="B26" s="20" t="str">
        <x:f>IF(A25="待排区","",IF(A25&lt;&gt;"",A25,B25))</x:f>
      </x:c>
      <x:c r="C26" s="20" t="n">
        <x:f>IF(COUNT(AH26)&gt;0,AH26,C25)</x:f>
        <x:v>0</x:v>
      </x:c>
      <x:c r="D26" s="20" t="str">
        <x:f>IF($G26="","",IF(COUNTIF($DZ$4:$DZ$4,$G26)&lt;&gt;1,"",IF(COUNTIFS($DZ$4:$DZ$4,$G26,$EI$4:$EI$4,"&lt;&gt;")=0,"",VLOOKUP($G26,$DZ$4:$EL$4,10,FALSE))))</x:f>
      </x:c>
      <x:c r="E26" s="235"/>
      <x:c r="F26" s="20" t="str">
        <x:f>IF($G26="","",IF(COUNTIF($DZ$4:$DZ$4,$G26)&lt;&gt;1,"",IF(COUNTIFS($DZ$4:$DZ$4,$G26,$EB$4:$EB$4,"&lt;&gt;")=0,"",VLOOKUP($G26,$DZ$4:$EL$4,3,FALSE))))</x:f>
      </x:c>
      <x:c r="G26" s="234"/>
      <x:c r="H26" s="20" t="str">
        <x:f>IF($G26="","",IF(COUNTIF($DZ$4:$DZ$4,$G26)&lt;&gt;1,"",IF(COUNTIFS($DZ$4:$DZ$4,$G26,$EA$4:$EA$4,"&lt;&gt;")=0,"",VLOOKUP($G26,$DZ$4:$EL$4,2,FALSE))))</x:f>
      </x:c>
      <x:c r="I26" s="234"/>
      <x:c r="J26" s="234"/>
      <x:c r="K26" s="236"/>
      <x:c r="L26" s="236"/>
      <x:c r="M26" s="237" t="str">
        <x:f>IF(G26="","",SUM(AW26:AX26,BA26:DJ26))</x:f>
      </x:c>
      <x:c r="N26" s="236" t="str">
        <x:f>IF(G26="","",IF(COUNT(L26,M26)&lt;2,"",MAX(0,L26-M26)))</x:f>
      </x:c>
      <x:c r="O26" s="238" t="str">
        <x:f>IF($G26="","",IF(COUNTIF($DZ$4:$DZ$4,$G26)&lt;&gt;1,"",IF(COUNTIFS($DZ$4:$DZ$4,$G26,$EC$4:$EC$4,"&lt;&gt;")=0,"",VLOOKUP($G26,$DZ$4:$EL$4,4,FALSE))))</x:f>
      </x:c>
      <x:c r="P26" s="159"/>
      <x:c r="Q26" s="234"/>
      <x:c r="R26" s="234"/>
      <x:c r="S26" s="234"/>
      <x:c r="T26" s="20" t="str">
        <x:f>IF($G26="","",IF(COUNTIF($DZ$4:$DZ$4,$G26)&lt;&gt;1,"",IF(COUNTIFS($DZ$4:$DZ$4,$G26,$ED$4:$ED$4,"&lt;&gt;")=0,"",VLOOKUP($G26,$DZ$4:$EL$4,5,FALSE))))</x:f>
      </x:c>
      <x:c r="U26" s="159" t="str">
        <x:f>IF($G26="","",IF(COUNTIF($DZ$4:$DZ$4,$G26)&lt;&gt;1,"",IF(COUNTIFS($DZ$4:$DZ$4,$G26,$EE$4:$EE$4,"&lt;&gt;")=0,"",VLOOKUP($G26,$DZ$4:$EL$4,6,FALSE))))</x:f>
      </x:c>
      <x:c r="V26" s="11" t="str">
        <x:f>IF(COUNT(N26,T26)&lt;2,"",N26*T26/1000*(1+$EM$2))</x:f>
      </x:c>
      <x:c r="W26" s="134" t="str">
        <x:f>IF($G26="","",IF(COUNTIF($DZ$4:$DZ$4,$G26)&lt;&gt;1,"",IF(COUNTIFS($DZ$4:$DZ$4,$G26,$EF$4:$EF$4,"&lt;&gt;")=0,"",VLOOKUP($G26,$DZ$4:$EL$4,7,FALSE))))</x:f>
      </x:c>
      <x:c r="X26" s="36" t="str">
        <x:f>IF(COUNT(N26,W26)&lt;2,"",N26*W26)</x:f>
      </x:c>
      <x:c r="Y26" s="159"/>
      <x:c r="Z26" s="239"/>
      <x:c r="AA26" s="240"/>
      <x:c r="AB26" s="239"/>
      <x:c r="AC26" s="138" t="str">
        <x:f>IF($G26="","",IF(COUNTIF($DZ$4:$DZ$4,$G26)&lt;&gt;1,"",IF(COUNTIFS($DZ$4:$DZ$4,$G26,$EJ$4:$EJ$4,"&lt;&gt;")=0,"",VLOOKUP($G26,$DZ$4:$EL$4,11,FALSE))))</x:f>
      </x:c>
      <x:c r="AD26" s="138" t="str">
        <x:f>IF($G26="","",IF(COUNTIF($DZ$4:$DZ$4,$G26)&lt;&gt;1,"",IF(COUNTIFS($DZ$4:$DZ$4,$G26,$EK$4:$EK$4,"&lt;&gt;")=0,"",VLOOKUP($G26,$DZ$4:$EL$4,12,FALSE))))</x:f>
      </x:c>
      <x:c r="AE26" s="56" t="n">
        <x:f>IF(OR(G26="",A25&lt;&gt;"",B26&lt;&gt;B25),0,IF(G26=G25,IF(Q26=Q25,0,AD26),AC26+IF(Q26=Q25,0,AD26)))</x:f>
        <x:v>0</x:v>
      </x:c>
      <x:c r="AF26" s="70"/>
      <x:c r="AG26" s="239" t="str">
        <x:f>IF(OR(G26="",B26="",B26="填写机号",COUNT($I$2)=0,COUNT(O26)=0,O26&lt;=0),"",MAX($I$2,C25)+AE26)</x:f>
      </x:c>
      <x:c r="AH26" s="239" t="str">
        <x:f>IF(OR(COUNT(AG26,N26,O26)&lt;3,O26&lt;=0),"",AG26+N26/O26)</x:f>
      </x:c>
      <x:c r="AI26" s="142" t="str">
        <x:f>IF(COUNT(AH26)=0,"",YEAR(AH26)&amp;"/"&amp;MONTH(AH26))</x:f>
      </x:c>
      <x:c r="AJ26" s="239" t="str">
        <x:f>IF(COUNT(AH26)=0,"",AH26+$EM$1)</x:f>
      </x:c>
      <x:c r="AK26" s="48" t="str">
        <x:f>IF(COUNT(AB26,AJ26)&lt;2,"",AB26-AJ26)</x:f>
      </x:c>
      <x:c r="AL26" s="159"/>
      <x:c r="AM26" s="159" t="str">
        <x:f>IF(OR(COUNT(N26,O26)&lt;2,O26&lt;=0),"",N26/O26)</x:f>
      </x:c>
      <x:c r="AN26" s="159"/>
      <x:c r="AO26" s="159"/>
      <x:c r="AP26" s="159"/>
      <x:c r="AQ26" s="159"/>
      <x:c r="AR26" s="159"/>
      <x:c r="AS26" s="234"/>
      <x:c r="AT26" s="159"/>
      <x:c r="AU26" s="159" t="str">
        <x:f>IF($G26="","",IF(COUNTIF($DZ$4:$DZ$4,$G26)&lt;&gt;1,"",IF(COUNTIFS($DZ$4:$DZ$4,$G26,$EG$4:$EG$4,"&lt;&gt;")=0,"",VLOOKUP($G26,$DZ$4:$EL$4,8,FALSE))))</x:f>
      </x:c>
      <x:c r="AV26" s="159" t="str">
        <x:f>IF($G26="","",IF(COUNTIF($DZ$4:$DZ$4,$G26)&lt;&gt;1,"",IF(COUNTIFS($DZ$4:$DZ$4,$G26,$EH$4:$EH$4,"&lt;&gt;")=0,"",VLOOKUP($G26,$DZ$4:$EL$4,9,FALSE))))</x:f>
      </x:c>
      <x:c r="AW26" s="209"/>
      <x:c r="AX26" s="209"/>
      <x:c r="AY26" s="159"/>
      <x:c r="AZ26" s="159"/>
      <x:c r="BA26" s="159"/>
      <x:c r="BB26" s="159"/>
      <x:c r="BC26" s="159"/>
      <x:c r="BD26" s="159"/>
      <x:c r="BE26" s="159"/>
      <x:c r="BF26" s="159"/>
      <x:c r="BG26" s="159"/>
      <x:c r="BH26" s="159"/>
      <x:c r="BI26" s="159"/>
      <x:c r="BJ26" s="159"/>
      <x:c r="BK26" s="159"/>
      <x:c r="BL26" s="159"/>
      <x:c r="BM26" s="159"/>
      <x:c r="BN26" s="159"/>
      <x:c r="BO26" s="159"/>
      <x:c r="BP26" s="159"/>
      <x:c r="BQ26" s="159"/>
      <x:c r="BR26" s="159"/>
      <x:c r="BS26" s="159"/>
      <x:c r="BT26" s="159"/>
      <x:c r="BU26" s="159"/>
      <x:c r="BV26" s="159"/>
      <x:c r="BW26" s="159"/>
      <x:c r="BX26" s="159"/>
      <x:c r="BY26" s="159"/>
      <x:c r="BZ26" s="159"/>
      <x:c r="CA26" s="159"/>
      <x:c r="CB26" s="159"/>
      <x:c r="CC26" s="159"/>
      <x:c r="CD26" s="159"/>
      <x:c r="CE26" s="159"/>
      <x:c r="CF26" s="159"/>
      <x:c r="CG26" s="159"/>
      <x:c r="CH26" s="159"/>
      <x:c r="CI26" s="159"/>
      <x:c r="CJ26" s="159"/>
      <x:c r="CK26" s="159"/>
      <x:c r="CL26" s="159"/>
      <x:c r="CM26" s="159"/>
      <x:c r="CN26" s="159"/>
      <x:c r="CO26" s="159"/>
      <x:c r="CP26" s="159"/>
      <x:c r="CQ26" s="159"/>
      <x:c r="CR26" s="159"/>
      <x:c r="CS26" s="159"/>
      <x:c r="CT26" s="159"/>
      <x:c r="CU26" s="159"/>
      <x:c r="CV26" s="159"/>
      <x:c r="CW26" s="159"/>
      <x:c r="CX26" s="159"/>
      <x:c r="CY26" s="159"/>
      <x:c r="CZ26" s="159"/>
      <x:c r="DA26" s="159"/>
      <x:c r="DB26" s="159"/>
      <x:c r="DC26" s="159"/>
      <x:c r="DD26" s="159"/>
      <x:c r="DE26" s="159"/>
      <x:c r="DF26" s="159"/>
      <x:c r="DG26" s="159"/>
      <x:c r="DH26" s="159"/>
      <x:c r="DI26" s="159"/>
      <x:c r="DJ26" s="159"/>
    </x:row>
    <x:row r="27" ht="18" customHeight="1">
      <x:c r="A27" s="159"/>
      <x:c r="B27" s="20" t="str">
        <x:f>IF(A26="待排区","",IF(A26&lt;&gt;"",A26,B26))</x:f>
      </x:c>
      <x:c r="C27" s="20" t="n">
        <x:f>IF(COUNT(AH27)&gt;0,AH27,C26)</x:f>
        <x:v>0</x:v>
      </x:c>
      <x:c r="D27" s="20" t="str">
        <x:f>IF($G27="","",IF(COUNTIF($DZ$4:$DZ$4,$G27)&lt;&gt;1,"",IF(COUNTIFS($DZ$4:$DZ$4,$G27,$EI$4:$EI$4,"&lt;&gt;")=0,"",VLOOKUP($G27,$DZ$4:$EL$4,10,FALSE))))</x:f>
      </x:c>
      <x:c r="E27" s="235"/>
      <x:c r="F27" s="20" t="str">
        <x:f>IF($G27="","",IF(COUNTIF($DZ$4:$DZ$4,$G27)&lt;&gt;1,"",IF(COUNTIFS($DZ$4:$DZ$4,$G27,$EB$4:$EB$4,"&lt;&gt;")=0,"",VLOOKUP($G27,$DZ$4:$EL$4,3,FALSE))))</x:f>
      </x:c>
      <x:c r="G27" s="234"/>
      <x:c r="H27" s="20" t="str">
        <x:f>IF($G27="","",IF(COUNTIF($DZ$4:$DZ$4,$G27)&lt;&gt;1,"",IF(COUNTIFS($DZ$4:$DZ$4,$G27,$EA$4:$EA$4,"&lt;&gt;")=0,"",VLOOKUP($G27,$DZ$4:$EL$4,2,FALSE))))</x:f>
      </x:c>
      <x:c r="I27" s="234"/>
      <x:c r="J27" s="234"/>
      <x:c r="K27" s="236"/>
      <x:c r="L27" s="236"/>
      <x:c r="M27" s="237" t="str">
        <x:f>IF(G27="","",SUM(AW27:AX27,BA27:DJ27))</x:f>
      </x:c>
      <x:c r="N27" s="236" t="str">
        <x:f>IF(G27="","",IF(COUNT(L27,M27)&lt;2,"",MAX(0,L27-M27)))</x:f>
      </x:c>
      <x:c r="O27" s="238" t="str">
        <x:f>IF($G27="","",IF(COUNTIF($DZ$4:$DZ$4,$G27)&lt;&gt;1,"",IF(COUNTIFS($DZ$4:$DZ$4,$G27,$EC$4:$EC$4,"&lt;&gt;")=0,"",VLOOKUP($G27,$DZ$4:$EL$4,4,FALSE))))</x:f>
      </x:c>
      <x:c r="P27" s="159"/>
      <x:c r="Q27" s="234"/>
      <x:c r="R27" s="234"/>
      <x:c r="S27" s="234"/>
      <x:c r="T27" s="20" t="str">
        <x:f>IF($G27="","",IF(COUNTIF($DZ$4:$DZ$4,$G27)&lt;&gt;1,"",IF(COUNTIFS($DZ$4:$DZ$4,$G27,$ED$4:$ED$4,"&lt;&gt;")=0,"",VLOOKUP($G27,$DZ$4:$EL$4,5,FALSE))))</x:f>
      </x:c>
      <x:c r="U27" s="159" t="str">
        <x:f>IF($G27="","",IF(COUNTIF($DZ$4:$DZ$4,$G27)&lt;&gt;1,"",IF(COUNTIFS($DZ$4:$DZ$4,$G27,$EE$4:$EE$4,"&lt;&gt;")=0,"",VLOOKUP($G27,$DZ$4:$EL$4,6,FALSE))))</x:f>
      </x:c>
      <x:c r="V27" s="11" t="str">
        <x:f>IF(COUNT(N27,T27)&lt;2,"",N27*T27/1000*(1+$EM$2))</x:f>
      </x:c>
      <x:c r="W27" s="134" t="str">
        <x:f>IF($G27="","",IF(COUNTIF($DZ$4:$DZ$4,$G27)&lt;&gt;1,"",IF(COUNTIFS($DZ$4:$DZ$4,$G27,$EF$4:$EF$4,"&lt;&gt;")=0,"",VLOOKUP($G27,$DZ$4:$EL$4,7,FALSE))))</x:f>
      </x:c>
      <x:c r="X27" s="36" t="str">
        <x:f>IF(COUNT(N27,W27)&lt;2,"",N27*W27)</x:f>
      </x:c>
      <x:c r="Y27" s="159"/>
      <x:c r="Z27" s="239"/>
      <x:c r="AA27" s="240"/>
      <x:c r="AB27" s="239"/>
      <x:c r="AC27" s="138" t="str">
        <x:f>IF($G27="","",IF(COUNTIF($DZ$4:$DZ$4,$G27)&lt;&gt;1,"",IF(COUNTIFS($DZ$4:$DZ$4,$G27,$EJ$4:$EJ$4,"&lt;&gt;")=0,"",VLOOKUP($G27,$DZ$4:$EL$4,11,FALSE))))</x:f>
      </x:c>
      <x:c r="AD27" s="138" t="str">
        <x:f>IF($G27="","",IF(COUNTIF($DZ$4:$DZ$4,$G27)&lt;&gt;1,"",IF(COUNTIFS($DZ$4:$DZ$4,$G27,$EK$4:$EK$4,"&lt;&gt;")=0,"",VLOOKUP($G27,$DZ$4:$EL$4,12,FALSE))))</x:f>
      </x:c>
      <x:c r="AE27" s="56" t="n">
        <x:f>IF(OR(G27="",A26&lt;&gt;"",B27&lt;&gt;B26),0,IF(G27=G26,IF(Q27=Q26,0,AD27),AC27+IF(Q27=Q26,0,AD27)))</x:f>
        <x:v>0</x:v>
      </x:c>
      <x:c r="AF27" s="70"/>
      <x:c r="AG27" s="239" t="str">
        <x:f>IF(OR(G27="",B27="",B27="填写机号",COUNT($I$2)=0,COUNT(O27)=0,O27&lt;=0),"",MAX($I$2,C26)+AE27)</x:f>
      </x:c>
      <x:c r="AH27" s="239" t="str">
        <x:f>IF(OR(COUNT(AG27,N27,O27)&lt;3,O27&lt;=0),"",AG27+N27/O27)</x:f>
      </x:c>
      <x:c r="AI27" s="142" t="str">
        <x:f>IF(COUNT(AH27)=0,"",YEAR(AH27)&amp;"/"&amp;MONTH(AH27))</x:f>
      </x:c>
      <x:c r="AJ27" s="239" t="str">
        <x:f>IF(COUNT(AH27)=0,"",AH27+$EM$1)</x:f>
      </x:c>
      <x:c r="AK27" s="48" t="str">
        <x:f>IF(COUNT(AB27,AJ27)&lt;2,"",AB27-AJ27)</x:f>
      </x:c>
      <x:c r="AL27" s="159"/>
      <x:c r="AM27" s="159" t="str">
        <x:f>IF(OR(COUNT(N27,O27)&lt;2,O27&lt;=0),"",N27/O27)</x:f>
      </x:c>
      <x:c r="AN27" s="159"/>
      <x:c r="AO27" s="159"/>
      <x:c r="AP27" s="159"/>
      <x:c r="AQ27" s="159"/>
      <x:c r="AR27" s="159"/>
      <x:c r="AS27" s="234"/>
      <x:c r="AT27" s="159"/>
      <x:c r="AU27" s="159" t="str">
        <x:f>IF($G27="","",IF(COUNTIF($DZ$4:$DZ$4,$G27)&lt;&gt;1,"",IF(COUNTIFS($DZ$4:$DZ$4,$G27,$EG$4:$EG$4,"&lt;&gt;")=0,"",VLOOKUP($G27,$DZ$4:$EL$4,8,FALSE))))</x:f>
      </x:c>
      <x:c r="AV27" s="159" t="str">
        <x:f>IF($G27="","",IF(COUNTIF($DZ$4:$DZ$4,$G27)&lt;&gt;1,"",IF(COUNTIFS($DZ$4:$DZ$4,$G27,$EH$4:$EH$4,"&lt;&gt;")=0,"",VLOOKUP($G27,$DZ$4:$EL$4,9,FALSE))))</x:f>
      </x:c>
      <x:c r="AW27" s="209"/>
      <x:c r="AX27" s="209"/>
      <x:c r="AY27" s="159"/>
      <x:c r="AZ27" s="159"/>
      <x:c r="BA27" s="159"/>
      <x:c r="BB27" s="159"/>
      <x:c r="BC27" s="159"/>
      <x:c r="BD27" s="159"/>
      <x:c r="BE27" s="159"/>
      <x:c r="BF27" s="159"/>
      <x:c r="BG27" s="159"/>
      <x:c r="BH27" s="159"/>
      <x:c r="BI27" s="159"/>
      <x:c r="BJ27" s="159"/>
      <x:c r="BK27" s="159"/>
      <x:c r="BL27" s="159"/>
      <x:c r="BM27" s="159"/>
      <x:c r="BN27" s="159"/>
      <x:c r="BO27" s="159"/>
      <x:c r="BP27" s="159"/>
      <x:c r="BQ27" s="159"/>
      <x:c r="BR27" s="159"/>
      <x:c r="BS27" s="159"/>
      <x:c r="BT27" s="159"/>
      <x:c r="BU27" s="159"/>
      <x:c r="BV27" s="159"/>
      <x:c r="BW27" s="159"/>
      <x:c r="BX27" s="159"/>
      <x:c r="BY27" s="159"/>
      <x:c r="BZ27" s="159"/>
      <x:c r="CA27" s="159"/>
      <x:c r="CB27" s="159"/>
      <x:c r="CC27" s="159"/>
      <x:c r="CD27" s="159"/>
      <x:c r="CE27" s="159"/>
      <x:c r="CF27" s="159"/>
      <x:c r="CG27" s="159"/>
      <x:c r="CH27" s="159"/>
      <x:c r="CI27" s="159"/>
      <x:c r="CJ27" s="159"/>
      <x:c r="CK27" s="159"/>
      <x:c r="CL27" s="159"/>
      <x:c r="CM27" s="159"/>
      <x:c r="CN27" s="159"/>
      <x:c r="CO27" s="159"/>
      <x:c r="CP27" s="159"/>
      <x:c r="CQ27" s="159"/>
      <x:c r="CR27" s="159"/>
      <x:c r="CS27" s="159"/>
      <x:c r="CT27" s="159"/>
      <x:c r="CU27" s="159"/>
      <x:c r="CV27" s="159"/>
      <x:c r="CW27" s="159"/>
      <x:c r="CX27" s="159"/>
      <x:c r="CY27" s="159"/>
      <x:c r="CZ27" s="159"/>
      <x:c r="DA27" s="159"/>
      <x:c r="DB27" s="159"/>
      <x:c r="DC27" s="159"/>
      <x:c r="DD27" s="159"/>
      <x:c r="DE27" s="159"/>
      <x:c r="DF27" s="159"/>
      <x:c r="DG27" s="159"/>
      <x:c r="DH27" s="159"/>
      <x:c r="DI27" s="159"/>
      <x:c r="DJ27" s="159"/>
    </x:row>
    <x:row r="28" ht="18" customHeight="1">
      <x:c r="A28" s="159"/>
      <x:c r="B28" s="20" t="str">
        <x:f>IF(A27="待排区","",IF(A27&lt;&gt;"",A27,B27))</x:f>
      </x:c>
      <x:c r="C28" s="20" t="n">
        <x:f>IF(COUNT(AH28)&gt;0,AH28,C27)</x:f>
        <x:v>0</x:v>
      </x:c>
      <x:c r="D28" s="20" t="str">
        <x:f>IF($G28="","",IF(COUNTIF($DZ$4:$DZ$4,$G28)&lt;&gt;1,"",IF(COUNTIFS($DZ$4:$DZ$4,$G28,$EI$4:$EI$4,"&lt;&gt;")=0,"",VLOOKUP($G28,$DZ$4:$EL$4,10,FALSE))))</x:f>
      </x:c>
      <x:c r="E28" s="235"/>
      <x:c r="F28" s="20" t="str">
        <x:f>IF($G28="","",IF(COUNTIF($DZ$4:$DZ$4,$G28)&lt;&gt;1,"",IF(COUNTIFS($DZ$4:$DZ$4,$G28,$EB$4:$EB$4,"&lt;&gt;")=0,"",VLOOKUP($G28,$DZ$4:$EL$4,3,FALSE))))</x:f>
      </x:c>
      <x:c r="G28" s="234"/>
      <x:c r="H28" s="20" t="str">
        <x:f>IF($G28="","",IF(COUNTIF($DZ$4:$DZ$4,$G28)&lt;&gt;1,"",IF(COUNTIFS($DZ$4:$DZ$4,$G28,$EA$4:$EA$4,"&lt;&gt;")=0,"",VLOOKUP($G28,$DZ$4:$EL$4,2,FALSE))))</x:f>
      </x:c>
      <x:c r="I28" s="234"/>
      <x:c r="J28" s="234"/>
      <x:c r="K28" s="236"/>
      <x:c r="L28" s="236"/>
      <x:c r="M28" s="237" t="str">
        <x:f>IF(G28="","",SUM(AW28:AX28,BA28:DJ28))</x:f>
      </x:c>
      <x:c r="N28" s="236" t="str">
        <x:f>IF(G28="","",IF(COUNT(L28,M28)&lt;2,"",MAX(0,L28-M28)))</x:f>
      </x:c>
      <x:c r="O28" s="238" t="str">
        <x:f>IF($G28="","",IF(COUNTIF($DZ$4:$DZ$4,$G28)&lt;&gt;1,"",IF(COUNTIFS($DZ$4:$DZ$4,$G28,$EC$4:$EC$4,"&lt;&gt;")=0,"",VLOOKUP($G28,$DZ$4:$EL$4,4,FALSE))))</x:f>
      </x:c>
      <x:c r="P28" s="159"/>
      <x:c r="Q28" s="234"/>
      <x:c r="R28" s="234"/>
      <x:c r="S28" s="234"/>
      <x:c r="T28" s="20" t="str">
        <x:f>IF($G28="","",IF(COUNTIF($DZ$4:$DZ$4,$G28)&lt;&gt;1,"",IF(COUNTIFS($DZ$4:$DZ$4,$G28,$ED$4:$ED$4,"&lt;&gt;")=0,"",VLOOKUP($G28,$DZ$4:$EL$4,5,FALSE))))</x:f>
      </x:c>
      <x:c r="U28" s="159" t="str">
        <x:f>IF($G28="","",IF(COUNTIF($DZ$4:$DZ$4,$G28)&lt;&gt;1,"",IF(COUNTIFS($DZ$4:$DZ$4,$G28,$EE$4:$EE$4,"&lt;&gt;")=0,"",VLOOKUP($G28,$DZ$4:$EL$4,6,FALSE))))</x:f>
      </x:c>
      <x:c r="V28" s="11" t="str">
        <x:f>IF(COUNT(N28,T28)&lt;2,"",N28*T28/1000*(1+$EM$2))</x:f>
      </x:c>
      <x:c r="W28" s="134" t="str">
        <x:f>IF($G28="","",IF(COUNTIF($DZ$4:$DZ$4,$G28)&lt;&gt;1,"",IF(COUNTIFS($DZ$4:$DZ$4,$G28,$EF$4:$EF$4,"&lt;&gt;")=0,"",VLOOKUP($G28,$DZ$4:$EL$4,7,FALSE))))</x:f>
      </x:c>
      <x:c r="X28" s="36" t="str">
        <x:f>IF(COUNT(N28,W28)&lt;2,"",N28*W28)</x:f>
      </x:c>
      <x:c r="Y28" s="159"/>
      <x:c r="Z28" s="239"/>
      <x:c r="AA28" s="240"/>
      <x:c r="AB28" s="239"/>
      <x:c r="AC28" s="138" t="str">
        <x:f>IF($G28="","",IF(COUNTIF($DZ$4:$DZ$4,$G28)&lt;&gt;1,"",IF(COUNTIFS($DZ$4:$DZ$4,$G28,$EJ$4:$EJ$4,"&lt;&gt;")=0,"",VLOOKUP($G28,$DZ$4:$EL$4,11,FALSE))))</x:f>
      </x:c>
      <x:c r="AD28" s="138" t="str">
        <x:f>IF($G28="","",IF(COUNTIF($DZ$4:$DZ$4,$G28)&lt;&gt;1,"",IF(COUNTIFS($DZ$4:$DZ$4,$G28,$EK$4:$EK$4,"&lt;&gt;")=0,"",VLOOKUP($G28,$DZ$4:$EL$4,12,FALSE))))</x:f>
      </x:c>
      <x:c r="AE28" s="56" t="n">
        <x:f>IF(OR(G28="",A27&lt;&gt;"",B28&lt;&gt;B27),0,IF(G28=G27,IF(Q28=Q27,0,AD28),AC28+IF(Q28=Q27,0,AD28)))</x:f>
        <x:v>0</x:v>
      </x:c>
      <x:c r="AF28" s="70"/>
      <x:c r="AG28" s="239" t="str">
        <x:f>IF(OR(G28="",B28="",B28="填写机号",COUNT($I$2)=0,COUNT(O28)=0,O28&lt;=0),"",MAX($I$2,C27)+AE28)</x:f>
      </x:c>
      <x:c r="AH28" s="239" t="str">
        <x:f>IF(OR(COUNT(AG28,N28,O28)&lt;3,O28&lt;=0),"",AG28+N28/O28)</x:f>
      </x:c>
      <x:c r="AI28" s="142" t="str">
        <x:f>IF(COUNT(AH28)=0,"",YEAR(AH28)&amp;"/"&amp;MONTH(AH28))</x:f>
      </x:c>
      <x:c r="AJ28" s="239" t="str">
        <x:f>IF(COUNT(AH28)=0,"",AH28+$EM$1)</x:f>
      </x:c>
      <x:c r="AK28" s="48" t="str">
        <x:f>IF(COUNT(AB28,AJ28)&lt;2,"",AB28-AJ28)</x:f>
      </x:c>
      <x:c r="AL28" s="159"/>
      <x:c r="AM28" s="159" t="str">
        <x:f>IF(OR(COUNT(N28,O28)&lt;2,O28&lt;=0),"",N28/O28)</x:f>
      </x:c>
      <x:c r="AN28" s="159"/>
      <x:c r="AO28" s="159"/>
      <x:c r="AP28" s="159"/>
      <x:c r="AQ28" s="159"/>
      <x:c r="AR28" s="159"/>
      <x:c r="AS28" s="234"/>
      <x:c r="AT28" s="159"/>
      <x:c r="AU28" s="159" t="str">
        <x:f>IF($G28="","",IF(COUNTIF($DZ$4:$DZ$4,$G28)&lt;&gt;1,"",IF(COUNTIFS($DZ$4:$DZ$4,$G28,$EG$4:$EG$4,"&lt;&gt;")=0,"",VLOOKUP($G28,$DZ$4:$EL$4,8,FALSE))))</x:f>
      </x:c>
      <x:c r="AV28" s="159" t="str">
        <x:f>IF($G28="","",IF(COUNTIF($DZ$4:$DZ$4,$G28)&lt;&gt;1,"",IF(COUNTIFS($DZ$4:$DZ$4,$G28,$EH$4:$EH$4,"&lt;&gt;")=0,"",VLOOKUP($G28,$DZ$4:$EL$4,9,FALSE))))</x:f>
      </x:c>
      <x:c r="AW28" s="209"/>
      <x:c r="AX28" s="209"/>
      <x:c r="AY28" s="159"/>
      <x:c r="AZ28" s="159"/>
      <x:c r="BA28" s="159"/>
      <x:c r="BB28" s="159"/>
      <x:c r="BC28" s="159"/>
      <x:c r="BD28" s="159"/>
      <x:c r="BE28" s="159"/>
      <x:c r="BF28" s="159"/>
      <x:c r="BG28" s="159"/>
      <x:c r="BH28" s="159"/>
      <x:c r="BI28" s="159"/>
      <x:c r="BJ28" s="159"/>
      <x:c r="BK28" s="159"/>
      <x:c r="BL28" s="159"/>
      <x:c r="BM28" s="159"/>
      <x:c r="BN28" s="159"/>
      <x:c r="BO28" s="159"/>
      <x:c r="BP28" s="159"/>
      <x:c r="BQ28" s="159"/>
      <x:c r="BR28" s="159"/>
      <x:c r="BS28" s="159"/>
      <x:c r="BT28" s="159"/>
      <x:c r="BU28" s="159"/>
      <x:c r="BV28" s="159"/>
      <x:c r="BW28" s="159"/>
      <x:c r="BX28" s="159"/>
      <x:c r="BY28" s="159"/>
      <x:c r="BZ28" s="159"/>
      <x:c r="CA28" s="159"/>
      <x:c r="CB28" s="159"/>
      <x:c r="CC28" s="159"/>
      <x:c r="CD28" s="159"/>
      <x:c r="CE28" s="159"/>
      <x:c r="CF28" s="159"/>
      <x:c r="CG28" s="159"/>
      <x:c r="CH28" s="159"/>
      <x:c r="CI28" s="159"/>
      <x:c r="CJ28" s="159"/>
      <x:c r="CK28" s="159"/>
      <x:c r="CL28" s="159"/>
      <x:c r="CM28" s="159"/>
      <x:c r="CN28" s="159"/>
      <x:c r="CO28" s="159"/>
      <x:c r="CP28" s="159"/>
      <x:c r="CQ28" s="159"/>
      <x:c r="CR28" s="159"/>
      <x:c r="CS28" s="159"/>
      <x:c r="CT28" s="159"/>
      <x:c r="CU28" s="159"/>
      <x:c r="CV28" s="159"/>
      <x:c r="CW28" s="159"/>
      <x:c r="CX28" s="159"/>
      <x:c r="CY28" s="159"/>
      <x:c r="CZ28" s="159"/>
      <x:c r="DA28" s="159"/>
      <x:c r="DB28" s="159"/>
      <x:c r="DC28" s="159"/>
      <x:c r="DD28" s="159"/>
      <x:c r="DE28" s="159"/>
      <x:c r="DF28" s="159"/>
      <x:c r="DG28" s="159"/>
      <x:c r="DH28" s="159"/>
      <x:c r="DI28" s="159"/>
      <x:c r="DJ28" s="159"/>
    </x:row>
    <x:row r="29" ht="18" customHeight="1">
      <x:c r="A29" s="159"/>
      <x:c r="B29" s="20" t="str">
        <x:f>IF(A28="待排区","",IF(A28&lt;&gt;"",A28,B28))</x:f>
      </x:c>
      <x:c r="C29" s="20" t="n">
        <x:f>IF(COUNT(AH29)&gt;0,AH29,C28)</x:f>
        <x:v>0</x:v>
      </x:c>
      <x:c r="D29" s="20" t="str">
        <x:f>IF($G29="","",IF(COUNTIF($DZ$4:$DZ$4,$G29)&lt;&gt;1,"",IF(COUNTIFS($DZ$4:$DZ$4,$G29,$EI$4:$EI$4,"&lt;&gt;")=0,"",VLOOKUP($G29,$DZ$4:$EL$4,10,FALSE))))</x:f>
      </x:c>
      <x:c r="E29" s="235"/>
      <x:c r="F29" s="20" t="str">
        <x:f>IF($G29="","",IF(COUNTIF($DZ$4:$DZ$4,$G29)&lt;&gt;1,"",IF(COUNTIFS($DZ$4:$DZ$4,$G29,$EB$4:$EB$4,"&lt;&gt;")=0,"",VLOOKUP($G29,$DZ$4:$EL$4,3,FALSE))))</x:f>
      </x:c>
      <x:c r="G29" s="234"/>
      <x:c r="H29" s="20" t="str">
        <x:f>IF($G29="","",IF(COUNTIF($DZ$4:$DZ$4,$G29)&lt;&gt;1,"",IF(COUNTIFS($DZ$4:$DZ$4,$G29,$EA$4:$EA$4,"&lt;&gt;")=0,"",VLOOKUP($G29,$DZ$4:$EL$4,2,FALSE))))</x:f>
      </x:c>
      <x:c r="I29" s="234"/>
      <x:c r="J29" s="234"/>
      <x:c r="K29" s="236"/>
      <x:c r="L29" s="236"/>
      <x:c r="M29" s="237" t="str">
        <x:f>IF(G29="","",SUM(AW29:AX29,BA29:DJ29))</x:f>
      </x:c>
      <x:c r="N29" s="236" t="str">
        <x:f>IF(G29="","",IF(COUNT(L29,M29)&lt;2,"",MAX(0,L29-M29)))</x:f>
      </x:c>
      <x:c r="O29" s="238" t="str">
        <x:f>IF($G29="","",IF(COUNTIF($DZ$4:$DZ$4,$G29)&lt;&gt;1,"",IF(COUNTIFS($DZ$4:$DZ$4,$G29,$EC$4:$EC$4,"&lt;&gt;")=0,"",VLOOKUP($G29,$DZ$4:$EL$4,4,FALSE))))</x:f>
      </x:c>
      <x:c r="P29" s="159"/>
      <x:c r="Q29" s="234"/>
      <x:c r="R29" s="234"/>
      <x:c r="S29" s="234"/>
      <x:c r="T29" s="20" t="str">
        <x:f>IF($G29="","",IF(COUNTIF($DZ$4:$DZ$4,$G29)&lt;&gt;1,"",IF(COUNTIFS($DZ$4:$DZ$4,$G29,$ED$4:$ED$4,"&lt;&gt;")=0,"",VLOOKUP($G29,$DZ$4:$EL$4,5,FALSE))))</x:f>
      </x:c>
      <x:c r="U29" s="159" t="str">
        <x:f>IF($G29="","",IF(COUNTIF($DZ$4:$DZ$4,$G29)&lt;&gt;1,"",IF(COUNTIFS($DZ$4:$DZ$4,$G29,$EE$4:$EE$4,"&lt;&gt;")=0,"",VLOOKUP($G29,$DZ$4:$EL$4,6,FALSE))))</x:f>
      </x:c>
      <x:c r="V29" s="11" t="str">
        <x:f>IF(COUNT(N29,T29)&lt;2,"",N29*T29/1000*(1+$EM$2))</x:f>
      </x:c>
      <x:c r="W29" s="134" t="str">
        <x:f>IF($G29="","",IF(COUNTIF($DZ$4:$DZ$4,$G29)&lt;&gt;1,"",IF(COUNTIFS($DZ$4:$DZ$4,$G29,$EF$4:$EF$4,"&lt;&gt;")=0,"",VLOOKUP($G29,$DZ$4:$EL$4,7,FALSE))))</x:f>
      </x:c>
      <x:c r="X29" s="36" t="str">
        <x:f>IF(COUNT(N29,W29)&lt;2,"",N29*W29)</x:f>
      </x:c>
      <x:c r="Y29" s="159"/>
      <x:c r="Z29" s="239"/>
      <x:c r="AA29" s="240"/>
      <x:c r="AB29" s="239"/>
      <x:c r="AC29" s="138" t="str">
        <x:f>IF($G29="","",IF(COUNTIF($DZ$4:$DZ$4,$G29)&lt;&gt;1,"",IF(COUNTIFS($DZ$4:$DZ$4,$G29,$EJ$4:$EJ$4,"&lt;&gt;")=0,"",VLOOKUP($G29,$DZ$4:$EL$4,11,FALSE))))</x:f>
      </x:c>
      <x:c r="AD29" s="138" t="str">
        <x:f>IF($G29="","",IF(COUNTIF($DZ$4:$DZ$4,$G29)&lt;&gt;1,"",IF(COUNTIFS($DZ$4:$DZ$4,$G29,$EK$4:$EK$4,"&lt;&gt;")=0,"",VLOOKUP($G29,$DZ$4:$EL$4,12,FALSE))))</x:f>
      </x:c>
      <x:c r="AE29" s="56" t="n">
        <x:f>IF(OR(G29="",A28&lt;&gt;"",B29&lt;&gt;B28),0,IF(G29=G28,IF(Q29=Q28,0,AD29),AC29+IF(Q29=Q28,0,AD29)))</x:f>
        <x:v>0</x:v>
      </x:c>
      <x:c r="AF29" s="70"/>
      <x:c r="AG29" s="239" t="str">
        <x:f>IF(OR(G29="",B29="",B29="填写机号",COUNT($I$2)=0,COUNT(O29)=0,O29&lt;=0),"",MAX($I$2,C28)+AE29)</x:f>
      </x:c>
      <x:c r="AH29" s="239" t="str">
        <x:f>IF(OR(COUNT(AG29,N29,O29)&lt;3,O29&lt;=0),"",AG29+N29/O29)</x:f>
      </x:c>
      <x:c r="AI29" s="142" t="str">
        <x:f>IF(COUNT(AH29)=0,"",YEAR(AH29)&amp;"/"&amp;MONTH(AH29))</x:f>
      </x:c>
      <x:c r="AJ29" s="239" t="str">
        <x:f>IF(COUNT(AH29)=0,"",AH29+$EM$1)</x:f>
      </x:c>
      <x:c r="AK29" s="48" t="str">
        <x:f>IF(COUNT(AB29,AJ29)&lt;2,"",AB29-AJ29)</x:f>
      </x:c>
      <x:c r="AL29" s="159"/>
      <x:c r="AM29" s="159" t="str">
        <x:f>IF(OR(COUNT(N29,O29)&lt;2,O29&lt;=0),"",N29/O29)</x:f>
      </x:c>
      <x:c r="AN29" s="159"/>
      <x:c r="AO29" s="159"/>
      <x:c r="AP29" s="159"/>
      <x:c r="AQ29" s="159"/>
      <x:c r="AR29" s="159"/>
      <x:c r="AS29" s="234"/>
      <x:c r="AT29" s="159"/>
      <x:c r="AU29" s="159" t="str">
        <x:f>IF($G29="","",IF(COUNTIF($DZ$4:$DZ$4,$G29)&lt;&gt;1,"",IF(COUNTIFS($DZ$4:$DZ$4,$G29,$EG$4:$EG$4,"&lt;&gt;")=0,"",VLOOKUP($G29,$DZ$4:$EL$4,8,FALSE))))</x:f>
      </x:c>
      <x:c r="AV29" s="159" t="str">
        <x:f>IF($G29="","",IF(COUNTIF($DZ$4:$DZ$4,$G29)&lt;&gt;1,"",IF(COUNTIFS($DZ$4:$DZ$4,$G29,$EH$4:$EH$4,"&lt;&gt;")=0,"",VLOOKUP($G29,$DZ$4:$EL$4,9,FALSE))))</x:f>
      </x:c>
      <x:c r="AW29" s="209"/>
      <x:c r="AX29" s="209"/>
      <x:c r="AY29" s="159"/>
      <x:c r="AZ29" s="159"/>
      <x:c r="BA29" s="159"/>
      <x:c r="BB29" s="159"/>
      <x:c r="BC29" s="159"/>
      <x:c r="BD29" s="159"/>
      <x:c r="BE29" s="159"/>
      <x:c r="BF29" s="159"/>
      <x:c r="BG29" s="159"/>
      <x:c r="BH29" s="159"/>
      <x:c r="BI29" s="159"/>
      <x:c r="BJ29" s="159"/>
      <x:c r="BK29" s="159"/>
      <x:c r="BL29" s="159"/>
      <x:c r="BM29" s="159"/>
      <x:c r="BN29" s="159"/>
      <x:c r="BO29" s="159"/>
      <x:c r="BP29" s="159"/>
      <x:c r="BQ29" s="159"/>
      <x:c r="BR29" s="159"/>
      <x:c r="BS29" s="159"/>
      <x:c r="BT29" s="159"/>
      <x:c r="BU29" s="159"/>
      <x:c r="BV29" s="159"/>
      <x:c r="BW29" s="159"/>
      <x:c r="BX29" s="159"/>
      <x:c r="BY29" s="159"/>
      <x:c r="BZ29" s="159"/>
      <x:c r="CA29" s="159"/>
      <x:c r="CB29" s="159"/>
      <x:c r="CC29" s="159"/>
      <x:c r="CD29" s="159"/>
      <x:c r="CE29" s="159"/>
      <x:c r="CF29" s="159"/>
      <x:c r="CG29" s="159"/>
      <x:c r="CH29" s="159"/>
      <x:c r="CI29" s="159"/>
      <x:c r="CJ29" s="159"/>
      <x:c r="CK29" s="159"/>
      <x:c r="CL29" s="159"/>
      <x:c r="CM29" s="159"/>
      <x:c r="CN29" s="159"/>
      <x:c r="CO29" s="159"/>
      <x:c r="CP29" s="159"/>
      <x:c r="CQ29" s="159"/>
      <x:c r="CR29" s="159"/>
      <x:c r="CS29" s="159"/>
      <x:c r="CT29" s="159"/>
      <x:c r="CU29" s="159"/>
      <x:c r="CV29" s="159"/>
      <x:c r="CW29" s="159"/>
      <x:c r="CX29" s="159"/>
      <x:c r="CY29" s="159"/>
      <x:c r="CZ29" s="159"/>
      <x:c r="DA29" s="159"/>
      <x:c r="DB29" s="159"/>
      <x:c r="DC29" s="159"/>
      <x:c r="DD29" s="159"/>
      <x:c r="DE29" s="159"/>
      <x:c r="DF29" s="159"/>
      <x:c r="DG29" s="159"/>
      <x:c r="DH29" s="159"/>
      <x:c r="DI29" s="159"/>
      <x:c r="DJ29" s="159"/>
    </x:row>
    <x:row r="30" ht="18" customHeight="1">
      <x:c r="A30" s="159"/>
      <x:c r="B30" s="20" t="str">
        <x:f>IF(A29="待排区","",IF(A29&lt;&gt;"",A29,B29))</x:f>
      </x:c>
      <x:c r="C30" s="20" t="n">
        <x:f>IF(COUNT(AH30)&gt;0,AH30,C29)</x:f>
        <x:v>0</x:v>
      </x:c>
      <x:c r="D30" s="20" t="str">
        <x:f>IF($G30="","",IF(COUNTIF($DZ$4:$DZ$4,$G30)&lt;&gt;1,"",IF(COUNTIFS($DZ$4:$DZ$4,$G30,$EI$4:$EI$4,"&lt;&gt;")=0,"",VLOOKUP($G30,$DZ$4:$EL$4,10,FALSE))))</x:f>
      </x:c>
      <x:c r="E30" s="235"/>
      <x:c r="F30" s="20" t="str">
        <x:f>IF($G30="","",IF(COUNTIF($DZ$4:$DZ$4,$G30)&lt;&gt;1,"",IF(COUNTIFS($DZ$4:$DZ$4,$G30,$EB$4:$EB$4,"&lt;&gt;")=0,"",VLOOKUP($G30,$DZ$4:$EL$4,3,FALSE))))</x:f>
      </x:c>
      <x:c r="G30" s="234"/>
      <x:c r="H30" s="20" t="str">
        <x:f>IF($G30="","",IF(COUNTIF($DZ$4:$DZ$4,$G30)&lt;&gt;1,"",IF(COUNTIFS($DZ$4:$DZ$4,$G30,$EA$4:$EA$4,"&lt;&gt;")=0,"",VLOOKUP($G30,$DZ$4:$EL$4,2,FALSE))))</x:f>
      </x:c>
      <x:c r="I30" s="234"/>
      <x:c r="J30" s="234"/>
      <x:c r="K30" s="236"/>
      <x:c r="L30" s="236"/>
      <x:c r="M30" s="237" t="str">
        <x:f>IF(G30="","",SUM(AW30:AX30,BA30:DJ30))</x:f>
      </x:c>
      <x:c r="N30" s="236" t="str">
        <x:f>IF(G30="","",IF(COUNT(L30,M30)&lt;2,"",MAX(0,L30-M30)))</x:f>
      </x:c>
      <x:c r="O30" s="238" t="str">
        <x:f>IF($G30="","",IF(COUNTIF($DZ$4:$DZ$4,$G30)&lt;&gt;1,"",IF(COUNTIFS($DZ$4:$DZ$4,$G30,$EC$4:$EC$4,"&lt;&gt;")=0,"",VLOOKUP($G30,$DZ$4:$EL$4,4,FALSE))))</x:f>
      </x:c>
      <x:c r="P30" s="159"/>
      <x:c r="Q30" s="234"/>
      <x:c r="R30" s="234"/>
      <x:c r="S30" s="234"/>
      <x:c r="T30" s="20" t="str">
        <x:f>IF($G30="","",IF(COUNTIF($DZ$4:$DZ$4,$G30)&lt;&gt;1,"",IF(COUNTIFS($DZ$4:$DZ$4,$G30,$ED$4:$ED$4,"&lt;&gt;")=0,"",VLOOKUP($G30,$DZ$4:$EL$4,5,FALSE))))</x:f>
      </x:c>
      <x:c r="U30" s="159" t="str">
        <x:f>IF($G30="","",IF(COUNTIF($DZ$4:$DZ$4,$G30)&lt;&gt;1,"",IF(COUNTIFS($DZ$4:$DZ$4,$G30,$EE$4:$EE$4,"&lt;&gt;")=0,"",VLOOKUP($G30,$DZ$4:$EL$4,6,FALSE))))</x:f>
      </x:c>
      <x:c r="V30" s="11" t="str">
        <x:f>IF(COUNT(N30,T30)&lt;2,"",N30*T30/1000*(1+$EM$2))</x:f>
      </x:c>
      <x:c r="W30" s="134" t="str">
        <x:f>IF($G30="","",IF(COUNTIF($DZ$4:$DZ$4,$G30)&lt;&gt;1,"",IF(COUNTIFS($DZ$4:$DZ$4,$G30,$EF$4:$EF$4,"&lt;&gt;")=0,"",VLOOKUP($G30,$DZ$4:$EL$4,7,FALSE))))</x:f>
      </x:c>
      <x:c r="X30" s="36" t="str">
        <x:f>IF(COUNT(N30,W30)&lt;2,"",N30*W30)</x:f>
      </x:c>
      <x:c r="Y30" s="159"/>
      <x:c r="Z30" s="239"/>
      <x:c r="AA30" s="240"/>
      <x:c r="AB30" s="239"/>
      <x:c r="AC30" s="138" t="str">
        <x:f>IF($G30="","",IF(COUNTIF($DZ$4:$DZ$4,$G30)&lt;&gt;1,"",IF(COUNTIFS($DZ$4:$DZ$4,$G30,$EJ$4:$EJ$4,"&lt;&gt;")=0,"",VLOOKUP($G30,$DZ$4:$EL$4,11,FALSE))))</x:f>
      </x:c>
      <x:c r="AD30" s="138" t="str">
        <x:f>IF($G30="","",IF(COUNTIF($DZ$4:$DZ$4,$G30)&lt;&gt;1,"",IF(COUNTIFS($DZ$4:$DZ$4,$G30,$EK$4:$EK$4,"&lt;&gt;")=0,"",VLOOKUP($G30,$DZ$4:$EL$4,12,FALSE))))</x:f>
      </x:c>
      <x:c r="AE30" s="56" t="n">
        <x:f>IF(OR(G30="",A29&lt;&gt;"",B30&lt;&gt;B29),0,IF(G30=G29,IF(Q30=Q29,0,AD30),AC30+IF(Q30=Q29,0,AD30)))</x:f>
        <x:v>0</x:v>
      </x:c>
      <x:c r="AF30" s="70"/>
      <x:c r="AG30" s="239" t="str">
        <x:f>IF(OR(G30="",B30="",B30="填写机号",COUNT($I$2)=0,COUNT(O30)=0,O30&lt;=0),"",MAX($I$2,C29)+AE30)</x:f>
      </x:c>
      <x:c r="AH30" s="239" t="str">
        <x:f>IF(OR(COUNT(AG30,N30,O30)&lt;3,O30&lt;=0),"",AG30+N30/O30)</x:f>
      </x:c>
      <x:c r="AI30" s="142" t="str">
        <x:f>IF(COUNT(AH30)=0,"",YEAR(AH30)&amp;"/"&amp;MONTH(AH30))</x:f>
      </x:c>
      <x:c r="AJ30" s="239" t="str">
        <x:f>IF(COUNT(AH30)=0,"",AH30+$EM$1)</x:f>
      </x:c>
      <x:c r="AK30" s="48" t="str">
        <x:f>IF(COUNT(AB30,AJ30)&lt;2,"",AB30-AJ30)</x:f>
      </x:c>
      <x:c r="AL30" s="159"/>
      <x:c r="AM30" s="159" t="str">
        <x:f>IF(OR(COUNT(N30,O30)&lt;2,O30&lt;=0),"",N30/O30)</x:f>
      </x:c>
      <x:c r="AN30" s="159"/>
      <x:c r="AO30" s="159"/>
      <x:c r="AP30" s="159"/>
      <x:c r="AQ30" s="159"/>
      <x:c r="AR30" s="159"/>
      <x:c r="AS30" s="234"/>
      <x:c r="AT30" s="159"/>
      <x:c r="AU30" s="159" t="str">
        <x:f>IF($G30="","",IF(COUNTIF($DZ$4:$DZ$4,$G30)&lt;&gt;1,"",IF(COUNTIFS($DZ$4:$DZ$4,$G30,$EG$4:$EG$4,"&lt;&gt;")=0,"",VLOOKUP($G30,$DZ$4:$EL$4,8,FALSE))))</x:f>
      </x:c>
      <x:c r="AV30" s="159" t="str">
        <x:f>IF($G30="","",IF(COUNTIF($DZ$4:$DZ$4,$G30)&lt;&gt;1,"",IF(COUNTIFS($DZ$4:$DZ$4,$G30,$EH$4:$EH$4,"&lt;&gt;")=0,"",VLOOKUP($G30,$DZ$4:$EL$4,9,FALSE))))</x:f>
      </x:c>
      <x:c r="AW30" s="209"/>
      <x:c r="AX30" s="209"/>
      <x:c r="AY30" s="159"/>
      <x:c r="AZ30" s="159"/>
      <x:c r="BA30" s="159"/>
      <x:c r="BB30" s="159"/>
      <x:c r="BC30" s="159"/>
      <x:c r="BD30" s="159"/>
      <x:c r="BE30" s="159"/>
      <x:c r="BF30" s="159"/>
      <x:c r="BG30" s="159"/>
      <x:c r="BH30" s="159"/>
      <x:c r="BI30" s="159"/>
      <x:c r="BJ30" s="159"/>
      <x:c r="BK30" s="159"/>
      <x:c r="BL30" s="159"/>
      <x:c r="BM30" s="159"/>
      <x:c r="BN30" s="159"/>
      <x:c r="BO30" s="159"/>
      <x:c r="BP30" s="159"/>
      <x:c r="BQ30" s="159"/>
      <x:c r="BR30" s="159"/>
      <x:c r="BS30" s="159"/>
      <x:c r="BT30" s="159"/>
      <x:c r="BU30" s="159"/>
      <x:c r="BV30" s="159"/>
      <x:c r="BW30" s="159"/>
      <x:c r="BX30" s="159"/>
      <x:c r="BY30" s="159"/>
      <x:c r="BZ30" s="159"/>
      <x:c r="CA30" s="159"/>
      <x:c r="CB30" s="159"/>
      <x:c r="CC30" s="159"/>
      <x:c r="CD30" s="159"/>
      <x:c r="CE30" s="159"/>
      <x:c r="CF30" s="159"/>
      <x:c r="CG30" s="159"/>
      <x:c r="CH30" s="159"/>
      <x:c r="CI30" s="159"/>
      <x:c r="CJ30" s="159"/>
      <x:c r="CK30" s="159"/>
      <x:c r="CL30" s="159"/>
      <x:c r="CM30" s="159"/>
      <x:c r="CN30" s="159"/>
      <x:c r="CO30" s="159"/>
      <x:c r="CP30" s="159"/>
      <x:c r="CQ30" s="159"/>
      <x:c r="CR30" s="159"/>
      <x:c r="CS30" s="159"/>
      <x:c r="CT30" s="159"/>
      <x:c r="CU30" s="159"/>
      <x:c r="CV30" s="159"/>
      <x:c r="CW30" s="159"/>
      <x:c r="CX30" s="159"/>
      <x:c r="CY30" s="159"/>
      <x:c r="CZ30" s="159"/>
      <x:c r="DA30" s="159"/>
      <x:c r="DB30" s="159"/>
      <x:c r="DC30" s="159"/>
      <x:c r="DD30" s="159"/>
      <x:c r="DE30" s="159"/>
      <x:c r="DF30" s="159"/>
      <x:c r="DG30" s="159"/>
      <x:c r="DH30" s="159"/>
      <x:c r="DI30" s="159"/>
      <x:c r="DJ30" s="159"/>
    </x:row>
    <x:row r="31" ht="18" customHeight="1">
      <x:c r="A31" s="159"/>
      <x:c r="B31" s="20" t="str">
        <x:f>IF(A30="待排区","",IF(A30&lt;&gt;"",A30,B30))</x:f>
      </x:c>
      <x:c r="C31" s="20" t="n">
        <x:f>IF(COUNT(AH31)&gt;0,AH31,C30)</x:f>
        <x:v>0</x:v>
      </x:c>
      <x:c r="D31" s="20" t="str">
        <x:f>IF($G31="","",IF(COUNTIF($DZ$4:$DZ$4,$G31)&lt;&gt;1,"",IF(COUNTIFS($DZ$4:$DZ$4,$G31,$EI$4:$EI$4,"&lt;&gt;")=0,"",VLOOKUP($G31,$DZ$4:$EL$4,10,FALSE))))</x:f>
      </x:c>
      <x:c r="E31" s="235"/>
      <x:c r="F31" s="20" t="str">
        <x:f>IF($G31="","",IF(COUNTIF($DZ$4:$DZ$4,$G31)&lt;&gt;1,"",IF(COUNTIFS($DZ$4:$DZ$4,$G31,$EB$4:$EB$4,"&lt;&gt;")=0,"",VLOOKUP($G31,$DZ$4:$EL$4,3,FALSE))))</x:f>
      </x:c>
      <x:c r="G31" s="234"/>
      <x:c r="H31" s="20" t="str">
        <x:f>IF($G31="","",IF(COUNTIF($DZ$4:$DZ$4,$G31)&lt;&gt;1,"",IF(COUNTIFS($DZ$4:$DZ$4,$G31,$EA$4:$EA$4,"&lt;&gt;")=0,"",VLOOKUP($G31,$DZ$4:$EL$4,2,FALSE))))</x:f>
      </x:c>
      <x:c r="I31" s="234"/>
      <x:c r="J31" s="234"/>
      <x:c r="K31" s="236"/>
      <x:c r="L31" s="236"/>
      <x:c r="M31" s="237" t="str">
        <x:f>IF(G31="","",SUM(AW31:AX31,BA31:DJ31))</x:f>
      </x:c>
      <x:c r="N31" s="236" t="str">
        <x:f>IF(G31="","",IF(COUNT(L31,M31)&lt;2,"",MAX(0,L31-M31)))</x:f>
      </x:c>
      <x:c r="O31" s="238" t="str">
        <x:f>IF($G31="","",IF(COUNTIF($DZ$4:$DZ$4,$G31)&lt;&gt;1,"",IF(COUNTIFS($DZ$4:$DZ$4,$G31,$EC$4:$EC$4,"&lt;&gt;")=0,"",VLOOKUP($G31,$DZ$4:$EL$4,4,FALSE))))</x:f>
      </x:c>
      <x:c r="P31" s="159"/>
      <x:c r="Q31" s="234"/>
      <x:c r="R31" s="234"/>
      <x:c r="S31" s="234"/>
      <x:c r="T31" s="20" t="str">
        <x:f>IF($G31="","",IF(COUNTIF($DZ$4:$DZ$4,$G31)&lt;&gt;1,"",IF(COUNTIFS($DZ$4:$DZ$4,$G31,$ED$4:$ED$4,"&lt;&gt;")=0,"",VLOOKUP($G31,$DZ$4:$EL$4,5,FALSE))))</x:f>
      </x:c>
      <x:c r="U31" s="159" t="str">
        <x:f>IF($G31="","",IF(COUNTIF($DZ$4:$DZ$4,$G31)&lt;&gt;1,"",IF(COUNTIFS($DZ$4:$DZ$4,$G31,$EE$4:$EE$4,"&lt;&gt;")=0,"",VLOOKUP($G31,$DZ$4:$EL$4,6,FALSE))))</x:f>
      </x:c>
      <x:c r="V31" s="11" t="str">
        <x:f>IF(COUNT(N31,T31)&lt;2,"",N31*T31/1000*(1+$EM$2))</x:f>
      </x:c>
      <x:c r="W31" s="134" t="str">
        <x:f>IF($G31="","",IF(COUNTIF($DZ$4:$DZ$4,$G31)&lt;&gt;1,"",IF(COUNTIFS($DZ$4:$DZ$4,$G31,$EF$4:$EF$4,"&lt;&gt;")=0,"",VLOOKUP($G31,$DZ$4:$EL$4,7,FALSE))))</x:f>
      </x:c>
      <x:c r="X31" s="36" t="str">
        <x:f>IF(COUNT(N31,W31)&lt;2,"",N31*W31)</x:f>
      </x:c>
      <x:c r="Y31" s="159"/>
      <x:c r="Z31" s="239"/>
      <x:c r="AA31" s="240"/>
      <x:c r="AB31" s="239"/>
      <x:c r="AC31" s="138" t="str">
        <x:f>IF($G31="","",IF(COUNTIF($DZ$4:$DZ$4,$G31)&lt;&gt;1,"",IF(COUNTIFS($DZ$4:$DZ$4,$G31,$EJ$4:$EJ$4,"&lt;&gt;")=0,"",VLOOKUP($G31,$DZ$4:$EL$4,11,FALSE))))</x:f>
      </x:c>
      <x:c r="AD31" s="138" t="str">
        <x:f>IF($G31="","",IF(COUNTIF($DZ$4:$DZ$4,$G31)&lt;&gt;1,"",IF(COUNTIFS($DZ$4:$DZ$4,$G31,$EK$4:$EK$4,"&lt;&gt;")=0,"",VLOOKUP($G31,$DZ$4:$EL$4,12,FALSE))))</x:f>
      </x:c>
      <x:c r="AE31" s="56" t="n">
        <x:f>IF(OR(G31="",A30&lt;&gt;"",B31&lt;&gt;B30),0,IF(G31=G30,IF(Q31=Q30,0,AD31),AC31+IF(Q31=Q30,0,AD31)))</x:f>
        <x:v>0</x:v>
      </x:c>
      <x:c r="AF31" s="70"/>
      <x:c r="AG31" s="239" t="str">
        <x:f>IF(OR(G31="",B31="",B31="填写机号",COUNT($I$2)=0,COUNT(O31)=0,O31&lt;=0),"",MAX($I$2,C30)+AE31)</x:f>
      </x:c>
      <x:c r="AH31" s="239" t="str">
        <x:f>IF(OR(COUNT(AG31,N31,O31)&lt;3,O31&lt;=0),"",AG31+N31/O31)</x:f>
      </x:c>
      <x:c r="AI31" s="142" t="str">
        <x:f>IF(COUNT(AH31)=0,"",YEAR(AH31)&amp;"/"&amp;MONTH(AH31))</x:f>
      </x:c>
      <x:c r="AJ31" s="239" t="str">
        <x:f>IF(COUNT(AH31)=0,"",AH31+$EM$1)</x:f>
      </x:c>
      <x:c r="AK31" s="48" t="str">
        <x:f>IF(COUNT(AB31,AJ31)&lt;2,"",AB31-AJ31)</x:f>
      </x:c>
      <x:c r="AL31" s="159"/>
      <x:c r="AM31" s="159" t="str">
        <x:f>IF(OR(COUNT(N31,O31)&lt;2,O31&lt;=0),"",N31/O31)</x:f>
      </x:c>
      <x:c r="AN31" s="159"/>
      <x:c r="AO31" s="159"/>
      <x:c r="AP31" s="159"/>
      <x:c r="AQ31" s="159"/>
      <x:c r="AR31" s="159"/>
      <x:c r="AS31" s="234"/>
      <x:c r="AT31" s="159"/>
      <x:c r="AU31" s="159" t="str">
        <x:f>IF($G31="","",IF(COUNTIF($DZ$4:$DZ$4,$G31)&lt;&gt;1,"",IF(COUNTIFS($DZ$4:$DZ$4,$G31,$EG$4:$EG$4,"&lt;&gt;")=0,"",VLOOKUP($G31,$DZ$4:$EL$4,8,FALSE))))</x:f>
      </x:c>
      <x:c r="AV31" s="159" t="str">
        <x:f>IF($G31="","",IF(COUNTIF($DZ$4:$DZ$4,$G31)&lt;&gt;1,"",IF(COUNTIFS($DZ$4:$DZ$4,$G31,$EH$4:$EH$4,"&lt;&gt;")=0,"",VLOOKUP($G31,$DZ$4:$EL$4,9,FALSE))))</x:f>
      </x:c>
      <x:c r="AW31" s="209"/>
      <x:c r="AX31" s="209"/>
      <x:c r="AY31" s="159"/>
      <x:c r="AZ31" s="159"/>
      <x:c r="BA31" s="159"/>
      <x:c r="BB31" s="159"/>
      <x:c r="BC31" s="159"/>
      <x:c r="BD31" s="159"/>
      <x:c r="BE31" s="159"/>
      <x:c r="BF31" s="159"/>
      <x:c r="BG31" s="159"/>
      <x:c r="BH31" s="159"/>
      <x:c r="BI31" s="159"/>
      <x:c r="BJ31" s="159"/>
      <x:c r="BK31" s="159"/>
      <x:c r="BL31" s="159"/>
      <x:c r="BM31" s="159"/>
      <x:c r="BN31" s="159"/>
      <x:c r="BO31" s="159"/>
      <x:c r="BP31" s="159"/>
      <x:c r="BQ31" s="159"/>
      <x:c r="BR31" s="159"/>
      <x:c r="BS31" s="159"/>
      <x:c r="BT31" s="159"/>
      <x:c r="BU31" s="159"/>
      <x:c r="BV31" s="159"/>
      <x:c r="BW31" s="159"/>
      <x:c r="BX31" s="159"/>
      <x:c r="BY31" s="159"/>
      <x:c r="BZ31" s="159"/>
      <x:c r="CA31" s="159"/>
      <x:c r="CB31" s="159"/>
      <x:c r="CC31" s="159"/>
      <x:c r="CD31" s="159"/>
      <x:c r="CE31" s="159"/>
      <x:c r="CF31" s="159"/>
      <x:c r="CG31" s="159"/>
      <x:c r="CH31" s="159"/>
      <x:c r="CI31" s="159"/>
      <x:c r="CJ31" s="159"/>
      <x:c r="CK31" s="159"/>
      <x:c r="CL31" s="159"/>
      <x:c r="CM31" s="159"/>
      <x:c r="CN31" s="159"/>
      <x:c r="CO31" s="159"/>
      <x:c r="CP31" s="159"/>
      <x:c r="CQ31" s="159"/>
      <x:c r="CR31" s="159"/>
      <x:c r="CS31" s="159"/>
      <x:c r="CT31" s="159"/>
      <x:c r="CU31" s="159"/>
      <x:c r="CV31" s="159"/>
      <x:c r="CW31" s="159"/>
      <x:c r="CX31" s="159"/>
      <x:c r="CY31" s="159"/>
      <x:c r="CZ31" s="159"/>
      <x:c r="DA31" s="159"/>
      <x:c r="DB31" s="159"/>
      <x:c r="DC31" s="159"/>
      <x:c r="DD31" s="159"/>
      <x:c r="DE31" s="159"/>
      <x:c r="DF31" s="159"/>
      <x:c r="DG31" s="159"/>
      <x:c r="DH31" s="159"/>
      <x:c r="DI31" s="159"/>
      <x:c r="DJ31" s="159"/>
    </x:row>
    <x:row r="32" ht="18" customHeight="1">
      <x:c r="A32" s="159"/>
      <x:c r="B32" s="20" t="str">
        <x:f>IF(A31="待排区","",IF(A31&lt;&gt;"",A31,B31))</x:f>
      </x:c>
      <x:c r="C32" s="20" t="n">
        <x:f>IF(COUNT(AH32)&gt;0,AH32,C31)</x:f>
        <x:v>0</x:v>
      </x:c>
      <x:c r="D32" s="20" t="str">
        <x:f>IF($G32="","",IF(COUNTIF($DZ$4:$DZ$4,$G32)&lt;&gt;1,"",IF(COUNTIFS($DZ$4:$DZ$4,$G32,$EI$4:$EI$4,"&lt;&gt;")=0,"",VLOOKUP($G32,$DZ$4:$EL$4,10,FALSE))))</x:f>
      </x:c>
      <x:c r="E32" s="235"/>
      <x:c r="F32" s="20" t="str">
        <x:f>IF($G32="","",IF(COUNTIF($DZ$4:$DZ$4,$G32)&lt;&gt;1,"",IF(COUNTIFS($DZ$4:$DZ$4,$G32,$EB$4:$EB$4,"&lt;&gt;")=0,"",VLOOKUP($G32,$DZ$4:$EL$4,3,FALSE))))</x:f>
      </x:c>
      <x:c r="G32" s="234"/>
      <x:c r="H32" s="20" t="str">
        <x:f>IF($G32="","",IF(COUNTIF($DZ$4:$DZ$4,$G32)&lt;&gt;1,"",IF(COUNTIFS($DZ$4:$DZ$4,$G32,$EA$4:$EA$4,"&lt;&gt;")=0,"",VLOOKUP($G32,$DZ$4:$EL$4,2,FALSE))))</x:f>
      </x:c>
      <x:c r="I32" s="234"/>
      <x:c r="J32" s="234"/>
      <x:c r="K32" s="236"/>
      <x:c r="L32" s="236"/>
      <x:c r="M32" s="237" t="str">
        <x:f>IF(G32="","",SUM(AW32:AX32,BA32:DJ32))</x:f>
      </x:c>
      <x:c r="N32" s="236" t="str">
        <x:f>IF(G32="","",IF(COUNT(L32,M32)&lt;2,"",MAX(0,L32-M32)))</x:f>
      </x:c>
      <x:c r="O32" s="238" t="str">
        <x:f>IF($G32="","",IF(COUNTIF($DZ$4:$DZ$4,$G32)&lt;&gt;1,"",IF(COUNTIFS($DZ$4:$DZ$4,$G32,$EC$4:$EC$4,"&lt;&gt;")=0,"",VLOOKUP($G32,$DZ$4:$EL$4,4,FALSE))))</x:f>
      </x:c>
      <x:c r="P32" s="159"/>
      <x:c r="Q32" s="234"/>
      <x:c r="R32" s="234"/>
      <x:c r="S32" s="234"/>
      <x:c r="T32" s="20" t="str">
        <x:f>IF($G32="","",IF(COUNTIF($DZ$4:$DZ$4,$G32)&lt;&gt;1,"",IF(COUNTIFS($DZ$4:$DZ$4,$G32,$ED$4:$ED$4,"&lt;&gt;")=0,"",VLOOKUP($G32,$DZ$4:$EL$4,5,FALSE))))</x:f>
      </x:c>
      <x:c r="U32" s="159" t="str">
        <x:f>IF($G32="","",IF(COUNTIF($DZ$4:$DZ$4,$G32)&lt;&gt;1,"",IF(COUNTIFS($DZ$4:$DZ$4,$G32,$EE$4:$EE$4,"&lt;&gt;")=0,"",VLOOKUP($G32,$DZ$4:$EL$4,6,FALSE))))</x:f>
      </x:c>
      <x:c r="V32" s="11" t="str">
        <x:f>IF(COUNT(N32,T32)&lt;2,"",N32*T32/1000*(1+$EM$2))</x:f>
      </x:c>
      <x:c r="W32" s="134" t="str">
        <x:f>IF($G32="","",IF(COUNTIF($DZ$4:$DZ$4,$G32)&lt;&gt;1,"",IF(COUNTIFS($DZ$4:$DZ$4,$G32,$EF$4:$EF$4,"&lt;&gt;")=0,"",VLOOKUP($G32,$DZ$4:$EL$4,7,FALSE))))</x:f>
      </x:c>
      <x:c r="X32" s="36" t="str">
        <x:f>IF(COUNT(N32,W32)&lt;2,"",N32*W32)</x:f>
      </x:c>
      <x:c r="Y32" s="159"/>
      <x:c r="Z32" s="239"/>
      <x:c r="AA32" s="240"/>
      <x:c r="AB32" s="239"/>
      <x:c r="AC32" s="138" t="str">
        <x:f>IF($G32="","",IF(COUNTIF($DZ$4:$DZ$4,$G32)&lt;&gt;1,"",IF(COUNTIFS($DZ$4:$DZ$4,$G32,$EJ$4:$EJ$4,"&lt;&gt;")=0,"",VLOOKUP($G32,$DZ$4:$EL$4,11,FALSE))))</x:f>
      </x:c>
      <x:c r="AD32" s="138" t="str">
        <x:f>IF($G32="","",IF(COUNTIF($DZ$4:$DZ$4,$G32)&lt;&gt;1,"",IF(COUNTIFS($DZ$4:$DZ$4,$G32,$EK$4:$EK$4,"&lt;&gt;")=0,"",VLOOKUP($G32,$DZ$4:$EL$4,12,FALSE))))</x:f>
      </x:c>
      <x:c r="AE32" s="56" t="n">
        <x:f>IF(OR(G32="",A31&lt;&gt;"",B32&lt;&gt;B31),0,IF(G32=G31,IF(Q32=Q31,0,AD32),AC32+IF(Q32=Q31,0,AD32)))</x:f>
        <x:v>0</x:v>
      </x:c>
      <x:c r="AF32" s="70"/>
      <x:c r="AG32" s="239" t="str">
        <x:f>IF(OR(G32="",B32="",B32="填写机号",COUNT($I$2)=0,COUNT(O32)=0,O32&lt;=0),"",MAX($I$2,C31)+AE32)</x:f>
      </x:c>
      <x:c r="AH32" s="239" t="str">
        <x:f>IF(OR(COUNT(AG32,N32,O32)&lt;3,O32&lt;=0),"",AG32+N32/O32)</x:f>
      </x:c>
      <x:c r="AI32" s="142" t="str">
        <x:f>IF(COUNT(AH32)=0,"",YEAR(AH32)&amp;"/"&amp;MONTH(AH32))</x:f>
      </x:c>
      <x:c r="AJ32" s="239" t="str">
        <x:f>IF(COUNT(AH32)=0,"",AH32+$EM$1)</x:f>
      </x:c>
      <x:c r="AK32" s="48" t="str">
        <x:f>IF(COUNT(AB32,AJ32)&lt;2,"",AB32-AJ32)</x:f>
      </x:c>
      <x:c r="AL32" s="159"/>
      <x:c r="AM32" s="159" t="str">
        <x:f>IF(OR(COUNT(N32,O32)&lt;2,O32&lt;=0),"",N32/O32)</x:f>
      </x:c>
      <x:c r="AN32" s="159"/>
      <x:c r="AO32" s="159"/>
      <x:c r="AP32" s="159"/>
      <x:c r="AQ32" s="159"/>
      <x:c r="AR32" s="159"/>
      <x:c r="AS32" s="234"/>
      <x:c r="AT32" s="159"/>
      <x:c r="AU32" s="159" t="str">
        <x:f>IF($G32="","",IF(COUNTIF($DZ$4:$DZ$4,$G32)&lt;&gt;1,"",IF(COUNTIFS($DZ$4:$DZ$4,$G32,$EG$4:$EG$4,"&lt;&gt;")=0,"",VLOOKUP($G32,$DZ$4:$EL$4,8,FALSE))))</x:f>
      </x:c>
      <x:c r="AV32" s="159" t="str">
        <x:f>IF($G32="","",IF(COUNTIF($DZ$4:$DZ$4,$G32)&lt;&gt;1,"",IF(COUNTIFS($DZ$4:$DZ$4,$G32,$EH$4:$EH$4,"&lt;&gt;")=0,"",VLOOKUP($G32,$DZ$4:$EL$4,9,FALSE))))</x:f>
      </x:c>
      <x:c r="AW32" s="209"/>
      <x:c r="AX32" s="209"/>
      <x:c r="AY32" s="159"/>
      <x:c r="AZ32" s="159"/>
      <x:c r="BA32" s="159"/>
      <x:c r="BB32" s="159"/>
      <x:c r="BC32" s="159"/>
      <x:c r="BD32" s="159"/>
      <x:c r="BE32" s="159"/>
      <x:c r="BF32" s="159"/>
      <x:c r="BG32" s="159"/>
      <x:c r="BH32" s="159"/>
      <x:c r="BI32" s="159"/>
      <x:c r="BJ32" s="159"/>
      <x:c r="BK32" s="159"/>
      <x:c r="BL32" s="159"/>
      <x:c r="BM32" s="159"/>
      <x:c r="BN32" s="159"/>
      <x:c r="BO32" s="159"/>
      <x:c r="BP32" s="159"/>
      <x:c r="BQ32" s="159"/>
      <x:c r="BR32" s="159"/>
      <x:c r="BS32" s="159"/>
      <x:c r="BT32" s="159"/>
      <x:c r="BU32" s="159"/>
      <x:c r="BV32" s="159"/>
      <x:c r="BW32" s="159"/>
      <x:c r="BX32" s="159"/>
      <x:c r="BY32" s="159"/>
      <x:c r="BZ32" s="159"/>
      <x:c r="CA32" s="159"/>
      <x:c r="CB32" s="159"/>
      <x:c r="CC32" s="159"/>
      <x:c r="CD32" s="159"/>
      <x:c r="CE32" s="159"/>
      <x:c r="CF32" s="159"/>
      <x:c r="CG32" s="159"/>
      <x:c r="CH32" s="159"/>
      <x:c r="CI32" s="159"/>
      <x:c r="CJ32" s="159"/>
      <x:c r="CK32" s="159"/>
      <x:c r="CL32" s="159"/>
      <x:c r="CM32" s="159"/>
      <x:c r="CN32" s="159"/>
      <x:c r="CO32" s="159"/>
      <x:c r="CP32" s="159"/>
      <x:c r="CQ32" s="159"/>
      <x:c r="CR32" s="159"/>
      <x:c r="CS32" s="159"/>
      <x:c r="CT32" s="159"/>
      <x:c r="CU32" s="159"/>
      <x:c r="CV32" s="159"/>
      <x:c r="CW32" s="159"/>
      <x:c r="CX32" s="159"/>
      <x:c r="CY32" s="159"/>
      <x:c r="CZ32" s="159"/>
      <x:c r="DA32" s="159"/>
      <x:c r="DB32" s="159"/>
      <x:c r="DC32" s="159"/>
      <x:c r="DD32" s="159"/>
      <x:c r="DE32" s="159"/>
      <x:c r="DF32" s="159"/>
      <x:c r="DG32" s="159"/>
      <x:c r="DH32" s="159"/>
      <x:c r="DI32" s="159"/>
      <x:c r="DJ32" s="159"/>
    </x:row>
    <x:row r="33" ht="18" customHeight="1">
      <x:c r="A33" s="159"/>
      <x:c r="B33" s="20" t="str">
        <x:f>IF(A32="待排区","",IF(A32&lt;&gt;"",A32,B32))</x:f>
      </x:c>
      <x:c r="C33" s="20" t="n">
        <x:f>IF(COUNT(AH33)&gt;0,AH33,C32)</x:f>
        <x:v>0</x:v>
      </x:c>
      <x:c r="D33" s="20" t="str">
        <x:f>IF($G33="","",IF(COUNTIF($DZ$4:$DZ$4,$G33)&lt;&gt;1,"",IF(COUNTIFS($DZ$4:$DZ$4,$G33,$EI$4:$EI$4,"&lt;&gt;")=0,"",VLOOKUP($G33,$DZ$4:$EL$4,10,FALSE))))</x:f>
      </x:c>
      <x:c r="E33" s="235"/>
      <x:c r="F33" s="20" t="str">
        <x:f>IF($G33="","",IF(COUNTIF($DZ$4:$DZ$4,$G33)&lt;&gt;1,"",IF(COUNTIFS($DZ$4:$DZ$4,$G33,$EB$4:$EB$4,"&lt;&gt;")=0,"",VLOOKUP($G33,$DZ$4:$EL$4,3,FALSE))))</x:f>
      </x:c>
      <x:c r="G33" s="234"/>
      <x:c r="H33" s="20" t="str">
        <x:f>IF($G33="","",IF(COUNTIF($DZ$4:$DZ$4,$G33)&lt;&gt;1,"",IF(COUNTIFS($DZ$4:$DZ$4,$G33,$EA$4:$EA$4,"&lt;&gt;")=0,"",VLOOKUP($G33,$DZ$4:$EL$4,2,FALSE))))</x:f>
      </x:c>
      <x:c r="I33" s="234"/>
      <x:c r="J33" s="234"/>
      <x:c r="K33" s="236"/>
      <x:c r="L33" s="236"/>
      <x:c r="M33" s="237" t="str">
        <x:f>IF(G33="","",SUM(AW33:AX33,BA33:DJ33))</x:f>
      </x:c>
      <x:c r="N33" s="236" t="str">
        <x:f>IF(G33="","",IF(COUNT(L33,M33)&lt;2,"",MAX(0,L33-M33)))</x:f>
      </x:c>
      <x:c r="O33" s="238" t="str">
        <x:f>IF($G33="","",IF(COUNTIF($DZ$4:$DZ$4,$G33)&lt;&gt;1,"",IF(COUNTIFS($DZ$4:$DZ$4,$G33,$EC$4:$EC$4,"&lt;&gt;")=0,"",VLOOKUP($G33,$DZ$4:$EL$4,4,FALSE))))</x:f>
      </x:c>
      <x:c r="P33" s="159"/>
      <x:c r="Q33" s="234"/>
      <x:c r="R33" s="234"/>
      <x:c r="S33" s="234"/>
      <x:c r="T33" s="20" t="str">
        <x:f>IF($G33="","",IF(COUNTIF($DZ$4:$DZ$4,$G33)&lt;&gt;1,"",IF(COUNTIFS($DZ$4:$DZ$4,$G33,$ED$4:$ED$4,"&lt;&gt;")=0,"",VLOOKUP($G33,$DZ$4:$EL$4,5,FALSE))))</x:f>
      </x:c>
      <x:c r="U33" s="159" t="str">
        <x:f>IF($G33="","",IF(COUNTIF($DZ$4:$DZ$4,$G33)&lt;&gt;1,"",IF(COUNTIFS($DZ$4:$DZ$4,$G33,$EE$4:$EE$4,"&lt;&gt;")=0,"",VLOOKUP($G33,$DZ$4:$EL$4,6,FALSE))))</x:f>
      </x:c>
      <x:c r="V33" s="11" t="str">
        <x:f>IF(COUNT(N33,T33)&lt;2,"",N33*T33/1000*(1+$EM$2))</x:f>
      </x:c>
      <x:c r="W33" s="134" t="str">
        <x:f>IF($G33="","",IF(COUNTIF($DZ$4:$DZ$4,$G33)&lt;&gt;1,"",IF(COUNTIFS($DZ$4:$DZ$4,$G33,$EF$4:$EF$4,"&lt;&gt;")=0,"",VLOOKUP($G33,$DZ$4:$EL$4,7,FALSE))))</x:f>
      </x:c>
      <x:c r="X33" s="36" t="str">
        <x:f>IF(COUNT(N33,W33)&lt;2,"",N33*W33)</x:f>
      </x:c>
      <x:c r="Y33" s="159"/>
      <x:c r="Z33" s="239"/>
      <x:c r="AA33" s="240"/>
      <x:c r="AB33" s="239"/>
      <x:c r="AC33" s="138" t="str">
        <x:f>IF($G33="","",IF(COUNTIF($DZ$4:$DZ$4,$G33)&lt;&gt;1,"",IF(COUNTIFS($DZ$4:$DZ$4,$G33,$EJ$4:$EJ$4,"&lt;&gt;")=0,"",VLOOKUP($G33,$DZ$4:$EL$4,11,FALSE))))</x:f>
      </x:c>
      <x:c r="AD33" s="138" t="str">
        <x:f>IF($G33="","",IF(COUNTIF($DZ$4:$DZ$4,$G33)&lt;&gt;1,"",IF(COUNTIFS($DZ$4:$DZ$4,$G33,$EK$4:$EK$4,"&lt;&gt;")=0,"",VLOOKUP($G33,$DZ$4:$EL$4,12,FALSE))))</x:f>
      </x:c>
      <x:c r="AE33" s="56" t="n">
        <x:f>IF(OR(G33="",A32&lt;&gt;"",B33&lt;&gt;B32),0,IF(G33=G32,IF(Q33=Q32,0,AD33),AC33+IF(Q33=Q32,0,AD33)))</x:f>
        <x:v>0</x:v>
      </x:c>
      <x:c r="AF33" s="70"/>
      <x:c r="AG33" s="239" t="str">
        <x:f>IF(OR(G33="",B33="",B33="填写机号",COUNT($I$2)=0,COUNT(O33)=0,O33&lt;=0),"",MAX($I$2,C32)+AE33)</x:f>
      </x:c>
      <x:c r="AH33" s="239" t="str">
        <x:f>IF(OR(COUNT(AG33,N33,O33)&lt;3,O33&lt;=0),"",AG33+N33/O33)</x:f>
      </x:c>
      <x:c r="AI33" s="142" t="str">
        <x:f>IF(COUNT(AH33)=0,"",YEAR(AH33)&amp;"/"&amp;MONTH(AH33))</x:f>
      </x:c>
      <x:c r="AJ33" s="239" t="str">
        <x:f>IF(COUNT(AH33)=0,"",AH33+$EM$1)</x:f>
      </x:c>
      <x:c r="AK33" s="48" t="str">
        <x:f>IF(COUNT(AB33,AJ33)&lt;2,"",AB33-AJ33)</x:f>
      </x:c>
      <x:c r="AL33" s="159"/>
      <x:c r="AM33" s="159" t="str">
        <x:f>IF(OR(COUNT(N33,O33)&lt;2,O33&lt;=0),"",N33/O33)</x:f>
      </x:c>
      <x:c r="AN33" s="159"/>
      <x:c r="AO33" s="159"/>
      <x:c r="AP33" s="159"/>
      <x:c r="AQ33" s="159"/>
      <x:c r="AR33" s="159"/>
      <x:c r="AS33" s="234"/>
      <x:c r="AT33" s="159"/>
      <x:c r="AU33" s="159" t="str">
        <x:f>IF($G33="","",IF(COUNTIF($DZ$4:$DZ$4,$G33)&lt;&gt;1,"",IF(COUNTIFS($DZ$4:$DZ$4,$G33,$EG$4:$EG$4,"&lt;&gt;")=0,"",VLOOKUP($G33,$DZ$4:$EL$4,8,FALSE))))</x:f>
      </x:c>
      <x:c r="AV33" s="159" t="str">
        <x:f>IF($G33="","",IF(COUNTIF($DZ$4:$DZ$4,$G33)&lt;&gt;1,"",IF(COUNTIFS($DZ$4:$DZ$4,$G33,$EH$4:$EH$4,"&lt;&gt;")=0,"",VLOOKUP($G33,$DZ$4:$EL$4,9,FALSE))))</x:f>
      </x:c>
      <x:c r="AW33" s="209"/>
      <x:c r="AX33" s="209"/>
      <x:c r="AY33" s="159"/>
      <x:c r="AZ33" s="159"/>
      <x:c r="BA33" s="159"/>
      <x:c r="BB33" s="159"/>
      <x:c r="BC33" s="159"/>
      <x:c r="BD33" s="159"/>
      <x:c r="BE33" s="159"/>
      <x:c r="BF33" s="159"/>
      <x:c r="BG33" s="159"/>
      <x:c r="BH33" s="159"/>
      <x:c r="BI33" s="159"/>
      <x:c r="BJ33" s="159"/>
      <x:c r="BK33" s="159"/>
      <x:c r="BL33" s="159"/>
      <x:c r="BM33" s="159"/>
      <x:c r="BN33" s="159"/>
      <x:c r="BO33" s="159"/>
      <x:c r="BP33" s="159"/>
      <x:c r="BQ33" s="159"/>
      <x:c r="BR33" s="159"/>
      <x:c r="BS33" s="159"/>
      <x:c r="BT33" s="159"/>
      <x:c r="BU33" s="159"/>
      <x:c r="BV33" s="159"/>
      <x:c r="BW33" s="159"/>
      <x:c r="BX33" s="159"/>
      <x:c r="BY33" s="159"/>
      <x:c r="BZ33" s="159"/>
      <x:c r="CA33" s="159"/>
      <x:c r="CB33" s="159"/>
      <x:c r="CC33" s="159"/>
      <x:c r="CD33" s="159"/>
      <x:c r="CE33" s="159"/>
      <x:c r="CF33" s="159"/>
      <x:c r="CG33" s="159"/>
      <x:c r="CH33" s="159"/>
      <x:c r="CI33" s="159"/>
      <x:c r="CJ33" s="159"/>
      <x:c r="CK33" s="159"/>
      <x:c r="CL33" s="159"/>
      <x:c r="CM33" s="159"/>
      <x:c r="CN33" s="159"/>
      <x:c r="CO33" s="159"/>
      <x:c r="CP33" s="159"/>
      <x:c r="CQ33" s="159"/>
      <x:c r="CR33" s="159"/>
      <x:c r="CS33" s="159"/>
      <x:c r="CT33" s="159"/>
      <x:c r="CU33" s="159"/>
      <x:c r="CV33" s="159"/>
      <x:c r="CW33" s="159"/>
      <x:c r="CX33" s="159"/>
      <x:c r="CY33" s="159"/>
      <x:c r="CZ33" s="159"/>
      <x:c r="DA33" s="159"/>
      <x:c r="DB33" s="159"/>
      <x:c r="DC33" s="159"/>
      <x:c r="DD33" s="159"/>
      <x:c r="DE33" s="159"/>
      <x:c r="DF33" s="159"/>
      <x:c r="DG33" s="159"/>
      <x:c r="DH33" s="159"/>
      <x:c r="DI33" s="159"/>
      <x:c r="DJ33" s="159"/>
    </x:row>
    <x:row r="34" ht="18" customHeight="1">
      <x:c r="A34" s="159"/>
      <x:c r="B34" s="20" t="str">
        <x:f>IF(A33="待排区","",IF(A33&lt;&gt;"",A33,B33))</x:f>
      </x:c>
      <x:c r="C34" s="20" t="n">
        <x:f>IF(COUNT(AH34)&gt;0,AH34,C33)</x:f>
        <x:v>0</x:v>
      </x:c>
      <x:c r="D34" s="20" t="str">
        <x:f>IF($G34="","",IF(COUNTIF($DZ$4:$DZ$4,$G34)&lt;&gt;1,"",IF(COUNTIFS($DZ$4:$DZ$4,$G34,$EI$4:$EI$4,"&lt;&gt;")=0,"",VLOOKUP($G34,$DZ$4:$EL$4,10,FALSE))))</x:f>
      </x:c>
      <x:c r="E34" s="235"/>
      <x:c r="F34" s="20" t="str">
        <x:f>IF($G34="","",IF(COUNTIF($DZ$4:$DZ$4,$G34)&lt;&gt;1,"",IF(COUNTIFS($DZ$4:$DZ$4,$G34,$EB$4:$EB$4,"&lt;&gt;")=0,"",VLOOKUP($G34,$DZ$4:$EL$4,3,FALSE))))</x:f>
      </x:c>
      <x:c r="G34" s="234"/>
      <x:c r="H34" s="20" t="str">
        <x:f>IF($G34="","",IF(COUNTIF($DZ$4:$DZ$4,$G34)&lt;&gt;1,"",IF(COUNTIFS($DZ$4:$DZ$4,$G34,$EA$4:$EA$4,"&lt;&gt;")=0,"",VLOOKUP($G34,$DZ$4:$EL$4,2,FALSE))))</x:f>
      </x:c>
      <x:c r="I34" s="234"/>
      <x:c r="J34" s="234"/>
      <x:c r="K34" s="236"/>
      <x:c r="L34" s="236"/>
      <x:c r="M34" s="237" t="str">
        <x:f>IF(G34="","",SUM(AW34:AX34,BA34:DJ34))</x:f>
      </x:c>
      <x:c r="N34" s="236" t="str">
        <x:f>IF(G34="","",IF(COUNT(L34,M34)&lt;2,"",MAX(0,L34-M34)))</x:f>
      </x:c>
      <x:c r="O34" s="238" t="str">
        <x:f>IF($G34="","",IF(COUNTIF($DZ$4:$DZ$4,$G34)&lt;&gt;1,"",IF(COUNTIFS($DZ$4:$DZ$4,$G34,$EC$4:$EC$4,"&lt;&gt;")=0,"",VLOOKUP($G34,$DZ$4:$EL$4,4,FALSE))))</x:f>
      </x:c>
      <x:c r="P34" s="159"/>
      <x:c r="Q34" s="234"/>
      <x:c r="R34" s="234"/>
      <x:c r="S34" s="234"/>
      <x:c r="T34" s="20" t="str">
        <x:f>IF($G34="","",IF(COUNTIF($DZ$4:$DZ$4,$G34)&lt;&gt;1,"",IF(COUNTIFS($DZ$4:$DZ$4,$G34,$ED$4:$ED$4,"&lt;&gt;")=0,"",VLOOKUP($G34,$DZ$4:$EL$4,5,FALSE))))</x:f>
      </x:c>
      <x:c r="U34" s="159" t="str">
        <x:f>IF($G34="","",IF(COUNTIF($DZ$4:$DZ$4,$G34)&lt;&gt;1,"",IF(COUNTIFS($DZ$4:$DZ$4,$G34,$EE$4:$EE$4,"&lt;&gt;")=0,"",VLOOKUP($G34,$DZ$4:$EL$4,6,FALSE))))</x:f>
      </x:c>
      <x:c r="V34" s="11" t="str">
        <x:f>IF(COUNT(N34,T34)&lt;2,"",N34*T34/1000*(1+$EM$2))</x:f>
      </x:c>
      <x:c r="W34" s="134" t="str">
        <x:f>IF($G34="","",IF(COUNTIF($DZ$4:$DZ$4,$G34)&lt;&gt;1,"",IF(COUNTIFS($DZ$4:$DZ$4,$G34,$EF$4:$EF$4,"&lt;&gt;")=0,"",VLOOKUP($G34,$DZ$4:$EL$4,7,FALSE))))</x:f>
      </x:c>
      <x:c r="X34" s="36" t="str">
        <x:f>IF(COUNT(N34,W34)&lt;2,"",N34*W34)</x:f>
      </x:c>
      <x:c r="Y34" s="159"/>
      <x:c r="Z34" s="239"/>
      <x:c r="AA34" s="240"/>
      <x:c r="AB34" s="239"/>
      <x:c r="AC34" s="138" t="str">
        <x:f>IF($G34="","",IF(COUNTIF($DZ$4:$DZ$4,$G34)&lt;&gt;1,"",IF(COUNTIFS($DZ$4:$DZ$4,$G34,$EJ$4:$EJ$4,"&lt;&gt;")=0,"",VLOOKUP($G34,$DZ$4:$EL$4,11,FALSE))))</x:f>
      </x:c>
      <x:c r="AD34" s="138" t="str">
        <x:f>IF($G34="","",IF(COUNTIF($DZ$4:$DZ$4,$G34)&lt;&gt;1,"",IF(COUNTIFS($DZ$4:$DZ$4,$G34,$EK$4:$EK$4,"&lt;&gt;")=0,"",VLOOKUP($G34,$DZ$4:$EL$4,12,FALSE))))</x:f>
      </x:c>
      <x:c r="AE34" s="56" t="n">
        <x:f>IF(OR(G34="",A33&lt;&gt;"",B34&lt;&gt;B33),0,IF(G34=G33,IF(Q34=Q33,0,AD34),AC34+IF(Q34=Q33,0,AD34)))</x:f>
        <x:v>0</x:v>
      </x:c>
      <x:c r="AF34" s="70"/>
      <x:c r="AG34" s="239" t="str">
        <x:f>IF(OR(G34="",B34="",B34="填写机号",COUNT($I$2)=0,COUNT(O34)=0,O34&lt;=0),"",MAX($I$2,C33)+AE34)</x:f>
      </x:c>
      <x:c r="AH34" s="239" t="str">
        <x:f>IF(OR(COUNT(AG34,N34,O34)&lt;3,O34&lt;=0),"",AG34+N34/O34)</x:f>
      </x:c>
      <x:c r="AI34" s="142" t="str">
        <x:f>IF(COUNT(AH34)=0,"",YEAR(AH34)&amp;"/"&amp;MONTH(AH34))</x:f>
      </x:c>
      <x:c r="AJ34" s="239" t="str">
        <x:f>IF(COUNT(AH34)=0,"",AH34+$EM$1)</x:f>
      </x:c>
      <x:c r="AK34" s="48" t="str">
        <x:f>IF(COUNT(AB34,AJ34)&lt;2,"",AB34-AJ34)</x:f>
      </x:c>
      <x:c r="AL34" s="159"/>
      <x:c r="AM34" s="159" t="str">
        <x:f>IF(OR(COUNT(N34,O34)&lt;2,O34&lt;=0),"",N34/O34)</x:f>
      </x:c>
      <x:c r="AN34" s="159"/>
      <x:c r="AO34" s="159"/>
      <x:c r="AP34" s="159"/>
      <x:c r="AQ34" s="159"/>
      <x:c r="AR34" s="159"/>
      <x:c r="AS34" s="234"/>
      <x:c r="AT34" s="159"/>
      <x:c r="AU34" s="159" t="str">
        <x:f>IF($G34="","",IF(COUNTIF($DZ$4:$DZ$4,$G34)&lt;&gt;1,"",IF(COUNTIFS($DZ$4:$DZ$4,$G34,$EG$4:$EG$4,"&lt;&gt;")=0,"",VLOOKUP($G34,$DZ$4:$EL$4,8,FALSE))))</x:f>
      </x:c>
      <x:c r="AV34" s="159" t="str">
        <x:f>IF($G34="","",IF(COUNTIF($DZ$4:$DZ$4,$G34)&lt;&gt;1,"",IF(COUNTIFS($DZ$4:$DZ$4,$G34,$EH$4:$EH$4,"&lt;&gt;")=0,"",VLOOKUP($G34,$DZ$4:$EL$4,9,FALSE))))</x:f>
      </x:c>
      <x:c r="AW34" s="209"/>
      <x:c r="AX34" s="209"/>
      <x:c r="AY34" s="159"/>
      <x:c r="AZ34" s="159"/>
      <x:c r="BA34" s="159"/>
      <x:c r="BB34" s="159"/>
      <x:c r="BC34" s="159"/>
      <x:c r="BD34" s="159"/>
      <x:c r="BE34" s="159"/>
      <x:c r="BF34" s="159"/>
      <x:c r="BG34" s="159"/>
      <x:c r="BH34" s="159"/>
      <x:c r="BI34" s="159"/>
      <x:c r="BJ34" s="159"/>
      <x:c r="BK34" s="159"/>
      <x:c r="BL34" s="159"/>
      <x:c r="BM34" s="159"/>
      <x:c r="BN34" s="159"/>
      <x:c r="BO34" s="159"/>
      <x:c r="BP34" s="159"/>
      <x:c r="BQ34" s="159"/>
      <x:c r="BR34" s="159"/>
      <x:c r="BS34" s="159"/>
      <x:c r="BT34" s="159"/>
      <x:c r="BU34" s="159"/>
      <x:c r="BV34" s="159"/>
      <x:c r="BW34" s="159"/>
      <x:c r="BX34" s="159"/>
      <x:c r="BY34" s="159"/>
      <x:c r="BZ34" s="159"/>
      <x:c r="CA34" s="159"/>
      <x:c r="CB34" s="159"/>
      <x:c r="CC34" s="159"/>
      <x:c r="CD34" s="159"/>
      <x:c r="CE34" s="159"/>
      <x:c r="CF34" s="159"/>
      <x:c r="CG34" s="159"/>
      <x:c r="CH34" s="159"/>
      <x:c r="CI34" s="159"/>
      <x:c r="CJ34" s="159"/>
      <x:c r="CK34" s="159"/>
      <x:c r="CL34" s="159"/>
      <x:c r="CM34" s="159"/>
      <x:c r="CN34" s="159"/>
      <x:c r="CO34" s="159"/>
      <x:c r="CP34" s="159"/>
      <x:c r="CQ34" s="159"/>
      <x:c r="CR34" s="159"/>
      <x:c r="CS34" s="159"/>
      <x:c r="CT34" s="159"/>
      <x:c r="CU34" s="159"/>
      <x:c r="CV34" s="159"/>
      <x:c r="CW34" s="159"/>
      <x:c r="CX34" s="159"/>
      <x:c r="CY34" s="159"/>
      <x:c r="CZ34" s="159"/>
      <x:c r="DA34" s="159"/>
      <x:c r="DB34" s="159"/>
      <x:c r="DC34" s="159"/>
      <x:c r="DD34" s="159"/>
      <x:c r="DE34" s="159"/>
      <x:c r="DF34" s="159"/>
      <x:c r="DG34" s="159"/>
      <x:c r="DH34" s="159"/>
      <x:c r="DI34" s="159"/>
      <x:c r="DJ34" s="159"/>
    </x:row>
    <x:row r="35" ht="18" customHeight="1">
      <x:c r="A35" s="159"/>
      <x:c r="B35" s="20" t="str">
        <x:f>IF(A34="待排区","",IF(A34&lt;&gt;"",A34,B34))</x:f>
      </x:c>
      <x:c r="C35" s="20" t="n">
        <x:f>IF(COUNT(AH35)&gt;0,AH35,C34)</x:f>
        <x:v>0</x:v>
      </x:c>
      <x:c r="D35" s="20" t="str">
        <x:f>IF($G35="","",IF(COUNTIF($DZ$4:$DZ$4,$G35)&lt;&gt;1,"",IF(COUNTIFS($DZ$4:$DZ$4,$G35,$EI$4:$EI$4,"&lt;&gt;")=0,"",VLOOKUP($G35,$DZ$4:$EL$4,10,FALSE))))</x:f>
      </x:c>
      <x:c r="E35" s="235"/>
      <x:c r="F35" s="20" t="str">
        <x:f>IF($G35="","",IF(COUNTIF($DZ$4:$DZ$4,$G35)&lt;&gt;1,"",IF(COUNTIFS($DZ$4:$DZ$4,$G35,$EB$4:$EB$4,"&lt;&gt;")=0,"",VLOOKUP($G35,$DZ$4:$EL$4,3,FALSE))))</x:f>
      </x:c>
      <x:c r="G35" s="234"/>
      <x:c r="H35" s="20" t="str">
        <x:f>IF($G35="","",IF(COUNTIF($DZ$4:$DZ$4,$G35)&lt;&gt;1,"",IF(COUNTIFS($DZ$4:$DZ$4,$G35,$EA$4:$EA$4,"&lt;&gt;")=0,"",VLOOKUP($G35,$DZ$4:$EL$4,2,FALSE))))</x:f>
      </x:c>
      <x:c r="I35" s="234"/>
      <x:c r="J35" s="234"/>
      <x:c r="K35" s="236"/>
      <x:c r="L35" s="236"/>
      <x:c r="M35" s="237" t="str">
        <x:f>IF(G35="","",SUM(AW35:AX35,BA35:DJ35))</x:f>
      </x:c>
      <x:c r="N35" s="236" t="str">
        <x:f>IF(G35="","",IF(COUNT(L35,M35)&lt;2,"",MAX(0,L35-M35)))</x:f>
      </x:c>
      <x:c r="O35" s="238" t="str">
        <x:f>IF($G35="","",IF(COUNTIF($DZ$4:$DZ$4,$G35)&lt;&gt;1,"",IF(COUNTIFS($DZ$4:$DZ$4,$G35,$EC$4:$EC$4,"&lt;&gt;")=0,"",VLOOKUP($G35,$DZ$4:$EL$4,4,FALSE))))</x:f>
      </x:c>
      <x:c r="P35" s="159"/>
      <x:c r="Q35" s="234"/>
      <x:c r="R35" s="234"/>
      <x:c r="S35" s="234"/>
      <x:c r="T35" s="20" t="str">
        <x:f>IF($G35="","",IF(COUNTIF($DZ$4:$DZ$4,$G35)&lt;&gt;1,"",IF(COUNTIFS($DZ$4:$DZ$4,$G35,$ED$4:$ED$4,"&lt;&gt;")=0,"",VLOOKUP($G35,$DZ$4:$EL$4,5,FALSE))))</x:f>
      </x:c>
      <x:c r="U35" s="159" t="str">
        <x:f>IF($G35="","",IF(COUNTIF($DZ$4:$DZ$4,$G35)&lt;&gt;1,"",IF(COUNTIFS($DZ$4:$DZ$4,$G35,$EE$4:$EE$4,"&lt;&gt;")=0,"",VLOOKUP($G35,$DZ$4:$EL$4,6,FALSE))))</x:f>
      </x:c>
      <x:c r="V35" s="11" t="str">
        <x:f>IF(COUNT(N35,T35)&lt;2,"",N35*T35/1000*(1+$EM$2))</x:f>
      </x:c>
      <x:c r="W35" s="134" t="str">
        <x:f>IF($G35="","",IF(COUNTIF($DZ$4:$DZ$4,$G35)&lt;&gt;1,"",IF(COUNTIFS($DZ$4:$DZ$4,$G35,$EF$4:$EF$4,"&lt;&gt;")=0,"",VLOOKUP($G35,$DZ$4:$EL$4,7,FALSE))))</x:f>
      </x:c>
      <x:c r="X35" s="36" t="str">
        <x:f>IF(COUNT(N35,W35)&lt;2,"",N35*W35)</x:f>
      </x:c>
      <x:c r="Y35" s="159"/>
      <x:c r="Z35" s="239"/>
      <x:c r="AA35" s="240"/>
      <x:c r="AB35" s="239"/>
      <x:c r="AC35" s="138" t="str">
        <x:f>IF($G35="","",IF(COUNTIF($DZ$4:$DZ$4,$G35)&lt;&gt;1,"",IF(COUNTIFS($DZ$4:$DZ$4,$G35,$EJ$4:$EJ$4,"&lt;&gt;")=0,"",VLOOKUP($G35,$DZ$4:$EL$4,11,FALSE))))</x:f>
      </x:c>
      <x:c r="AD35" s="138" t="str">
        <x:f>IF($G35="","",IF(COUNTIF($DZ$4:$DZ$4,$G35)&lt;&gt;1,"",IF(COUNTIFS($DZ$4:$DZ$4,$G35,$EK$4:$EK$4,"&lt;&gt;")=0,"",VLOOKUP($G35,$DZ$4:$EL$4,12,FALSE))))</x:f>
      </x:c>
      <x:c r="AE35" s="56" t="n">
        <x:f>IF(OR(G35="",A34&lt;&gt;"",B35&lt;&gt;B34),0,IF(G35=G34,IF(Q35=Q34,0,AD35),AC35+IF(Q35=Q34,0,AD35)))</x:f>
        <x:v>0</x:v>
      </x:c>
      <x:c r="AF35" s="70"/>
      <x:c r="AG35" s="239" t="str">
        <x:f>IF(OR(G35="",B35="",B35="填写机号",COUNT($I$2)=0,COUNT(O35)=0,O35&lt;=0),"",MAX($I$2,C34)+AE35)</x:f>
      </x:c>
      <x:c r="AH35" s="239" t="str">
        <x:f>IF(OR(COUNT(AG35,N35,O35)&lt;3,O35&lt;=0),"",AG35+N35/O35)</x:f>
      </x:c>
      <x:c r="AI35" s="142" t="str">
        <x:f>IF(COUNT(AH35)=0,"",YEAR(AH35)&amp;"/"&amp;MONTH(AH35))</x:f>
      </x:c>
      <x:c r="AJ35" s="239" t="str">
        <x:f>IF(COUNT(AH35)=0,"",AH35+$EM$1)</x:f>
      </x:c>
      <x:c r="AK35" s="48" t="str">
        <x:f>IF(COUNT(AB35,AJ35)&lt;2,"",AB35-AJ35)</x:f>
      </x:c>
      <x:c r="AL35" s="159"/>
      <x:c r="AM35" s="159" t="str">
        <x:f>IF(OR(COUNT(N35,O35)&lt;2,O35&lt;=0),"",N35/O35)</x:f>
      </x:c>
      <x:c r="AN35" s="159"/>
      <x:c r="AO35" s="159"/>
      <x:c r="AP35" s="159"/>
      <x:c r="AQ35" s="159"/>
      <x:c r="AR35" s="159"/>
      <x:c r="AS35" s="234"/>
      <x:c r="AT35" s="159"/>
      <x:c r="AU35" s="159" t="str">
        <x:f>IF($G35="","",IF(COUNTIF($DZ$4:$DZ$4,$G35)&lt;&gt;1,"",IF(COUNTIFS($DZ$4:$DZ$4,$G35,$EG$4:$EG$4,"&lt;&gt;")=0,"",VLOOKUP($G35,$DZ$4:$EL$4,8,FALSE))))</x:f>
      </x:c>
      <x:c r="AV35" s="159" t="str">
        <x:f>IF($G35="","",IF(COUNTIF($DZ$4:$DZ$4,$G35)&lt;&gt;1,"",IF(COUNTIFS($DZ$4:$DZ$4,$G35,$EH$4:$EH$4,"&lt;&gt;")=0,"",VLOOKUP($G35,$DZ$4:$EL$4,9,FALSE))))</x:f>
      </x:c>
      <x:c r="AW35" s="209"/>
      <x:c r="AX35" s="209"/>
      <x:c r="AY35" s="159"/>
      <x:c r="AZ35" s="159"/>
      <x:c r="BA35" s="159"/>
      <x:c r="BB35" s="159"/>
      <x:c r="BC35" s="159"/>
      <x:c r="BD35" s="159"/>
      <x:c r="BE35" s="159"/>
      <x:c r="BF35" s="159"/>
      <x:c r="BG35" s="159"/>
      <x:c r="BH35" s="159"/>
      <x:c r="BI35" s="159"/>
      <x:c r="BJ35" s="159"/>
      <x:c r="BK35" s="159"/>
      <x:c r="BL35" s="159"/>
      <x:c r="BM35" s="159"/>
      <x:c r="BN35" s="159"/>
      <x:c r="BO35" s="159"/>
      <x:c r="BP35" s="159"/>
      <x:c r="BQ35" s="159"/>
      <x:c r="BR35" s="159"/>
      <x:c r="BS35" s="159"/>
      <x:c r="BT35" s="159"/>
      <x:c r="BU35" s="159"/>
      <x:c r="BV35" s="159"/>
      <x:c r="BW35" s="159"/>
      <x:c r="BX35" s="159"/>
      <x:c r="BY35" s="159"/>
      <x:c r="BZ35" s="159"/>
      <x:c r="CA35" s="159"/>
      <x:c r="CB35" s="159"/>
      <x:c r="CC35" s="159"/>
      <x:c r="CD35" s="159"/>
      <x:c r="CE35" s="159"/>
      <x:c r="CF35" s="159"/>
      <x:c r="CG35" s="159"/>
      <x:c r="CH35" s="159"/>
      <x:c r="CI35" s="159"/>
      <x:c r="CJ35" s="159"/>
      <x:c r="CK35" s="159"/>
      <x:c r="CL35" s="159"/>
      <x:c r="CM35" s="159"/>
      <x:c r="CN35" s="159"/>
      <x:c r="CO35" s="159"/>
      <x:c r="CP35" s="159"/>
      <x:c r="CQ35" s="159"/>
      <x:c r="CR35" s="159"/>
      <x:c r="CS35" s="159"/>
      <x:c r="CT35" s="159"/>
      <x:c r="CU35" s="159"/>
      <x:c r="CV35" s="159"/>
      <x:c r="CW35" s="159"/>
      <x:c r="CX35" s="159"/>
      <x:c r="CY35" s="159"/>
      <x:c r="CZ35" s="159"/>
      <x:c r="DA35" s="159"/>
      <x:c r="DB35" s="159"/>
      <x:c r="DC35" s="159"/>
      <x:c r="DD35" s="159"/>
      <x:c r="DE35" s="159"/>
      <x:c r="DF35" s="159"/>
      <x:c r="DG35" s="159"/>
      <x:c r="DH35" s="159"/>
      <x:c r="DI35" s="159"/>
      <x:c r="DJ35" s="159"/>
    </x:row>
    <x:row r="36" ht="18" customHeight="1">
      <x:c r="A36" s="159"/>
      <x:c r="B36" s="20" t="str">
        <x:f>IF(A35="待排区","",IF(A35&lt;&gt;"",A35,B35))</x:f>
      </x:c>
      <x:c r="C36" s="20" t="n">
        <x:f>IF(COUNT(AH36)&gt;0,AH36,C35)</x:f>
        <x:v>0</x:v>
      </x:c>
      <x:c r="D36" s="20" t="str">
        <x:f>IF($G36="","",IF(COUNTIF($DZ$4:$DZ$4,$G36)&lt;&gt;1,"",IF(COUNTIFS($DZ$4:$DZ$4,$G36,$EI$4:$EI$4,"&lt;&gt;")=0,"",VLOOKUP($G36,$DZ$4:$EL$4,10,FALSE))))</x:f>
      </x:c>
      <x:c r="E36" s="235"/>
      <x:c r="F36" s="20" t="str">
        <x:f>IF($G36="","",IF(COUNTIF($DZ$4:$DZ$4,$G36)&lt;&gt;1,"",IF(COUNTIFS($DZ$4:$DZ$4,$G36,$EB$4:$EB$4,"&lt;&gt;")=0,"",VLOOKUP($G36,$DZ$4:$EL$4,3,FALSE))))</x:f>
      </x:c>
      <x:c r="G36" s="234"/>
      <x:c r="H36" s="20" t="str">
        <x:f>IF($G36="","",IF(COUNTIF($DZ$4:$DZ$4,$G36)&lt;&gt;1,"",IF(COUNTIFS($DZ$4:$DZ$4,$G36,$EA$4:$EA$4,"&lt;&gt;")=0,"",VLOOKUP($G36,$DZ$4:$EL$4,2,FALSE))))</x:f>
      </x:c>
      <x:c r="I36" s="234"/>
      <x:c r="J36" s="234"/>
      <x:c r="K36" s="236"/>
      <x:c r="L36" s="236"/>
      <x:c r="M36" s="237" t="str">
        <x:f>IF(G36="","",SUM(AW36:AX36,BA36:DJ36))</x:f>
      </x:c>
      <x:c r="N36" s="236" t="str">
        <x:f>IF(G36="","",IF(COUNT(L36,M36)&lt;2,"",MAX(0,L36-M36)))</x:f>
      </x:c>
      <x:c r="O36" s="238" t="str">
        <x:f>IF($G36="","",IF(COUNTIF($DZ$4:$DZ$4,$G36)&lt;&gt;1,"",IF(COUNTIFS($DZ$4:$DZ$4,$G36,$EC$4:$EC$4,"&lt;&gt;")=0,"",VLOOKUP($G36,$DZ$4:$EL$4,4,FALSE))))</x:f>
      </x:c>
      <x:c r="P36" s="159"/>
      <x:c r="Q36" s="234"/>
      <x:c r="R36" s="234"/>
      <x:c r="S36" s="234"/>
      <x:c r="T36" s="20" t="str">
        <x:f>IF($G36="","",IF(COUNTIF($DZ$4:$DZ$4,$G36)&lt;&gt;1,"",IF(COUNTIFS($DZ$4:$DZ$4,$G36,$ED$4:$ED$4,"&lt;&gt;")=0,"",VLOOKUP($G36,$DZ$4:$EL$4,5,FALSE))))</x:f>
      </x:c>
      <x:c r="U36" s="159" t="str">
        <x:f>IF($G36="","",IF(COUNTIF($DZ$4:$DZ$4,$G36)&lt;&gt;1,"",IF(COUNTIFS($DZ$4:$DZ$4,$G36,$EE$4:$EE$4,"&lt;&gt;")=0,"",VLOOKUP($G36,$DZ$4:$EL$4,6,FALSE))))</x:f>
      </x:c>
      <x:c r="V36" s="11" t="str">
        <x:f>IF(COUNT(N36,T36)&lt;2,"",N36*T36/1000*(1+$EM$2))</x:f>
      </x:c>
      <x:c r="W36" s="134" t="str">
        <x:f>IF($G36="","",IF(COUNTIF($DZ$4:$DZ$4,$G36)&lt;&gt;1,"",IF(COUNTIFS($DZ$4:$DZ$4,$G36,$EF$4:$EF$4,"&lt;&gt;")=0,"",VLOOKUP($G36,$DZ$4:$EL$4,7,FALSE))))</x:f>
      </x:c>
      <x:c r="X36" s="36" t="str">
        <x:f>IF(COUNT(N36,W36)&lt;2,"",N36*W36)</x:f>
      </x:c>
      <x:c r="Y36" s="159"/>
      <x:c r="Z36" s="239"/>
      <x:c r="AA36" s="240"/>
      <x:c r="AB36" s="239"/>
      <x:c r="AC36" s="138" t="str">
        <x:f>IF($G36="","",IF(COUNTIF($DZ$4:$DZ$4,$G36)&lt;&gt;1,"",IF(COUNTIFS($DZ$4:$DZ$4,$G36,$EJ$4:$EJ$4,"&lt;&gt;")=0,"",VLOOKUP($G36,$DZ$4:$EL$4,11,FALSE))))</x:f>
      </x:c>
      <x:c r="AD36" s="138" t="str">
        <x:f>IF($G36="","",IF(COUNTIF($DZ$4:$DZ$4,$G36)&lt;&gt;1,"",IF(COUNTIFS($DZ$4:$DZ$4,$G36,$EK$4:$EK$4,"&lt;&gt;")=0,"",VLOOKUP($G36,$DZ$4:$EL$4,12,FALSE))))</x:f>
      </x:c>
      <x:c r="AE36" s="56" t="n">
        <x:f>IF(OR(G36="",A35&lt;&gt;"",B36&lt;&gt;B35),0,IF(G36=G35,IF(Q36=Q35,0,AD36),AC36+IF(Q36=Q35,0,AD36)))</x:f>
        <x:v>0</x:v>
      </x:c>
      <x:c r="AF36" s="70"/>
      <x:c r="AG36" s="239" t="str">
        <x:f>IF(OR(G36="",B36="",B36="填写机号",COUNT($I$2)=0,COUNT(O36)=0,O36&lt;=0),"",MAX($I$2,C35)+AE36)</x:f>
      </x:c>
      <x:c r="AH36" s="239" t="str">
        <x:f>IF(OR(COUNT(AG36,N36,O36)&lt;3,O36&lt;=0),"",AG36+N36/O36)</x:f>
      </x:c>
      <x:c r="AI36" s="142" t="str">
        <x:f>IF(COUNT(AH36)=0,"",YEAR(AH36)&amp;"/"&amp;MONTH(AH36))</x:f>
      </x:c>
      <x:c r="AJ36" s="239" t="str">
        <x:f>IF(COUNT(AH36)=0,"",AH36+$EM$1)</x:f>
      </x:c>
      <x:c r="AK36" s="48" t="str">
        <x:f>IF(COUNT(AB36,AJ36)&lt;2,"",AB36-AJ36)</x:f>
      </x:c>
      <x:c r="AL36" s="159"/>
      <x:c r="AM36" s="159" t="str">
        <x:f>IF(OR(COUNT(N36,O36)&lt;2,O36&lt;=0),"",N36/O36)</x:f>
      </x:c>
      <x:c r="AN36" s="159"/>
      <x:c r="AO36" s="159"/>
      <x:c r="AP36" s="159"/>
      <x:c r="AQ36" s="159"/>
      <x:c r="AR36" s="159"/>
      <x:c r="AS36" s="234"/>
      <x:c r="AT36" s="159"/>
      <x:c r="AU36" s="159" t="str">
        <x:f>IF($G36="","",IF(COUNTIF($DZ$4:$DZ$4,$G36)&lt;&gt;1,"",IF(COUNTIFS($DZ$4:$DZ$4,$G36,$EG$4:$EG$4,"&lt;&gt;")=0,"",VLOOKUP($G36,$DZ$4:$EL$4,8,FALSE))))</x:f>
      </x:c>
      <x:c r="AV36" s="159" t="str">
        <x:f>IF($G36="","",IF(COUNTIF($DZ$4:$DZ$4,$G36)&lt;&gt;1,"",IF(COUNTIFS($DZ$4:$DZ$4,$G36,$EH$4:$EH$4,"&lt;&gt;")=0,"",VLOOKUP($G36,$DZ$4:$EL$4,9,FALSE))))</x:f>
      </x:c>
      <x:c r="AW36" s="209"/>
      <x:c r="AX36" s="209"/>
      <x:c r="AY36" s="159"/>
      <x:c r="AZ36" s="159"/>
      <x:c r="BA36" s="159"/>
      <x:c r="BB36" s="159"/>
      <x:c r="BC36" s="159"/>
      <x:c r="BD36" s="159"/>
      <x:c r="BE36" s="159"/>
      <x:c r="BF36" s="159"/>
      <x:c r="BG36" s="159"/>
      <x:c r="BH36" s="159"/>
      <x:c r="BI36" s="159"/>
      <x:c r="BJ36" s="159"/>
      <x:c r="BK36" s="159"/>
      <x:c r="BL36" s="159"/>
      <x:c r="BM36" s="159"/>
      <x:c r="BN36" s="159"/>
      <x:c r="BO36" s="159"/>
      <x:c r="BP36" s="159"/>
      <x:c r="BQ36" s="159"/>
      <x:c r="BR36" s="159"/>
      <x:c r="BS36" s="159"/>
      <x:c r="BT36" s="159"/>
      <x:c r="BU36" s="159"/>
      <x:c r="BV36" s="159"/>
      <x:c r="BW36" s="159"/>
      <x:c r="BX36" s="159"/>
      <x:c r="BY36" s="159"/>
      <x:c r="BZ36" s="159"/>
      <x:c r="CA36" s="159"/>
      <x:c r="CB36" s="159"/>
      <x:c r="CC36" s="159"/>
      <x:c r="CD36" s="159"/>
      <x:c r="CE36" s="159"/>
      <x:c r="CF36" s="159"/>
      <x:c r="CG36" s="159"/>
      <x:c r="CH36" s="159"/>
      <x:c r="CI36" s="159"/>
      <x:c r="CJ36" s="159"/>
      <x:c r="CK36" s="159"/>
      <x:c r="CL36" s="159"/>
      <x:c r="CM36" s="159"/>
      <x:c r="CN36" s="159"/>
      <x:c r="CO36" s="159"/>
      <x:c r="CP36" s="159"/>
      <x:c r="CQ36" s="159"/>
      <x:c r="CR36" s="159"/>
      <x:c r="CS36" s="159"/>
      <x:c r="CT36" s="159"/>
      <x:c r="CU36" s="159"/>
      <x:c r="CV36" s="159"/>
      <x:c r="CW36" s="159"/>
      <x:c r="CX36" s="159"/>
      <x:c r="CY36" s="159"/>
      <x:c r="CZ36" s="159"/>
      <x:c r="DA36" s="159"/>
      <x:c r="DB36" s="159"/>
      <x:c r="DC36" s="159"/>
      <x:c r="DD36" s="159"/>
      <x:c r="DE36" s="159"/>
      <x:c r="DF36" s="159"/>
      <x:c r="DG36" s="159"/>
      <x:c r="DH36" s="159"/>
      <x:c r="DI36" s="159"/>
      <x:c r="DJ36" s="159"/>
    </x:row>
    <x:row r="37" ht="18" customHeight="1">
      <x:c r="A37" s="159"/>
      <x:c r="B37" s="20" t="str">
        <x:f>IF(A36="待排区","",IF(A36&lt;&gt;"",A36,B36))</x:f>
      </x:c>
      <x:c r="C37" s="20" t="n">
        <x:f>IF(COUNT(AH37)&gt;0,AH37,C36)</x:f>
        <x:v>0</x:v>
      </x:c>
      <x:c r="D37" s="20" t="str">
        <x:f>IF($G37="","",IF(COUNTIF($DZ$4:$DZ$4,$G37)&lt;&gt;1,"",IF(COUNTIFS($DZ$4:$DZ$4,$G37,$EI$4:$EI$4,"&lt;&gt;")=0,"",VLOOKUP($G37,$DZ$4:$EL$4,10,FALSE))))</x:f>
      </x:c>
      <x:c r="E37" s="235"/>
      <x:c r="F37" s="20" t="str">
        <x:f>IF($G37="","",IF(COUNTIF($DZ$4:$DZ$4,$G37)&lt;&gt;1,"",IF(COUNTIFS($DZ$4:$DZ$4,$G37,$EB$4:$EB$4,"&lt;&gt;")=0,"",VLOOKUP($G37,$DZ$4:$EL$4,3,FALSE))))</x:f>
      </x:c>
      <x:c r="G37" s="234"/>
      <x:c r="H37" s="20" t="str">
        <x:f>IF($G37="","",IF(COUNTIF($DZ$4:$DZ$4,$G37)&lt;&gt;1,"",IF(COUNTIFS($DZ$4:$DZ$4,$G37,$EA$4:$EA$4,"&lt;&gt;")=0,"",VLOOKUP($G37,$DZ$4:$EL$4,2,FALSE))))</x:f>
      </x:c>
      <x:c r="I37" s="234"/>
      <x:c r="J37" s="234"/>
      <x:c r="K37" s="236"/>
      <x:c r="L37" s="236"/>
      <x:c r="M37" s="237" t="str">
        <x:f>IF(G37="","",SUM(AW37:AX37,BA37:DJ37))</x:f>
      </x:c>
      <x:c r="N37" s="236" t="str">
        <x:f>IF(G37="","",IF(COUNT(L37,M37)&lt;2,"",MAX(0,L37-M37)))</x:f>
      </x:c>
      <x:c r="O37" s="238" t="str">
        <x:f>IF($G37="","",IF(COUNTIF($DZ$4:$DZ$4,$G37)&lt;&gt;1,"",IF(COUNTIFS($DZ$4:$DZ$4,$G37,$EC$4:$EC$4,"&lt;&gt;")=0,"",VLOOKUP($G37,$DZ$4:$EL$4,4,FALSE))))</x:f>
      </x:c>
      <x:c r="P37" s="159"/>
      <x:c r="Q37" s="234"/>
      <x:c r="R37" s="234"/>
      <x:c r="S37" s="234"/>
      <x:c r="T37" s="20" t="str">
        <x:f>IF($G37="","",IF(COUNTIF($DZ$4:$DZ$4,$G37)&lt;&gt;1,"",IF(COUNTIFS($DZ$4:$DZ$4,$G37,$ED$4:$ED$4,"&lt;&gt;")=0,"",VLOOKUP($G37,$DZ$4:$EL$4,5,FALSE))))</x:f>
      </x:c>
      <x:c r="U37" s="159" t="str">
        <x:f>IF($G37="","",IF(COUNTIF($DZ$4:$DZ$4,$G37)&lt;&gt;1,"",IF(COUNTIFS($DZ$4:$DZ$4,$G37,$EE$4:$EE$4,"&lt;&gt;")=0,"",VLOOKUP($G37,$DZ$4:$EL$4,6,FALSE))))</x:f>
      </x:c>
      <x:c r="V37" s="11" t="str">
        <x:f>IF(COUNT(N37,T37)&lt;2,"",N37*T37/1000*(1+$EM$2))</x:f>
      </x:c>
      <x:c r="W37" s="134" t="str">
        <x:f>IF($G37="","",IF(COUNTIF($DZ$4:$DZ$4,$G37)&lt;&gt;1,"",IF(COUNTIFS($DZ$4:$DZ$4,$G37,$EF$4:$EF$4,"&lt;&gt;")=0,"",VLOOKUP($G37,$DZ$4:$EL$4,7,FALSE))))</x:f>
      </x:c>
      <x:c r="X37" s="36" t="str">
        <x:f>IF(COUNT(N37,W37)&lt;2,"",N37*W37)</x:f>
      </x:c>
      <x:c r="Y37" s="159"/>
      <x:c r="Z37" s="239"/>
      <x:c r="AA37" s="240"/>
      <x:c r="AB37" s="239"/>
      <x:c r="AC37" s="138" t="str">
        <x:f>IF($G37="","",IF(COUNTIF($DZ$4:$DZ$4,$G37)&lt;&gt;1,"",IF(COUNTIFS($DZ$4:$DZ$4,$G37,$EJ$4:$EJ$4,"&lt;&gt;")=0,"",VLOOKUP($G37,$DZ$4:$EL$4,11,FALSE))))</x:f>
      </x:c>
      <x:c r="AD37" s="138" t="str">
        <x:f>IF($G37="","",IF(COUNTIF($DZ$4:$DZ$4,$G37)&lt;&gt;1,"",IF(COUNTIFS($DZ$4:$DZ$4,$G37,$EK$4:$EK$4,"&lt;&gt;")=0,"",VLOOKUP($G37,$DZ$4:$EL$4,12,FALSE))))</x:f>
      </x:c>
      <x:c r="AE37" s="56" t="n">
        <x:f>IF(OR(G37="",A36&lt;&gt;"",B37&lt;&gt;B36),0,IF(G37=G36,IF(Q37=Q36,0,AD37),AC37+IF(Q37=Q36,0,AD37)))</x:f>
        <x:v>0</x:v>
      </x:c>
      <x:c r="AF37" s="70"/>
      <x:c r="AG37" s="239" t="str">
        <x:f>IF(OR(G37="",B37="",B37="填写机号",COUNT($I$2)=0,COUNT(O37)=0,O37&lt;=0),"",MAX($I$2,C36)+AE37)</x:f>
      </x:c>
      <x:c r="AH37" s="239" t="str">
        <x:f>IF(OR(COUNT(AG37,N37,O37)&lt;3,O37&lt;=0),"",AG37+N37/O37)</x:f>
      </x:c>
      <x:c r="AI37" s="142" t="str">
        <x:f>IF(COUNT(AH37)=0,"",YEAR(AH37)&amp;"/"&amp;MONTH(AH37))</x:f>
      </x:c>
      <x:c r="AJ37" s="239" t="str">
        <x:f>IF(COUNT(AH37)=0,"",AH37+$EM$1)</x:f>
      </x:c>
      <x:c r="AK37" s="48" t="str">
        <x:f>IF(COUNT(AB37,AJ37)&lt;2,"",AB37-AJ37)</x:f>
      </x:c>
      <x:c r="AL37" s="159"/>
      <x:c r="AM37" s="159" t="str">
        <x:f>IF(OR(COUNT(N37,O37)&lt;2,O37&lt;=0),"",N37/O37)</x:f>
      </x:c>
      <x:c r="AN37" s="159"/>
      <x:c r="AO37" s="159"/>
      <x:c r="AP37" s="159"/>
      <x:c r="AQ37" s="159"/>
      <x:c r="AR37" s="159"/>
      <x:c r="AS37" s="234"/>
      <x:c r="AT37" s="159"/>
      <x:c r="AU37" s="159" t="str">
        <x:f>IF($G37="","",IF(COUNTIF($DZ$4:$DZ$4,$G37)&lt;&gt;1,"",IF(COUNTIFS($DZ$4:$DZ$4,$G37,$EG$4:$EG$4,"&lt;&gt;")=0,"",VLOOKUP($G37,$DZ$4:$EL$4,8,FALSE))))</x:f>
      </x:c>
      <x:c r="AV37" s="159" t="str">
        <x:f>IF($G37="","",IF(COUNTIF($DZ$4:$DZ$4,$G37)&lt;&gt;1,"",IF(COUNTIFS($DZ$4:$DZ$4,$G37,$EH$4:$EH$4,"&lt;&gt;")=0,"",VLOOKUP($G37,$DZ$4:$EL$4,9,FALSE))))</x:f>
      </x:c>
      <x:c r="AW37" s="209"/>
      <x:c r="AX37" s="209"/>
      <x:c r="AY37" s="159"/>
      <x:c r="AZ37" s="159"/>
      <x:c r="BA37" s="159"/>
      <x:c r="BB37" s="159"/>
      <x:c r="BC37" s="159"/>
      <x:c r="BD37" s="159"/>
      <x:c r="BE37" s="159"/>
      <x:c r="BF37" s="159"/>
      <x:c r="BG37" s="159"/>
      <x:c r="BH37" s="159"/>
      <x:c r="BI37" s="159"/>
      <x:c r="BJ37" s="159"/>
      <x:c r="BK37" s="159"/>
      <x:c r="BL37" s="159"/>
      <x:c r="BM37" s="159"/>
      <x:c r="BN37" s="159"/>
      <x:c r="BO37" s="159"/>
      <x:c r="BP37" s="159"/>
      <x:c r="BQ37" s="159"/>
      <x:c r="BR37" s="159"/>
      <x:c r="BS37" s="159"/>
      <x:c r="BT37" s="159"/>
      <x:c r="BU37" s="159"/>
      <x:c r="BV37" s="159"/>
      <x:c r="BW37" s="159"/>
      <x:c r="BX37" s="159"/>
      <x:c r="BY37" s="159"/>
      <x:c r="BZ37" s="159"/>
      <x:c r="CA37" s="159"/>
      <x:c r="CB37" s="159"/>
      <x:c r="CC37" s="159"/>
      <x:c r="CD37" s="159"/>
      <x:c r="CE37" s="159"/>
      <x:c r="CF37" s="159"/>
      <x:c r="CG37" s="159"/>
      <x:c r="CH37" s="159"/>
      <x:c r="CI37" s="159"/>
      <x:c r="CJ37" s="159"/>
      <x:c r="CK37" s="159"/>
      <x:c r="CL37" s="159"/>
      <x:c r="CM37" s="159"/>
      <x:c r="CN37" s="159"/>
      <x:c r="CO37" s="159"/>
      <x:c r="CP37" s="159"/>
      <x:c r="CQ37" s="159"/>
      <x:c r="CR37" s="159"/>
      <x:c r="CS37" s="159"/>
      <x:c r="CT37" s="159"/>
      <x:c r="CU37" s="159"/>
      <x:c r="CV37" s="159"/>
      <x:c r="CW37" s="159"/>
      <x:c r="CX37" s="159"/>
      <x:c r="CY37" s="159"/>
      <x:c r="CZ37" s="159"/>
      <x:c r="DA37" s="159"/>
      <x:c r="DB37" s="159"/>
      <x:c r="DC37" s="159"/>
      <x:c r="DD37" s="159"/>
      <x:c r="DE37" s="159"/>
      <x:c r="DF37" s="159"/>
      <x:c r="DG37" s="159"/>
      <x:c r="DH37" s="159"/>
      <x:c r="DI37" s="159"/>
      <x:c r="DJ37" s="159"/>
    </x:row>
    <x:row r="38" ht="18" customHeight="1">
      <x:c r="A38" s="159"/>
      <x:c r="B38" s="20" t="str">
        <x:f>IF(A37="待排区","",IF(A37&lt;&gt;"",A37,B37))</x:f>
      </x:c>
      <x:c r="C38" s="20" t="n">
        <x:f>IF(COUNT(AH38)&gt;0,AH38,C37)</x:f>
        <x:v>0</x:v>
      </x:c>
      <x:c r="D38" s="20" t="str">
        <x:f>IF($G38="","",IF(COUNTIF($DZ$4:$DZ$4,$G38)&lt;&gt;1,"",IF(COUNTIFS($DZ$4:$DZ$4,$G38,$EI$4:$EI$4,"&lt;&gt;")=0,"",VLOOKUP($G38,$DZ$4:$EL$4,10,FALSE))))</x:f>
      </x:c>
      <x:c r="E38" s="235"/>
      <x:c r="F38" s="20" t="str">
        <x:f>IF($G38="","",IF(COUNTIF($DZ$4:$DZ$4,$G38)&lt;&gt;1,"",IF(COUNTIFS($DZ$4:$DZ$4,$G38,$EB$4:$EB$4,"&lt;&gt;")=0,"",VLOOKUP($G38,$DZ$4:$EL$4,3,FALSE))))</x:f>
      </x:c>
      <x:c r="G38" s="234"/>
      <x:c r="H38" s="20" t="str">
        <x:f>IF($G38="","",IF(COUNTIF($DZ$4:$DZ$4,$G38)&lt;&gt;1,"",IF(COUNTIFS($DZ$4:$DZ$4,$G38,$EA$4:$EA$4,"&lt;&gt;")=0,"",VLOOKUP($G38,$DZ$4:$EL$4,2,FALSE))))</x:f>
      </x:c>
      <x:c r="I38" s="234"/>
      <x:c r="J38" s="234"/>
      <x:c r="K38" s="236"/>
      <x:c r="L38" s="236"/>
      <x:c r="M38" s="237" t="str">
        <x:f>IF(G38="","",SUM(AW38:AX38,BA38:DJ38))</x:f>
      </x:c>
      <x:c r="N38" s="236" t="str">
        <x:f>IF(G38="","",IF(COUNT(L38,M38)&lt;2,"",MAX(0,L38-M38)))</x:f>
      </x:c>
      <x:c r="O38" s="238" t="str">
        <x:f>IF($G38="","",IF(COUNTIF($DZ$4:$DZ$4,$G38)&lt;&gt;1,"",IF(COUNTIFS($DZ$4:$DZ$4,$G38,$EC$4:$EC$4,"&lt;&gt;")=0,"",VLOOKUP($G38,$DZ$4:$EL$4,4,FALSE))))</x:f>
      </x:c>
      <x:c r="P38" s="159"/>
      <x:c r="Q38" s="234"/>
      <x:c r="R38" s="234"/>
      <x:c r="S38" s="234"/>
      <x:c r="T38" s="20" t="str">
        <x:f>IF($G38="","",IF(COUNTIF($DZ$4:$DZ$4,$G38)&lt;&gt;1,"",IF(COUNTIFS($DZ$4:$DZ$4,$G38,$ED$4:$ED$4,"&lt;&gt;")=0,"",VLOOKUP($G38,$DZ$4:$EL$4,5,FALSE))))</x:f>
      </x:c>
      <x:c r="U38" s="159" t="str">
        <x:f>IF($G38="","",IF(COUNTIF($DZ$4:$DZ$4,$G38)&lt;&gt;1,"",IF(COUNTIFS($DZ$4:$DZ$4,$G38,$EE$4:$EE$4,"&lt;&gt;")=0,"",VLOOKUP($G38,$DZ$4:$EL$4,6,FALSE))))</x:f>
      </x:c>
      <x:c r="V38" s="11" t="str">
        <x:f>IF(COUNT(N38,T38)&lt;2,"",N38*T38/1000*(1+$EM$2))</x:f>
      </x:c>
      <x:c r="W38" s="134" t="str">
        <x:f>IF($G38="","",IF(COUNTIF($DZ$4:$DZ$4,$G38)&lt;&gt;1,"",IF(COUNTIFS($DZ$4:$DZ$4,$G38,$EF$4:$EF$4,"&lt;&gt;")=0,"",VLOOKUP($G38,$DZ$4:$EL$4,7,FALSE))))</x:f>
      </x:c>
      <x:c r="X38" s="36" t="str">
        <x:f>IF(COUNT(N38,W38)&lt;2,"",N38*W38)</x:f>
      </x:c>
      <x:c r="Y38" s="159"/>
      <x:c r="Z38" s="239"/>
      <x:c r="AA38" s="240"/>
      <x:c r="AB38" s="239"/>
      <x:c r="AC38" s="138" t="str">
        <x:f>IF($G38="","",IF(COUNTIF($DZ$4:$DZ$4,$G38)&lt;&gt;1,"",IF(COUNTIFS($DZ$4:$DZ$4,$G38,$EJ$4:$EJ$4,"&lt;&gt;")=0,"",VLOOKUP($G38,$DZ$4:$EL$4,11,FALSE))))</x:f>
      </x:c>
      <x:c r="AD38" s="138" t="str">
        <x:f>IF($G38="","",IF(COUNTIF($DZ$4:$DZ$4,$G38)&lt;&gt;1,"",IF(COUNTIFS($DZ$4:$DZ$4,$G38,$EK$4:$EK$4,"&lt;&gt;")=0,"",VLOOKUP($G38,$DZ$4:$EL$4,12,FALSE))))</x:f>
      </x:c>
      <x:c r="AE38" s="56" t="n">
        <x:f>IF(OR(G38="",A37&lt;&gt;"",B38&lt;&gt;B37),0,IF(G38=G37,IF(Q38=Q37,0,AD38),AC38+IF(Q38=Q37,0,AD38)))</x:f>
        <x:v>0</x:v>
      </x:c>
      <x:c r="AF38" s="70"/>
      <x:c r="AG38" s="239" t="str">
        <x:f>IF(OR(G38="",B38="",B38="填写机号",COUNT($I$2)=0,COUNT(O38)=0,O38&lt;=0),"",MAX($I$2,C37)+AE38)</x:f>
      </x:c>
      <x:c r="AH38" s="239" t="str">
        <x:f>IF(OR(COUNT(AG38,N38,O38)&lt;3,O38&lt;=0),"",AG38+N38/O38)</x:f>
      </x:c>
      <x:c r="AI38" s="142" t="str">
        <x:f>IF(COUNT(AH38)=0,"",YEAR(AH38)&amp;"/"&amp;MONTH(AH38))</x:f>
      </x:c>
      <x:c r="AJ38" s="239" t="str">
        <x:f>IF(COUNT(AH38)=0,"",AH38+$EM$1)</x:f>
      </x:c>
      <x:c r="AK38" s="48" t="str">
        <x:f>IF(COUNT(AB38,AJ38)&lt;2,"",AB38-AJ38)</x:f>
      </x:c>
      <x:c r="AL38" s="159"/>
      <x:c r="AM38" s="159" t="str">
        <x:f>IF(OR(COUNT(N38,O38)&lt;2,O38&lt;=0),"",N38/O38)</x:f>
      </x:c>
      <x:c r="AN38" s="159"/>
      <x:c r="AO38" s="159"/>
      <x:c r="AP38" s="159"/>
      <x:c r="AQ38" s="159"/>
      <x:c r="AR38" s="159"/>
      <x:c r="AS38" s="234"/>
      <x:c r="AT38" s="159"/>
      <x:c r="AU38" s="159" t="str">
        <x:f>IF($G38="","",IF(COUNTIF($DZ$4:$DZ$4,$G38)&lt;&gt;1,"",IF(COUNTIFS($DZ$4:$DZ$4,$G38,$EG$4:$EG$4,"&lt;&gt;")=0,"",VLOOKUP($G38,$DZ$4:$EL$4,8,FALSE))))</x:f>
      </x:c>
      <x:c r="AV38" s="159" t="str">
        <x:f>IF($G38="","",IF(COUNTIF($DZ$4:$DZ$4,$G38)&lt;&gt;1,"",IF(COUNTIFS($DZ$4:$DZ$4,$G38,$EH$4:$EH$4,"&lt;&gt;")=0,"",VLOOKUP($G38,$DZ$4:$EL$4,9,FALSE))))</x:f>
      </x:c>
      <x:c r="AW38" s="209"/>
      <x:c r="AX38" s="209"/>
      <x:c r="AY38" s="159"/>
      <x:c r="AZ38" s="159"/>
      <x:c r="BA38" s="159"/>
      <x:c r="BB38" s="159"/>
      <x:c r="BC38" s="159"/>
      <x:c r="BD38" s="159"/>
      <x:c r="BE38" s="159"/>
      <x:c r="BF38" s="159"/>
      <x:c r="BG38" s="159"/>
      <x:c r="BH38" s="159"/>
      <x:c r="BI38" s="159"/>
      <x:c r="BJ38" s="159"/>
      <x:c r="BK38" s="159"/>
      <x:c r="BL38" s="159"/>
      <x:c r="BM38" s="159"/>
      <x:c r="BN38" s="159"/>
      <x:c r="BO38" s="159"/>
      <x:c r="BP38" s="159"/>
      <x:c r="BQ38" s="159"/>
      <x:c r="BR38" s="159"/>
      <x:c r="BS38" s="159"/>
      <x:c r="BT38" s="159"/>
      <x:c r="BU38" s="159"/>
      <x:c r="BV38" s="159"/>
      <x:c r="BW38" s="159"/>
      <x:c r="BX38" s="159"/>
      <x:c r="BY38" s="159"/>
      <x:c r="BZ38" s="159"/>
      <x:c r="CA38" s="159"/>
      <x:c r="CB38" s="159"/>
      <x:c r="CC38" s="159"/>
      <x:c r="CD38" s="159"/>
      <x:c r="CE38" s="159"/>
      <x:c r="CF38" s="159"/>
      <x:c r="CG38" s="159"/>
      <x:c r="CH38" s="159"/>
      <x:c r="CI38" s="159"/>
      <x:c r="CJ38" s="159"/>
      <x:c r="CK38" s="159"/>
      <x:c r="CL38" s="159"/>
      <x:c r="CM38" s="159"/>
      <x:c r="CN38" s="159"/>
      <x:c r="CO38" s="159"/>
      <x:c r="CP38" s="159"/>
      <x:c r="CQ38" s="159"/>
      <x:c r="CR38" s="159"/>
      <x:c r="CS38" s="159"/>
      <x:c r="CT38" s="159"/>
      <x:c r="CU38" s="159"/>
      <x:c r="CV38" s="159"/>
      <x:c r="CW38" s="159"/>
      <x:c r="CX38" s="159"/>
      <x:c r="CY38" s="159"/>
      <x:c r="CZ38" s="159"/>
      <x:c r="DA38" s="159"/>
      <x:c r="DB38" s="159"/>
      <x:c r="DC38" s="159"/>
      <x:c r="DD38" s="159"/>
      <x:c r="DE38" s="159"/>
      <x:c r="DF38" s="159"/>
      <x:c r="DG38" s="159"/>
      <x:c r="DH38" s="159"/>
      <x:c r="DI38" s="159"/>
      <x:c r="DJ38" s="159"/>
    </x:row>
    <x:row r="39" ht="18" customHeight="1">
      <x:c r="A39" s="159"/>
      <x:c r="B39" s="20" t="str">
        <x:f>IF(A38="待排区","",IF(A38&lt;&gt;"",A38,B38))</x:f>
      </x:c>
      <x:c r="C39" s="20" t="n">
        <x:f>IF(COUNT(AH39)&gt;0,AH39,C38)</x:f>
        <x:v>0</x:v>
      </x:c>
      <x:c r="D39" s="20" t="str">
        <x:f>IF($G39="","",IF(COUNTIF($DZ$4:$DZ$4,$G39)&lt;&gt;1,"",IF(COUNTIFS($DZ$4:$DZ$4,$G39,$EI$4:$EI$4,"&lt;&gt;")=0,"",VLOOKUP($G39,$DZ$4:$EL$4,10,FALSE))))</x:f>
      </x:c>
      <x:c r="E39" s="235"/>
      <x:c r="F39" s="20" t="str">
        <x:f>IF($G39="","",IF(COUNTIF($DZ$4:$DZ$4,$G39)&lt;&gt;1,"",IF(COUNTIFS($DZ$4:$DZ$4,$G39,$EB$4:$EB$4,"&lt;&gt;")=0,"",VLOOKUP($G39,$DZ$4:$EL$4,3,FALSE))))</x:f>
      </x:c>
      <x:c r="G39" s="234"/>
      <x:c r="H39" s="20" t="str">
        <x:f>IF($G39="","",IF(COUNTIF($DZ$4:$DZ$4,$G39)&lt;&gt;1,"",IF(COUNTIFS($DZ$4:$DZ$4,$G39,$EA$4:$EA$4,"&lt;&gt;")=0,"",VLOOKUP($G39,$DZ$4:$EL$4,2,FALSE))))</x:f>
      </x:c>
      <x:c r="I39" s="234"/>
      <x:c r="J39" s="234"/>
      <x:c r="K39" s="236"/>
      <x:c r="L39" s="236"/>
      <x:c r="M39" s="237" t="str">
        <x:f>IF(G39="","",SUM(AW39:AX39,BA39:DJ39))</x:f>
      </x:c>
      <x:c r="N39" s="236" t="str">
        <x:f>IF(G39="","",IF(COUNT(L39,M39)&lt;2,"",MAX(0,L39-M39)))</x:f>
      </x:c>
      <x:c r="O39" s="238" t="str">
        <x:f>IF($G39="","",IF(COUNTIF($DZ$4:$DZ$4,$G39)&lt;&gt;1,"",IF(COUNTIFS($DZ$4:$DZ$4,$G39,$EC$4:$EC$4,"&lt;&gt;")=0,"",VLOOKUP($G39,$DZ$4:$EL$4,4,FALSE))))</x:f>
      </x:c>
      <x:c r="P39" s="159"/>
      <x:c r="Q39" s="234"/>
      <x:c r="R39" s="234"/>
      <x:c r="S39" s="234"/>
      <x:c r="T39" s="20" t="str">
        <x:f>IF($G39="","",IF(COUNTIF($DZ$4:$DZ$4,$G39)&lt;&gt;1,"",IF(COUNTIFS($DZ$4:$DZ$4,$G39,$ED$4:$ED$4,"&lt;&gt;")=0,"",VLOOKUP($G39,$DZ$4:$EL$4,5,FALSE))))</x:f>
      </x:c>
      <x:c r="U39" s="159" t="str">
        <x:f>IF($G39="","",IF(COUNTIF($DZ$4:$DZ$4,$G39)&lt;&gt;1,"",IF(COUNTIFS($DZ$4:$DZ$4,$G39,$EE$4:$EE$4,"&lt;&gt;")=0,"",VLOOKUP($G39,$DZ$4:$EL$4,6,FALSE))))</x:f>
      </x:c>
      <x:c r="V39" s="11" t="str">
        <x:f>IF(COUNT(N39,T39)&lt;2,"",N39*T39/1000*(1+$EM$2))</x:f>
      </x:c>
      <x:c r="W39" s="134" t="str">
        <x:f>IF($G39="","",IF(COUNTIF($DZ$4:$DZ$4,$G39)&lt;&gt;1,"",IF(COUNTIFS($DZ$4:$DZ$4,$G39,$EF$4:$EF$4,"&lt;&gt;")=0,"",VLOOKUP($G39,$DZ$4:$EL$4,7,FALSE))))</x:f>
      </x:c>
      <x:c r="X39" s="36" t="str">
        <x:f>IF(COUNT(N39,W39)&lt;2,"",N39*W39)</x:f>
      </x:c>
      <x:c r="Y39" s="159"/>
      <x:c r="Z39" s="239"/>
      <x:c r="AA39" s="240"/>
      <x:c r="AB39" s="239"/>
      <x:c r="AC39" s="138" t="str">
        <x:f>IF($G39="","",IF(COUNTIF($DZ$4:$DZ$4,$G39)&lt;&gt;1,"",IF(COUNTIFS($DZ$4:$DZ$4,$G39,$EJ$4:$EJ$4,"&lt;&gt;")=0,"",VLOOKUP($G39,$DZ$4:$EL$4,11,FALSE))))</x:f>
      </x:c>
      <x:c r="AD39" s="138" t="str">
        <x:f>IF($G39="","",IF(COUNTIF($DZ$4:$DZ$4,$G39)&lt;&gt;1,"",IF(COUNTIFS($DZ$4:$DZ$4,$G39,$EK$4:$EK$4,"&lt;&gt;")=0,"",VLOOKUP($G39,$DZ$4:$EL$4,12,FALSE))))</x:f>
      </x:c>
      <x:c r="AE39" s="56" t="n">
        <x:f>IF(OR(G39="",A38&lt;&gt;"",B39&lt;&gt;B38),0,IF(G39=G38,IF(Q39=Q38,0,AD39),AC39+IF(Q39=Q38,0,AD39)))</x:f>
        <x:v>0</x:v>
      </x:c>
      <x:c r="AF39" s="70"/>
      <x:c r="AG39" s="239" t="str">
        <x:f>IF(OR(G39="",B39="",B39="填写机号",COUNT($I$2)=0,COUNT(O39)=0,O39&lt;=0),"",MAX($I$2,C38)+AE39)</x:f>
      </x:c>
      <x:c r="AH39" s="239" t="str">
        <x:f>IF(OR(COUNT(AG39,N39,O39)&lt;3,O39&lt;=0),"",AG39+N39/O39)</x:f>
      </x:c>
      <x:c r="AI39" s="142" t="str">
        <x:f>IF(COUNT(AH39)=0,"",YEAR(AH39)&amp;"/"&amp;MONTH(AH39))</x:f>
      </x:c>
      <x:c r="AJ39" s="239" t="str">
        <x:f>IF(COUNT(AH39)=0,"",AH39+$EM$1)</x:f>
      </x:c>
      <x:c r="AK39" s="48" t="str">
        <x:f>IF(COUNT(AB39,AJ39)&lt;2,"",AB39-AJ39)</x:f>
      </x:c>
      <x:c r="AL39" s="159"/>
      <x:c r="AM39" s="159" t="str">
        <x:f>IF(OR(COUNT(N39,O39)&lt;2,O39&lt;=0),"",N39/O39)</x:f>
      </x:c>
      <x:c r="AN39" s="159"/>
      <x:c r="AO39" s="159"/>
      <x:c r="AP39" s="159"/>
      <x:c r="AQ39" s="159"/>
      <x:c r="AR39" s="159"/>
      <x:c r="AS39" s="234"/>
      <x:c r="AT39" s="159"/>
      <x:c r="AU39" s="159" t="str">
        <x:f>IF($G39="","",IF(COUNTIF($DZ$4:$DZ$4,$G39)&lt;&gt;1,"",IF(COUNTIFS($DZ$4:$DZ$4,$G39,$EG$4:$EG$4,"&lt;&gt;")=0,"",VLOOKUP($G39,$DZ$4:$EL$4,8,FALSE))))</x:f>
      </x:c>
      <x:c r="AV39" s="159" t="str">
        <x:f>IF($G39="","",IF(COUNTIF($DZ$4:$DZ$4,$G39)&lt;&gt;1,"",IF(COUNTIFS($DZ$4:$DZ$4,$G39,$EH$4:$EH$4,"&lt;&gt;")=0,"",VLOOKUP($G39,$DZ$4:$EL$4,9,FALSE))))</x:f>
      </x:c>
      <x:c r="AW39" s="209"/>
      <x:c r="AX39" s="209"/>
      <x:c r="AY39" s="159"/>
      <x:c r="AZ39" s="159"/>
      <x:c r="BA39" s="159"/>
      <x:c r="BB39" s="159"/>
      <x:c r="BC39" s="159"/>
      <x:c r="BD39" s="159"/>
      <x:c r="BE39" s="159"/>
      <x:c r="BF39" s="159"/>
      <x:c r="BG39" s="159"/>
      <x:c r="BH39" s="159"/>
      <x:c r="BI39" s="159"/>
      <x:c r="BJ39" s="159"/>
      <x:c r="BK39" s="159"/>
      <x:c r="BL39" s="159"/>
      <x:c r="BM39" s="159"/>
      <x:c r="BN39" s="159"/>
      <x:c r="BO39" s="159"/>
      <x:c r="BP39" s="159"/>
      <x:c r="BQ39" s="159"/>
      <x:c r="BR39" s="159"/>
      <x:c r="BS39" s="159"/>
      <x:c r="BT39" s="159"/>
      <x:c r="BU39" s="159"/>
      <x:c r="BV39" s="159"/>
      <x:c r="BW39" s="159"/>
      <x:c r="BX39" s="159"/>
      <x:c r="BY39" s="159"/>
      <x:c r="BZ39" s="159"/>
      <x:c r="CA39" s="159"/>
      <x:c r="CB39" s="159"/>
      <x:c r="CC39" s="159"/>
      <x:c r="CD39" s="159"/>
      <x:c r="CE39" s="159"/>
      <x:c r="CF39" s="159"/>
      <x:c r="CG39" s="159"/>
      <x:c r="CH39" s="159"/>
      <x:c r="CI39" s="159"/>
      <x:c r="CJ39" s="159"/>
      <x:c r="CK39" s="159"/>
      <x:c r="CL39" s="159"/>
      <x:c r="CM39" s="159"/>
      <x:c r="CN39" s="159"/>
      <x:c r="CO39" s="159"/>
      <x:c r="CP39" s="159"/>
      <x:c r="CQ39" s="159"/>
      <x:c r="CR39" s="159"/>
      <x:c r="CS39" s="159"/>
      <x:c r="CT39" s="159"/>
      <x:c r="CU39" s="159"/>
      <x:c r="CV39" s="159"/>
      <x:c r="CW39" s="159"/>
      <x:c r="CX39" s="159"/>
      <x:c r="CY39" s="159"/>
      <x:c r="CZ39" s="159"/>
      <x:c r="DA39" s="159"/>
      <x:c r="DB39" s="159"/>
      <x:c r="DC39" s="159"/>
      <x:c r="DD39" s="159"/>
      <x:c r="DE39" s="159"/>
      <x:c r="DF39" s="159"/>
      <x:c r="DG39" s="159"/>
      <x:c r="DH39" s="159"/>
      <x:c r="DI39" s="159"/>
      <x:c r="DJ39" s="159"/>
    </x:row>
    <x:row r="40" ht="18" customHeight="1">
      <x:c r="A40" s="159"/>
      <x:c r="B40" s="20" t="str">
        <x:f>IF(A39="待排区","",IF(A39&lt;&gt;"",A39,B39))</x:f>
      </x:c>
      <x:c r="C40" s="20" t="n">
        <x:f>IF(COUNT(AH40)&gt;0,AH40,C39)</x:f>
        <x:v>0</x:v>
      </x:c>
      <x:c r="D40" s="20" t="str">
        <x:f>IF($G40="","",IF(COUNTIF($DZ$4:$DZ$4,$G40)&lt;&gt;1,"",IF(COUNTIFS($DZ$4:$DZ$4,$G40,$EI$4:$EI$4,"&lt;&gt;")=0,"",VLOOKUP($G40,$DZ$4:$EL$4,10,FALSE))))</x:f>
      </x:c>
      <x:c r="E40" s="235"/>
      <x:c r="F40" s="20" t="str">
        <x:f>IF($G40="","",IF(COUNTIF($DZ$4:$DZ$4,$G40)&lt;&gt;1,"",IF(COUNTIFS($DZ$4:$DZ$4,$G40,$EB$4:$EB$4,"&lt;&gt;")=0,"",VLOOKUP($G40,$DZ$4:$EL$4,3,FALSE))))</x:f>
      </x:c>
      <x:c r="G40" s="234"/>
      <x:c r="H40" s="20" t="str">
        <x:f>IF($G40="","",IF(COUNTIF($DZ$4:$DZ$4,$G40)&lt;&gt;1,"",IF(COUNTIFS($DZ$4:$DZ$4,$G40,$EA$4:$EA$4,"&lt;&gt;")=0,"",VLOOKUP($G40,$DZ$4:$EL$4,2,FALSE))))</x:f>
      </x:c>
      <x:c r="I40" s="234"/>
      <x:c r="J40" s="234"/>
      <x:c r="K40" s="236"/>
      <x:c r="L40" s="236"/>
      <x:c r="M40" s="237" t="str">
        <x:f>IF(G40="","",SUM(AW40:AX40,BA40:DJ40))</x:f>
      </x:c>
      <x:c r="N40" s="236" t="str">
        <x:f>IF(G40="","",IF(COUNT(L40,M40)&lt;2,"",MAX(0,L40-M40)))</x:f>
      </x:c>
      <x:c r="O40" s="238" t="str">
        <x:f>IF($G40="","",IF(COUNTIF($DZ$4:$DZ$4,$G40)&lt;&gt;1,"",IF(COUNTIFS($DZ$4:$DZ$4,$G40,$EC$4:$EC$4,"&lt;&gt;")=0,"",VLOOKUP($G40,$DZ$4:$EL$4,4,FALSE))))</x:f>
      </x:c>
      <x:c r="P40" s="159"/>
      <x:c r="Q40" s="234"/>
      <x:c r="R40" s="234"/>
      <x:c r="S40" s="234"/>
      <x:c r="T40" s="20" t="str">
        <x:f>IF($G40="","",IF(COUNTIF($DZ$4:$DZ$4,$G40)&lt;&gt;1,"",IF(COUNTIFS($DZ$4:$DZ$4,$G40,$ED$4:$ED$4,"&lt;&gt;")=0,"",VLOOKUP($G40,$DZ$4:$EL$4,5,FALSE))))</x:f>
      </x:c>
      <x:c r="U40" s="159" t="str">
        <x:f>IF($G40="","",IF(COUNTIF($DZ$4:$DZ$4,$G40)&lt;&gt;1,"",IF(COUNTIFS($DZ$4:$DZ$4,$G40,$EE$4:$EE$4,"&lt;&gt;")=0,"",VLOOKUP($G40,$DZ$4:$EL$4,6,FALSE))))</x:f>
      </x:c>
      <x:c r="V40" s="11" t="str">
        <x:f>IF(COUNT(N40,T40)&lt;2,"",N40*T40/1000*(1+$EM$2))</x:f>
      </x:c>
      <x:c r="W40" s="134" t="str">
        <x:f>IF($G40="","",IF(COUNTIF($DZ$4:$DZ$4,$G40)&lt;&gt;1,"",IF(COUNTIFS($DZ$4:$DZ$4,$G40,$EF$4:$EF$4,"&lt;&gt;")=0,"",VLOOKUP($G40,$DZ$4:$EL$4,7,FALSE))))</x:f>
      </x:c>
      <x:c r="X40" s="36" t="str">
        <x:f>IF(COUNT(N40,W40)&lt;2,"",N40*W40)</x:f>
      </x:c>
      <x:c r="Y40" s="159"/>
      <x:c r="Z40" s="239"/>
      <x:c r="AA40" s="240"/>
      <x:c r="AB40" s="239"/>
      <x:c r="AC40" s="138" t="str">
        <x:f>IF($G40="","",IF(COUNTIF($DZ$4:$DZ$4,$G40)&lt;&gt;1,"",IF(COUNTIFS($DZ$4:$DZ$4,$G40,$EJ$4:$EJ$4,"&lt;&gt;")=0,"",VLOOKUP($G40,$DZ$4:$EL$4,11,FALSE))))</x:f>
      </x:c>
      <x:c r="AD40" s="138" t="str">
        <x:f>IF($G40="","",IF(COUNTIF($DZ$4:$DZ$4,$G40)&lt;&gt;1,"",IF(COUNTIFS($DZ$4:$DZ$4,$G40,$EK$4:$EK$4,"&lt;&gt;")=0,"",VLOOKUP($G40,$DZ$4:$EL$4,12,FALSE))))</x:f>
      </x:c>
      <x:c r="AE40" s="56" t="n">
        <x:f>IF(OR(G40="",A39&lt;&gt;"",B40&lt;&gt;B39),0,IF(G40=G39,IF(Q40=Q39,0,AD40),AC40+IF(Q40=Q39,0,AD40)))</x:f>
        <x:v>0</x:v>
      </x:c>
      <x:c r="AF40" s="70"/>
      <x:c r="AG40" s="239" t="str">
        <x:f>IF(OR(G40="",B40="",B40="填写机号",COUNT($I$2)=0,COUNT(O40)=0,O40&lt;=0),"",MAX($I$2,C39)+AE40)</x:f>
      </x:c>
      <x:c r="AH40" s="239" t="str">
        <x:f>IF(OR(COUNT(AG40,N40,O40)&lt;3,O40&lt;=0),"",AG40+N40/O40)</x:f>
      </x:c>
      <x:c r="AI40" s="142" t="str">
        <x:f>IF(COUNT(AH40)=0,"",YEAR(AH40)&amp;"/"&amp;MONTH(AH40))</x:f>
      </x:c>
      <x:c r="AJ40" s="239" t="str">
        <x:f>IF(COUNT(AH40)=0,"",AH40+$EM$1)</x:f>
      </x:c>
      <x:c r="AK40" s="48" t="str">
        <x:f>IF(COUNT(AB40,AJ40)&lt;2,"",AB40-AJ40)</x:f>
      </x:c>
      <x:c r="AL40" s="159"/>
      <x:c r="AM40" s="159" t="str">
        <x:f>IF(OR(COUNT(N40,O40)&lt;2,O40&lt;=0),"",N40/O40)</x:f>
      </x:c>
      <x:c r="AN40" s="159"/>
      <x:c r="AO40" s="159"/>
      <x:c r="AP40" s="159"/>
      <x:c r="AQ40" s="159"/>
      <x:c r="AR40" s="159"/>
      <x:c r="AS40" s="234"/>
      <x:c r="AT40" s="159"/>
      <x:c r="AU40" s="159" t="str">
        <x:f>IF($G40="","",IF(COUNTIF($DZ$4:$DZ$4,$G40)&lt;&gt;1,"",IF(COUNTIFS($DZ$4:$DZ$4,$G40,$EG$4:$EG$4,"&lt;&gt;")=0,"",VLOOKUP($G40,$DZ$4:$EL$4,8,FALSE))))</x:f>
      </x:c>
      <x:c r="AV40" s="159" t="str">
        <x:f>IF($G40="","",IF(COUNTIF($DZ$4:$DZ$4,$G40)&lt;&gt;1,"",IF(COUNTIFS($DZ$4:$DZ$4,$G40,$EH$4:$EH$4,"&lt;&gt;")=0,"",VLOOKUP($G40,$DZ$4:$EL$4,9,FALSE))))</x:f>
      </x:c>
      <x:c r="AW40" s="209"/>
      <x:c r="AX40" s="209"/>
      <x:c r="AY40" s="159"/>
      <x:c r="AZ40" s="159"/>
      <x:c r="BA40" s="159"/>
      <x:c r="BB40" s="159"/>
      <x:c r="BC40" s="159"/>
      <x:c r="BD40" s="159"/>
      <x:c r="BE40" s="159"/>
      <x:c r="BF40" s="159"/>
      <x:c r="BG40" s="159"/>
      <x:c r="BH40" s="159"/>
      <x:c r="BI40" s="159"/>
      <x:c r="BJ40" s="159"/>
      <x:c r="BK40" s="159"/>
      <x:c r="BL40" s="159"/>
      <x:c r="BM40" s="159"/>
      <x:c r="BN40" s="159"/>
      <x:c r="BO40" s="159"/>
      <x:c r="BP40" s="159"/>
      <x:c r="BQ40" s="159"/>
      <x:c r="BR40" s="159"/>
      <x:c r="BS40" s="159"/>
      <x:c r="BT40" s="159"/>
      <x:c r="BU40" s="159"/>
      <x:c r="BV40" s="159"/>
      <x:c r="BW40" s="159"/>
      <x:c r="BX40" s="159"/>
      <x:c r="BY40" s="159"/>
      <x:c r="BZ40" s="159"/>
      <x:c r="CA40" s="159"/>
      <x:c r="CB40" s="159"/>
      <x:c r="CC40" s="159"/>
      <x:c r="CD40" s="159"/>
      <x:c r="CE40" s="159"/>
      <x:c r="CF40" s="159"/>
      <x:c r="CG40" s="159"/>
      <x:c r="CH40" s="159"/>
      <x:c r="CI40" s="159"/>
      <x:c r="CJ40" s="159"/>
      <x:c r="CK40" s="159"/>
      <x:c r="CL40" s="159"/>
      <x:c r="CM40" s="159"/>
      <x:c r="CN40" s="159"/>
      <x:c r="CO40" s="159"/>
      <x:c r="CP40" s="159"/>
      <x:c r="CQ40" s="159"/>
      <x:c r="CR40" s="159"/>
      <x:c r="CS40" s="159"/>
      <x:c r="CT40" s="159"/>
      <x:c r="CU40" s="159"/>
      <x:c r="CV40" s="159"/>
      <x:c r="CW40" s="159"/>
      <x:c r="CX40" s="159"/>
      <x:c r="CY40" s="159"/>
      <x:c r="CZ40" s="159"/>
      <x:c r="DA40" s="159"/>
      <x:c r="DB40" s="159"/>
      <x:c r="DC40" s="159"/>
      <x:c r="DD40" s="159"/>
      <x:c r="DE40" s="159"/>
      <x:c r="DF40" s="159"/>
      <x:c r="DG40" s="159"/>
      <x:c r="DH40" s="159"/>
      <x:c r="DI40" s="159"/>
      <x:c r="DJ40" s="159"/>
    </x:row>
    <x:row r="41" ht="18" customHeight="1">
      <x:c r="A41" s="159"/>
      <x:c r="B41" s="20" t="str">
        <x:f>IF(A40="待排区","",IF(A40&lt;&gt;"",A40,B40))</x:f>
      </x:c>
      <x:c r="C41" s="20" t="n">
        <x:f>IF(COUNT(AH41)&gt;0,AH41,C40)</x:f>
        <x:v>0</x:v>
      </x:c>
      <x:c r="D41" s="20" t="str">
        <x:f>IF($G41="","",IF(COUNTIF($DZ$4:$DZ$4,$G41)&lt;&gt;1,"",IF(COUNTIFS($DZ$4:$DZ$4,$G41,$EI$4:$EI$4,"&lt;&gt;")=0,"",VLOOKUP($G41,$DZ$4:$EL$4,10,FALSE))))</x:f>
      </x:c>
      <x:c r="E41" s="235"/>
      <x:c r="F41" s="20" t="str">
        <x:f>IF($G41="","",IF(COUNTIF($DZ$4:$DZ$4,$G41)&lt;&gt;1,"",IF(COUNTIFS($DZ$4:$DZ$4,$G41,$EB$4:$EB$4,"&lt;&gt;")=0,"",VLOOKUP($G41,$DZ$4:$EL$4,3,FALSE))))</x:f>
      </x:c>
      <x:c r="G41" s="234"/>
      <x:c r="H41" s="20" t="str">
        <x:f>IF($G41="","",IF(COUNTIF($DZ$4:$DZ$4,$G41)&lt;&gt;1,"",IF(COUNTIFS($DZ$4:$DZ$4,$G41,$EA$4:$EA$4,"&lt;&gt;")=0,"",VLOOKUP($G41,$DZ$4:$EL$4,2,FALSE))))</x:f>
      </x:c>
      <x:c r="I41" s="234"/>
      <x:c r="J41" s="234"/>
      <x:c r="K41" s="236"/>
      <x:c r="L41" s="236"/>
      <x:c r="M41" s="237" t="str">
        <x:f>IF(G41="","",SUM(AW41:AX41,BA41:DJ41))</x:f>
      </x:c>
      <x:c r="N41" s="236" t="str">
        <x:f>IF(G41="","",IF(COUNT(L41,M41)&lt;2,"",MAX(0,L41-M41)))</x:f>
      </x:c>
      <x:c r="O41" s="238" t="str">
        <x:f>IF($G41="","",IF(COUNTIF($DZ$4:$DZ$4,$G41)&lt;&gt;1,"",IF(COUNTIFS($DZ$4:$DZ$4,$G41,$EC$4:$EC$4,"&lt;&gt;")=0,"",VLOOKUP($G41,$DZ$4:$EL$4,4,FALSE))))</x:f>
      </x:c>
      <x:c r="P41" s="159"/>
      <x:c r="Q41" s="234"/>
      <x:c r="R41" s="234"/>
      <x:c r="S41" s="234"/>
      <x:c r="T41" s="20" t="str">
        <x:f>IF($G41="","",IF(COUNTIF($DZ$4:$DZ$4,$G41)&lt;&gt;1,"",IF(COUNTIFS($DZ$4:$DZ$4,$G41,$ED$4:$ED$4,"&lt;&gt;")=0,"",VLOOKUP($G41,$DZ$4:$EL$4,5,FALSE))))</x:f>
      </x:c>
      <x:c r="U41" s="159" t="str">
        <x:f>IF($G41="","",IF(COUNTIF($DZ$4:$DZ$4,$G41)&lt;&gt;1,"",IF(COUNTIFS($DZ$4:$DZ$4,$G41,$EE$4:$EE$4,"&lt;&gt;")=0,"",VLOOKUP($G41,$DZ$4:$EL$4,6,FALSE))))</x:f>
      </x:c>
      <x:c r="V41" s="11" t="str">
        <x:f>IF(COUNT(N41,T41)&lt;2,"",N41*T41/1000*(1+$EM$2))</x:f>
      </x:c>
      <x:c r="W41" s="134" t="str">
        <x:f>IF($G41="","",IF(COUNTIF($DZ$4:$DZ$4,$G41)&lt;&gt;1,"",IF(COUNTIFS($DZ$4:$DZ$4,$G41,$EF$4:$EF$4,"&lt;&gt;")=0,"",VLOOKUP($G41,$DZ$4:$EL$4,7,FALSE))))</x:f>
      </x:c>
      <x:c r="X41" s="36" t="str">
        <x:f>IF(COUNT(N41,W41)&lt;2,"",N41*W41)</x:f>
      </x:c>
      <x:c r="Y41" s="159"/>
      <x:c r="Z41" s="239"/>
      <x:c r="AA41" s="240"/>
      <x:c r="AB41" s="239"/>
      <x:c r="AC41" s="138" t="str">
        <x:f>IF($G41="","",IF(COUNTIF($DZ$4:$DZ$4,$G41)&lt;&gt;1,"",IF(COUNTIFS($DZ$4:$DZ$4,$G41,$EJ$4:$EJ$4,"&lt;&gt;")=0,"",VLOOKUP($G41,$DZ$4:$EL$4,11,FALSE))))</x:f>
      </x:c>
      <x:c r="AD41" s="138" t="str">
        <x:f>IF($G41="","",IF(COUNTIF($DZ$4:$DZ$4,$G41)&lt;&gt;1,"",IF(COUNTIFS($DZ$4:$DZ$4,$G41,$EK$4:$EK$4,"&lt;&gt;")=0,"",VLOOKUP($G41,$DZ$4:$EL$4,12,FALSE))))</x:f>
      </x:c>
      <x:c r="AE41" s="56" t="n">
        <x:f>IF(OR(G41="",A40&lt;&gt;"",B41&lt;&gt;B40),0,IF(G41=G40,IF(Q41=Q40,0,AD41),AC41+IF(Q41=Q40,0,AD41)))</x:f>
        <x:v>0</x:v>
      </x:c>
      <x:c r="AF41" s="70"/>
      <x:c r="AG41" s="239" t="str">
        <x:f>IF(OR(G41="",B41="",B41="填写机号",COUNT($I$2)=0,COUNT(O41)=0,O41&lt;=0),"",MAX($I$2,C40)+AE41)</x:f>
      </x:c>
      <x:c r="AH41" s="239" t="str">
        <x:f>IF(OR(COUNT(AG41,N41,O41)&lt;3,O41&lt;=0),"",AG41+N41/O41)</x:f>
      </x:c>
      <x:c r="AI41" s="142" t="str">
        <x:f>IF(COUNT(AH41)=0,"",YEAR(AH41)&amp;"/"&amp;MONTH(AH41))</x:f>
      </x:c>
      <x:c r="AJ41" s="239" t="str">
        <x:f>IF(COUNT(AH41)=0,"",AH41+$EM$1)</x:f>
      </x:c>
      <x:c r="AK41" s="48" t="str">
        <x:f>IF(COUNT(AB41,AJ41)&lt;2,"",AB41-AJ41)</x:f>
      </x:c>
      <x:c r="AL41" s="159"/>
      <x:c r="AM41" s="159" t="str">
        <x:f>IF(OR(COUNT(N41,O41)&lt;2,O41&lt;=0),"",N41/O41)</x:f>
      </x:c>
      <x:c r="AN41" s="159"/>
      <x:c r="AO41" s="159"/>
      <x:c r="AP41" s="159"/>
      <x:c r="AQ41" s="159"/>
      <x:c r="AR41" s="159"/>
      <x:c r="AS41" s="234"/>
      <x:c r="AT41" s="159"/>
      <x:c r="AU41" s="159" t="str">
        <x:f>IF($G41="","",IF(COUNTIF($DZ$4:$DZ$4,$G41)&lt;&gt;1,"",IF(COUNTIFS($DZ$4:$DZ$4,$G41,$EG$4:$EG$4,"&lt;&gt;")=0,"",VLOOKUP($G41,$DZ$4:$EL$4,8,FALSE))))</x:f>
      </x:c>
      <x:c r="AV41" s="159" t="str">
        <x:f>IF($G41="","",IF(COUNTIF($DZ$4:$DZ$4,$G41)&lt;&gt;1,"",IF(COUNTIFS($DZ$4:$DZ$4,$G41,$EH$4:$EH$4,"&lt;&gt;")=0,"",VLOOKUP($G41,$DZ$4:$EL$4,9,FALSE))))</x:f>
      </x:c>
      <x:c r="AW41" s="209"/>
      <x:c r="AX41" s="209"/>
      <x:c r="AY41" s="159"/>
      <x:c r="AZ41" s="159"/>
      <x:c r="BA41" s="159"/>
      <x:c r="BB41" s="159"/>
      <x:c r="BC41" s="159"/>
      <x:c r="BD41" s="159"/>
      <x:c r="BE41" s="159"/>
      <x:c r="BF41" s="159"/>
      <x:c r="BG41" s="159"/>
      <x:c r="BH41" s="159"/>
      <x:c r="BI41" s="159"/>
      <x:c r="BJ41" s="159"/>
      <x:c r="BK41" s="159"/>
      <x:c r="BL41" s="159"/>
      <x:c r="BM41" s="159"/>
      <x:c r="BN41" s="159"/>
      <x:c r="BO41" s="159"/>
      <x:c r="BP41" s="159"/>
      <x:c r="BQ41" s="159"/>
      <x:c r="BR41" s="159"/>
      <x:c r="BS41" s="159"/>
      <x:c r="BT41" s="159"/>
      <x:c r="BU41" s="159"/>
      <x:c r="BV41" s="159"/>
      <x:c r="BW41" s="159"/>
      <x:c r="BX41" s="159"/>
      <x:c r="BY41" s="159"/>
      <x:c r="BZ41" s="159"/>
      <x:c r="CA41" s="159"/>
      <x:c r="CB41" s="159"/>
      <x:c r="CC41" s="159"/>
      <x:c r="CD41" s="159"/>
      <x:c r="CE41" s="159"/>
      <x:c r="CF41" s="159"/>
      <x:c r="CG41" s="159"/>
      <x:c r="CH41" s="159"/>
      <x:c r="CI41" s="159"/>
      <x:c r="CJ41" s="159"/>
      <x:c r="CK41" s="159"/>
      <x:c r="CL41" s="159"/>
      <x:c r="CM41" s="159"/>
      <x:c r="CN41" s="159"/>
      <x:c r="CO41" s="159"/>
      <x:c r="CP41" s="159"/>
      <x:c r="CQ41" s="159"/>
      <x:c r="CR41" s="159"/>
      <x:c r="CS41" s="159"/>
      <x:c r="CT41" s="159"/>
      <x:c r="CU41" s="159"/>
      <x:c r="CV41" s="159"/>
      <x:c r="CW41" s="159"/>
      <x:c r="CX41" s="159"/>
      <x:c r="CY41" s="159"/>
      <x:c r="CZ41" s="159"/>
      <x:c r="DA41" s="159"/>
      <x:c r="DB41" s="159"/>
      <x:c r="DC41" s="159"/>
      <x:c r="DD41" s="159"/>
      <x:c r="DE41" s="159"/>
      <x:c r="DF41" s="159"/>
      <x:c r="DG41" s="159"/>
      <x:c r="DH41" s="159"/>
      <x:c r="DI41" s="159"/>
      <x:c r="DJ41" s="159"/>
    </x:row>
    <x:row r="42" ht="18" customHeight="1">
      <x:c r="A42" s="159"/>
      <x:c r="B42" s="20" t="str">
        <x:f>IF(A41="待排区","",IF(A41&lt;&gt;"",A41,B41))</x:f>
      </x:c>
      <x:c r="C42" s="20" t="n">
        <x:f>IF(COUNT(AH42)&gt;0,AH42,C41)</x:f>
        <x:v>0</x:v>
      </x:c>
      <x:c r="D42" s="20" t="str">
        <x:f>IF($G42="","",IF(COUNTIF($DZ$4:$DZ$4,$G42)&lt;&gt;1,"",IF(COUNTIFS($DZ$4:$DZ$4,$G42,$EI$4:$EI$4,"&lt;&gt;")=0,"",VLOOKUP($G42,$DZ$4:$EL$4,10,FALSE))))</x:f>
      </x:c>
      <x:c r="E42" s="235"/>
      <x:c r="F42" s="20" t="str">
        <x:f>IF($G42="","",IF(COUNTIF($DZ$4:$DZ$4,$G42)&lt;&gt;1,"",IF(COUNTIFS($DZ$4:$DZ$4,$G42,$EB$4:$EB$4,"&lt;&gt;")=0,"",VLOOKUP($G42,$DZ$4:$EL$4,3,FALSE))))</x:f>
      </x:c>
      <x:c r="G42" s="234"/>
      <x:c r="H42" s="20" t="str">
        <x:f>IF($G42="","",IF(COUNTIF($DZ$4:$DZ$4,$G42)&lt;&gt;1,"",IF(COUNTIFS($DZ$4:$DZ$4,$G42,$EA$4:$EA$4,"&lt;&gt;")=0,"",VLOOKUP($G42,$DZ$4:$EL$4,2,FALSE))))</x:f>
      </x:c>
      <x:c r="I42" s="234"/>
      <x:c r="J42" s="234"/>
      <x:c r="K42" s="236"/>
      <x:c r="L42" s="236"/>
      <x:c r="M42" s="237" t="str">
        <x:f>IF(G42="","",SUM(AW42:AX42,BA42:DJ42))</x:f>
      </x:c>
      <x:c r="N42" s="236" t="str">
        <x:f>IF(G42="","",IF(COUNT(L42,M42)&lt;2,"",MAX(0,L42-M42)))</x:f>
      </x:c>
      <x:c r="O42" s="238" t="str">
        <x:f>IF($G42="","",IF(COUNTIF($DZ$4:$DZ$4,$G42)&lt;&gt;1,"",IF(COUNTIFS($DZ$4:$DZ$4,$G42,$EC$4:$EC$4,"&lt;&gt;")=0,"",VLOOKUP($G42,$DZ$4:$EL$4,4,FALSE))))</x:f>
      </x:c>
      <x:c r="P42" s="159"/>
      <x:c r="Q42" s="234"/>
      <x:c r="R42" s="234"/>
      <x:c r="S42" s="234"/>
      <x:c r="T42" s="20" t="str">
        <x:f>IF($G42="","",IF(COUNTIF($DZ$4:$DZ$4,$G42)&lt;&gt;1,"",IF(COUNTIFS($DZ$4:$DZ$4,$G42,$ED$4:$ED$4,"&lt;&gt;")=0,"",VLOOKUP($G42,$DZ$4:$EL$4,5,FALSE))))</x:f>
      </x:c>
      <x:c r="U42" s="159" t="str">
        <x:f>IF($G42="","",IF(COUNTIF($DZ$4:$DZ$4,$G42)&lt;&gt;1,"",IF(COUNTIFS($DZ$4:$DZ$4,$G42,$EE$4:$EE$4,"&lt;&gt;")=0,"",VLOOKUP($G42,$DZ$4:$EL$4,6,FALSE))))</x:f>
      </x:c>
      <x:c r="V42" s="11" t="str">
        <x:f>IF(COUNT(N42,T42)&lt;2,"",N42*T42/1000*(1+$EM$2))</x:f>
      </x:c>
      <x:c r="W42" s="134" t="str">
        <x:f>IF($G42="","",IF(COUNTIF($DZ$4:$DZ$4,$G42)&lt;&gt;1,"",IF(COUNTIFS($DZ$4:$DZ$4,$G42,$EF$4:$EF$4,"&lt;&gt;")=0,"",VLOOKUP($G42,$DZ$4:$EL$4,7,FALSE))))</x:f>
      </x:c>
      <x:c r="X42" s="36" t="str">
        <x:f>IF(COUNT(N42,W42)&lt;2,"",N42*W42)</x:f>
      </x:c>
      <x:c r="Y42" s="159"/>
      <x:c r="Z42" s="239"/>
      <x:c r="AA42" s="240"/>
      <x:c r="AB42" s="239"/>
      <x:c r="AC42" s="138" t="str">
        <x:f>IF($G42="","",IF(COUNTIF($DZ$4:$DZ$4,$G42)&lt;&gt;1,"",IF(COUNTIFS($DZ$4:$DZ$4,$G42,$EJ$4:$EJ$4,"&lt;&gt;")=0,"",VLOOKUP($G42,$DZ$4:$EL$4,11,FALSE))))</x:f>
      </x:c>
      <x:c r="AD42" s="138" t="str">
        <x:f>IF($G42="","",IF(COUNTIF($DZ$4:$DZ$4,$G42)&lt;&gt;1,"",IF(COUNTIFS($DZ$4:$DZ$4,$G42,$EK$4:$EK$4,"&lt;&gt;")=0,"",VLOOKUP($G42,$DZ$4:$EL$4,12,FALSE))))</x:f>
      </x:c>
      <x:c r="AE42" s="56" t="n">
        <x:f>IF(OR(G42="",A41&lt;&gt;"",B42&lt;&gt;B41),0,IF(G42=G41,IF(Q42=Q41,0,AD42),AC42+IF(Q42=Q41,0,AD42)))</x:f>
        <x:v>0</x:v>
      </x:c>
      <x:c r="AF42" s="70"/>
      <x:c r="AG42" s="239" t="str">
        <x:f>IF(OR(G42="",B42="",B42="填写机号",COUNT($I$2)=0,COUNT(O42)=0,O42&lt;=0),"",MAX($I$2,C41)+AE42)</x:f>
      </x:c>
      <x:c r="AH42" s="239" t="str">
        <x:f>IF(OR(COUNT(AG42,N42,O42)&lt;3,O42&lt;=0),"",AG42+N42/O42)</x:f>
      </x:c>
      <x:c r="AI42" s="142" t="str">
        <x:f>IF(COUNT(AH42)=0,"",YEAR(AH42)&amp;"/"&amp;MONTH(AH42))</x:f>
      </x:c>
      <x:c r="AJ42" s="239" t="str">
        <x:f>IF(COUNT(AH42)=0,"",AH42+$EM$1)</x:f>
      </x:c>
      <x:c r="AK42" s="48" t="str">
        <x:f>IF(COUNT(AB42,AJ42)&lt;2,"",AB42-AJ42)</x:f>
      </x:c>
      <x:c r="AL42" s="159"/>
      <x:c r="AM42" s="159" t="str">
        <x:f>IF(OR(COUNT(N42,O42)&lt;2,O42&lt;=0),"",N42/O42)</x:f>
      </x:c>
      <x:c r="AN42" s="159"/>
      <x:c r="AO42" s="159"/>
      <x:c r="AP42" s="159"/>
      <x:c r="AQ42" s="159"/>
      <x:c r="AR42" s="159"/>
      <x:c r="AS42" s="234"/>
      <x:c r="AT42" s="159"/>
      <x:c r="AU42" s="159" t="str">
        <x:f>IF($G42="","",IF(COUNTIF($DZ$4:$DZ$4,$G42)&lt;&gt;1,"",IF(COUNTIFS($DZ$4:$DZ$4,$G42,$EG$4:$EG$4,"&lt;&gt;")=0,"",VLOOKUP($G42,$DZ$4:$EL$4,8,FALSE))))</x:f>
      </x:c>
      <x:c r="AV42" s="159" t="str">
        <x:f>IF($G42="","",IF(COUNTIF($DZ$4:$DZ$4,$G42)&lt;&gt;1,"",IF(COUNTIFS($DZ$4:$DZ$4,$G42,$EH$4:$EH$4,"&lt;&gt;")=0,"",VLOOKUP($G42,$DZ$4:$EL$4,9,FALSE))))</x:f>
      </x:c>
      <x:c r="AW42" s="209"/>
      <x:c r="AX42" s="209"/>
      <x:c r="AY42" s="159"/>
      <x:c r="AZ42" s="159"/>
      <x:c r="BA42" s="159"/>
      <x:c r="BB42" s="159"/>
      <x:c r="BC42" s="159"/>
      <x:c r="BD42" s="159"/>
      <x:c r="BE42" s="159"/>
      <x:c r="BF42" s="159"/>
      <x:c r="BG42" s="159"/>
      <x:c r="BH42" s="159"/>
      <x:c r="BI42" s="159"/>
      <x:c r="BJ42" s="159"/>
      <x:c r="BK42" s="159"/>
      <x:c r="BL42" s="159"/>
      <x:c r="BM42" s="159"/>
      <x:c r="BN42" s="159"/>
      <x:c r="BO42" s="159"/>
      <x:c r="BP42" s="159"/>
      <x:c r="BQ42" s="159"/>
      <x:c r="BR42" s="159"/>
      <x:c r="BS42" s="159"/>
      <x:c r="BT42" s="159"/>
      <x:c r="BU42" s="159"/>
      <x:c r="BV42" s="159"/>
      <x:c r="BW42" s="159"/>
      <x:c r="BX42" s="159"/>
      <x:c r="BY42" s="159"/>
      <x:c r="BZ42" s="159"/>
      <x:c r="CA42" s="159"/>
      <x:c r="CB42" s="159"/>
      <x:c r="CC42" s="159"/>
      <x:c r="CD42" s="159"/>
      <x:c r="CE42" s="159"/>
      <x:c r="CF42" s="159"/>
      <x:c r="CG42" s="159"/>
      <x:c r="CH42" s="159"/>
      <x:c r="CI42" s="159"/>
      <x:c r="CJ42" s="159"/>
      <x:c r="CK42" s="159"/>
      <x:c r="CL42" s="159"/>
      <x:c r="CM42" s="159"/>
      <x:c r="CN42" s="159"/>
      <x:c r="CO42" s="159"/>
      <x:c r="CP42" s="159"/>
      <x:c r="CQ42" s="159"/>
      <x:c r="CR42" s="159"/>
      <x:c r="CS42" s="159"/>
      <x:c r="CT42" s="159"/>
      <x:c r="CU42" s="159"/>
      <x:c r="CV42" s="159"/>
      <x:c r="CW42" s="159"/>
      <x:c r="CX42" s="159"/>
      <x:c r="CY42" s="159"/>
      <x:c r="CZ42" s="159"/>
      <x:c r="DA42" s="159"/>
      <x:c r="DB42" s="159"/>
      <x:c r="DC42" s="159"/>
      <x:c r="DD42" s="159"/>
      <x:c r="DE42" s="159"/>
      <x:c r="DF42" s="159"/>
      <x:c r="DG42" s="159"/>
      <x:c r="DH42" s="159"/>
      <x:c r="DI42" s="159"/>
      <x:c r="DJ42" s="159"/>
    </x:row>
    <x:row r="43" ht="18" customHeight="1">
      <x:c r="A43" s="159"/>
      <x:c r="B43" s="20" t="str">
        <x:f>IF(A42="待排区","",IF(A42&lt;&gt;"",A42,B42))</x:f>
      </x:c>
      <x:c r="C43" s="20" t="n">
        <x:f>IF(COUNT(AH43)&gt;0,AH43,C42)</x:f>
        <x:v>0</x:v>
      </x:c>
      <x:c r="D43" s="20" t="str">
        <x:f>IF($G43="","",IF(COUNTIF($DZ$4:$DZ$4,$G43)&lt;&gt;1,"",IF(COUNTIFS($DZ$4:$DZ$4,$G43,$EI$4:$EI$4,"&lt;&gt;")=0,"",VLOOKUP($G43,$DZ$4:$EL$4,10,FALSE))))</x:f>
      </x:c>
      <x:c r="E43" s="235"/>
      <x:c r="F43" s="20" t="str">
        <x:f>IF($G43="","",IF(COUNTIF($DZ$4:$DZ$4,$G43)&lt;&gt;1,"",IF(COUNTIFS($DZ$4:$DZ$4,$G43,$EB$4:$EB$4,"&lt;&gt;")=0,"",VLOOKUP($G43,$DZ$4:$EL$4,3,FALSE))))</x:f>
      </x:c>
      <x:c r="G43" s="234"/>
      <x:c r="H43" s="20" t="str">
        <x:f>IF($G43="","",IF(COUNTIF($DZ$4:$DZ$4,$G43)&lt;&gt;1,"",IF(COUNTIFS($DZ$4:$DZ$4,$G43,$EA$4:$EA$4,"&lt;&gt;")=0,"",VLOOKUP($G43,$DZ$4:$EL$4,2,FALSE))))</x:f>
      </x:c>
      <x:c r="I43" s="234"/>
      <x:c r="J43" s="234"/>
      <x:c r="K43" s="236"/>
      <x:c r="L43" s="236"/>
      <x:c r="M43" s="237" t="str">
        <x:f>IF(G43="","",SUM(AW43:AX43,BA43:DJ43))</x:f>
      </x:c>
      <x:c r="N43" s="236" t="str">
        <x:f>IF(G43="","",IF(COUNT(L43,M43)&lt;2,"",MAX(0,L43-M43)))</x:f>
      </x:c>
      <x:c r="O43" s="238" t="str">
        <x:f>IF($G43="","",IF(COUNTIF($DZ$4:$DZ$4,$G43)&lt;&gt;1,"",IF(COUNTIFS($DZ$4:$DZ$4,$G43,$EC$4:$EC$4,"&lt;&gt;")=0,"",VLOOKUP($G43,$DZ$4:$EL$4,4,FALSE))))</x:f>
      </x:c>
      <x:c r="P43" s="159"/>
      <x:c r="Q43" s="234"/>
      <x:c r="R43" s="234"/>
      <x:c r="S43" s="234"/>
      <x:c r="T43" s="20" t="str">
        <x:f>IF($G43="","",IF(COUNTIF($DZ$4:$DZ$4,$G43)&lt;&gt;1,"",IF(COUNTIFS($DZ$4:$DZ$4,$G43,$ED$4:$ED$4,"&lt;&gt;")=0,"",VLOOKUP($G43,$DZ$4:$EL$4,5,FALSE))))</x:f>
      </x:c>
      <x:c r="U43" s="159" t="str">
        <x:f>IF($G43="","",IF(COUNTIF($DZ$4:$DZ$4,$G43)&lt;&gt;1,"",IF(COUNTIFS($DZ$4:$DZ$4,$G43,$EE$4:$EE$4,"&lt;&gt;")=0,"",VLOOKUP($G43,$DZ$4:$EL$4,6,FALSE))))</x:f>
      </x:c>
      <x:c r="V43" s="11" t="str">
        <x:f>IF(COUNT(N43,T43)&lt;2,"",N43*T43/1000*(1+$EM$2))</x:f>
      </x:c>
      <x:c r="W43" s="134" t="str">
        <x:f>IF($G43="","",IF(COUNTIF($DZ$4:$DZ$4,$G43)&lt;&gt;1,"",IF(COUNTIFS($DZ$4:$DZ$4,$G43,$EF$4:$EF$4,"&lt;&gt;")=0,"",VLOOKUP($G43,$DZ$4:$EL$4,7,FALSE))))</x:f>
      </x:c>
      <x:c r="X43" s="36" t="str">
        <x:f>IF(COUNT(N43,W43)&lt;2,"",N43*W43)</x:f>
      </x:c>
      <x:c r="Y43" s="159"/>
      <x:c r="Z43" s="239"/>
      <x:c r="AA43" s="240"/>
      <x:c r="AB43" s="239"/>
      <x:c r="AC43" s="138" t="str">
        <x:f>IF($G43="","",IF(COUNTIF($DZ$4:$DZ$4,$G43)&lt;&gt;1,"",IF(COUNTIFS($DZ$4:$DZ$4,$G43,$EJ$4:$EJ$4,"&lt;&gt;")=0,"",VLOOKUP($G43,$DZ$4:$EL$4,11,FALSE))))</x:f>
      </x:c>
      <x:c r="AD43" s="138" t="str">
        <x:f>IF($G43="","",IF(COUNTIF($DZ$4:$DZ$4,$G43)&lt;&gt;1,"",IF(COUNTIFS($DZ$4:$DZ$4,$G43,$EK$4:$EK$4,"&lt;&gt;")=0,"",VLOOKUP($G43,$DZ$4:$EL$4,12,FALSE))))</x:f>
      </x:c>
      <x:c r="AE43" s="56" t="n">
        <x:f>IF(OR(G43="",A42&lt;&gt;"",B43&lt;&gt;B42),0,IF(G43=G42,IF(Q43=Q42,0,AD43),AC43+IF(Q43=Q42,0,AD43)))</x:f>
        <x:v>0</x:v>
      </x:c>
      <x:c r="AF43" s="70"/>
      <x:c r="AG43" s="239" t="str">
        <x:f>IF(OR(G43="",B43="",B43="填写机号",COUNT($I$2)=0,COUNT(O43)=0,O43&lt;=0),"",MAX($I$2,C42)+AE43)</x:f>
      </x:c>
      <x:c r="AH43" s="239" t="str">
        <x:f>IF(OR(COUNT(AG43,N43,O43)&lt;3,O43&lt;=0),"",AG43+N43/O43)</x:f>
      </x:c>
      <x:c r="AI43" s="142" t="str">
        <x:f>IF(COUNT(AH43)=0,"",YEAR(AH43)&amp;"/"&amp;MONTH(AH43))</x:f>
      </x:c>
      <x:c r="AJ43" s="239" t="str">
        <x:f>IF(COUNT(AH43)=0,"",AH43+$EM$1)</x:f>
      </x:c>
      <x:c r="AK43" s="48" t="str">
        <x:f>IF(COUNT(AB43,AJ43)&lt;2,"",AB43-AJ43)</x:f>
      </x:c>
      <x:c r="AL43" s="159"/>
      <x:c r="AM43" s="159" t="str">
        <x:f>IF(OR(COUNT(N43,O43)&lt;2,O43&lt;=0),"",N43/O43)</x:f>
      </x:c>
      <x:c r="AN43" s="159"/>
      <x:c r="AO43" s="159"/>
      <x:c r="AP43" s="159"/>
      <x:c r="AQ43" s="159"/>
      <x:c r="AR43" s="159"/>
      <x:c r="AS43" s="234"/>
      <x:c r="AT43" s="159"/>
      <x:c r="AU43" s="159" t="str">
        <x:f>IF($G43="","",IF(COUNTIF($DZ$4:$DZ$4,$G43)&lt;&gt;1,"",IF(COUNTIFS($DZ$4:$DZ$4,$G43,$EG$4:$EG$4,"&lt;&gt;")=0,"",VLOOKUP($G43,$DZ$4:$EL$4,8,FALSE))))</x:f>
      </x:c>
      <x:c r="AV43" s="159" t="str">
        <x:f>IF($G43="","",IF(COUNTIF($DZ$4:$DZ$4,$G43)&lt;&gt;1,"",IF(COUNTIFS($DZ$4:$DZ$4,$G43,$EH$4:$EH$4,"&lt;&gt;")=0,"",VLOOKUP($G43,$DZ$4:$EL$4,9,FALSE))))</x:f>
      </x:c>
      <x:c r="AW43" s="209"/>
      <x:c r="AX43" s="209"/>
      <x:c r="AY43" s="159"/>
      <x:c r="AZ43" s="159"/>
      <x:c r="BA43" s="159"/>
      <x:c r="BB43" s="159"/>
      <x:c r="BC43" s="159"/>
      <x:c r="BD43" s="159"/>
      <x:c r="BE43" s="159"/>
      <x:c r="BF43" s="159"/>
      <x:c r="BG43" s="159"/>
      <x:c r="BH43" s="159"/>
      <x:c r="BI43" s="159"/>
      <x:c r="BJ43" s="159"/>
      <x:c r="BK43" s="159"/>
      <x:c r="BL43" s="159"/>
      <x:c r="BM43" s="159"/>
      <x:c r="BN43" s="159"/>
      <x:c r="BO43" s="159"/>
      <x:c r="BP43" s="159"/>
      <x:c r="BQ43" s="159"/>
      <x:c r="BR43" s="159"/>
      <x:c r="BS43" s="159"/>
      <x:c r="BT43" s="159"/>
      <x:c r="BU43" s="159"/>
      <x:c r="BV43" s="159"/>
      <x:c r="BW43" s="159"/>
      <x:c r="BX43" s="159"/>
      <x:c r="BY43" s="159"/>
      <x:c r="BZ43" s="159"/>
      <x:c r="CA43" s="159"/>
      <x:c r="CB43" s="159"/>
      <x:c r="CC43" s="159"/>
      <x:c r="CD43" s="159"/>
      <x:c r="CE43" s="159"/>
      <x:c r="CF43" s="159"/>
      <x:c r="CG43" s="159"/>
      <x:c r="CH43" s="159"/>
      <x:c r="CI43" s="159"/>
      <x:c r="CJ43" s="159"/>
      <x:c r="CK43" s="159"/>
      <x:c r="CL43" s="159"/>
      <x:c r="CM43" s="159"/>
      <x:c r="CN43" s="159"/>
      <x:c r="CO43" s="159"/>
      <x:c r="CP43" s="159"/>
      <x:c r="CQ43" s="159"/>
      <x:c r="CR43" s="159"/>
      <x:c r="CS43" s="159"/>
      <x:c r="CT43" s="159"/>
      <x:c r="CU43" s="159"/>
      <x:c r="CV43" s="159"/>
      <x:c r="CW43" s="159"/>
      <x:c r="CX43" s="159"/>
      <x:c r="CY43" s="159"/>
      <x:c r="CZ43" s="159"/>
      <x:c r="DA43" s="159"/>
      <x:c r="DB43" s="159"/>
      <x:c r="DC43" s="159"/>
      <x:c r="DD43" s="159"/>
      <x:c r="DE43" s="159"/>
      <x:c r="DF43" s="159"/>
      <x:c r="DG43" s="159"/>
      <x:c r="DH43" s="159"/>
      <x:c r="DI43" s="159"/>
      <x:c r="DJ43" s="159"/>
    </x:row>
    <x:row r="44" ht="18" customHeight="1">
      <x:c r="A44" s="159"/>
      <x:c r="B44" s="20" t="str">
        <x:f>IF(A43="待排区","",IF(A43&lt;&gt;"",A43,B43))</x:f>
      </x:c>
      <x:c r="C44" s="20" t="n">
        <x:f>IF(COUNT(AH44)&gt;0,AH44,C43)</x:f>
        <x:v>0</x:v>
      </x:c>
      <x:c r="D44" s="20" t="str">
        <x:f>IF($G44="","",IF(COUNTIF($DZ$4:$DZ$4,$G44)&lt;&gt;1,"",IF(COUNTIFS($DZ$4:$DZ$4,$G44,$EI$4:$EI$4,"&lt;&gt;")=0,"",VLOOKUP($G44,$DZ$4:$EL$4,10,FALSE))))</x:f>
      </x:c>
      <x:c r="E44" s="235"/>
      <x:c r="F44" s="20" t="str">
        <x:f>IF($G44="","",IF(COUNTIF($DZ$4:$DZ$4,$G44)&lt;&gt;1,"",IF(COUNTIFS($DZ$4:$DZ$4,$G44,$EB$4:$EB$4,"&lt;&gt;")=0,"",VLOOKUP($G44,$DZ$4:$EL$4,3,FALSE))))</x:f>
      </x:c>
      <x:c r="G44" s="234"/>
      <x:c r="H44" s="20" t="str">
        <x:f>IF($G44="","",IF(COUNTIF($DZ$4:$DZ$4,$G44)&lt;&gt;1,"",IF(COUNTIFS($DZ$4:$DZ$4,$G44,$EA$4:$EA$4,"&lt;&gt;")=0,"",VLOOKUP($G44,$DZ$4:$EL$4,2,FALSE))))</x:f>
      </x:c>
      <x:c r="I44" s="234"/>
      <x:c r="J44" s="234"/>
      <x:c r="K44" s="236"/>
      <x:c r="L44" s="236"/>
      <x:c r="M44" s="237" t="str">
        <x:f>IF(G44="","",SUM(AW44:AX44,BA44:DJ44))</x:f>
      </x:c>
      <x:c r="N44" s="236" t="str">
        <x:f>IF(G44="","",IF(COUNT(L44,M44)&lt;2,"",MAX(0,L44-M44)))</x:f>
      </x:c>
      <x:c r="O44" s="238" t="str">
        <x:f>IF($G44="","",IF(COUNTIF($DZ$4:$DZ$4,$G44)&lt;&gt;1,"",IF(COUNTIFS($DZ$4:$DZ$4,$G44,$EC$4:$EC$4,"&lt;&gt;")=0,"",VLOOKUP($G44,$DZ$4:$EL$4,4,FALSE))))</x:f>
      </x:c>
      <x:c r="P44" s="159"/>
      <x:c r="Q44" s="234"/>
      <x:c r="R44" s="234"/>
      <x:c r="S44" s="234"/>
      <x:c r="T44" s="20" t="str">
        <x:f>IF($G44="","",IF(COUNTIF($DZ$4:$DZ$4,$G44)&lt;&gt;1,"",IF(COUNTIFS($DZ$4:$DZ$4,$G44,$ED$4:$ED$4,"&lt;&gt;")=0,"",VLOOKUP($G44,$DZ$4:$EL$4,5,FALSE))))</x:f>
      </x:c>
      <x:c r="U44" s="159" t="str">
        <x:f>IF($G44="","",IF(COUNTIF($DZ$4:$DZ$4,$G44)&lt;&gt;1,"",IF(COUNTIFS($DZ$4:$DZ$4,$G44,$EE$4:$EE$4,"&lt;&gt;")=0,"",VLOOKUP($G44,$DZ$4:$EL$4,6,FALSE))))</x:f>
      </x:c>
      <x:c r="V44" s="11" t="str">
        <x:f>IF(COUNT(N44,T44)&lt;2,"",N44*T44/1000*(1+$EM$2))</x:f>
      </x:c>
      <x:c r="W44" s="134" t="str">
        <x:f>IF($G44="","",IF(COUNTIF($DZ$4:$DZ$4,$G44)&lt;&gt;1,"",IF(COUNTIFS($DZ$4:$DZ$4,$G44,$EF$4:$EF$4,"&lt;&gt;")=0,"",VLOOKUP($G44,$DZ$4:$EL$4,7,FALSE))))</x:f>
      </x:c>
      <x:c r="X44" s="36" t="str">
        <x:f>IF(COUNT(N44,W44)&lt;2,"",N44*W44)</x:f>
      </x:c>
      <x:c r="Y44" s="159"/>
      <x:c r="Z44" s="239"/>
      <x:c r="AA44" s="240"/>
      <x:c r="AB44" s="239"/>
      <x:c r="AC44" s="138" t="str">
        <x:f>IF($G44="","",IF(COUNTIF($DZ$4:$DZ$4,$G44)&lt;&gt;1,"",IF(COUNTIFS($DZ$4:$DZ$4,$G44,$EJ$4:$EJ$4,"&lt;&gt;")=0,"",VLOOKUP($G44,$DZ$4:$EL$4,11,FALSE))))</x:f>
      </x:c>
      <x:c r="AD44" s="138" t="str">
        <x:f>IF($G44="","",IF(COUNTIF($DZ$4:$DZ$4,$G44)&lt;&gt;1,"",IF(COUNTIFS($DZ$4:$DZ$4,$G44,$EK$4:$EK$4,"&lt;&gt;")=0,"",VLOOKUP($G44,$DZ$4:$EL$4,12,FALSE))))</x:f>
      </x:c>
      <x:c r="AE44" s="56" t="n">
        <x:f>IF(OR(G44="",A43&lt;&gt;"",B44&lt;&gt;B43),0,IF(G44=G43,IF(Q44=Q43,0,AD44),AC44+IF(Q44=Q43,0,AD44)))</x:f>
        <x:v>0</x:v>
      </x:c>
      <x:c r="AF44" s="70"/>
      <x:c r="AG44" s="239" t="str">
        <x:f>IF(OR(G44="",B44="",B44="填写机号",COUNT($I$2)=0,COUNT(O44)=0,O44&lt;=0),"",MAX($I$2,C43)+AE44)</x:f>
      </x:c>
      <x:c r="AH44" s="239" t="str">
        <x:f>IF(OR(COUNT(AG44,N44,O44)&lt;3,O44&lt;=0),"",AG44+N44/O44)</x:f>
      </x:c>
      <x:c r="AI44" s="142" t="str">
        <x:f>IF(COUNT(AH44)=0,"",YEAR(AH44)&amp;"/"&amp;MONTH(AH44))</x:f>
      </x:c>
      <x:c r="AJ44" s="239" t="str">
        <x:f>IF(COUNT(AH44)=0,"",AH44+$EM$1)</x:f>
      </x:c>
      <x:c r="AK44" s="48" t="str">
        <x:f>IF(COUNT(AB44,AJ44)&lt;2,"",AB44-AJ44)</x:f>
      </x:c>
      <x:c r="AL44" s="159"/>
      <x:c r="AM44" s="159" t="str">
        <x:f>IF(OR(COUNT(N44,O44)&lt;2,O44&lt;=0),"",N44/O44)</x:f>
      </x:c>
      <x:c r="AN44" s="159"/>
      <x:c r="AO44" s="159"/>
      <x:c r="AP44" s="159"/>
      <x:c r="AQ44" s="159"/>
      <x:c r="AR44" s="159"/>
      <x:c r="AS44" s="234"/>
      <x:c r="AT44" s="159"/>
      <x:c r="AU44" s="159" t="str">
        <x:f>IF($G44="","",IF(COUNTIF($DZ$4:$DZ$4,$G44)&lt;&gt;1,"",IF(COUNTIFS($DZ$4:$DZ$4,$G44,$EG$4:$EG$4,"&lt;&gt;")=0,"",VLOOKUP($G44,$DZ$4:$EL$4,8,FALSE))))</x:f>
      </x:c>
      <x:c r="AV44" s="159" t="str">
        <x:f>IF($G44="","",IF(COUNTIF($DZ$4:$DZ$4,$G44)&lt;&gt;1,"",IF(COUNTIFS($DZ$4:$DZ$4,$G44,$EH$4:$EH$4,"&lt;&gt;")=0,"",VLOOKUP($G44,$DZ$4:$EL$4,9,FALSE))))</x:f>
      </x:c>
      <x:c r="AW44" s="209"/>
      <x:c r="AX44" s="209"/>
      <x:c r="AY44" s="159"/>
      <x:c r="AZ44" s="159"/>
      <x:c r="BA44" s="159"/>
      <x:c r="BB44" s="159"/>
      <x:c r="BC44" s="159"/>
      <x:c r="BD44" s="159"/>
      <x:c r="BE44" s="159"/>
      <x:c r="BF44" s="159"/>
      <x:c r="BG44" s="159"/>
      <x:c r="BH44" s="159"/>
      <x:c r="BI44" s="159"/>
      <x:c r="BJ44" s="159"/>
      <x:c r="BK44" s="159"/>
      <x:c r="BL44" s="159"/>
      <x:c r="BM44" s="159"/>
      <x:c r="BN44" s="159"/>
      <x:c r="BO44" s="159"/>
      <x:c r="BP44" s="159"/>
      <x:c r="BQ44" s="159"/>
      <x:c r="BR44" s="159"/>
      <x:c r="BS44" s="159"/>
      <x:c r="BT44" s="159"/>
      <x:c r="BU44" s="159"/>
      <x:c r="BV44" s="159"/>
      <x:c r="BW44" s="159"/>
      <x:c r="BX44" s="159"/>
      <x:c r="BY44" s="159"/>
      <x:c r="BZ44" s="159"/>
      <x:c r="CA44" s="159"/>
      <x:c r="CB44" s="159"/>
      <x:c r="CC44" s="159"/>
      <x:c r="CD44" s="159"/>
      <x:c r="CE44" s="159"/>
      <x:c r="CF44" s="159"/>
      <x:c r="CG44" s="159"/>
      <x:c r="CH44" s="159"/>
      <x:c r="CI44" s="159"/>
      <x:c r="CJ44" s="159"/>
      <x:c r="CK44" s="159"/>
      <x:c r="CL44" s="159"/>
      <x:c r="CM44" s="159"/>
      <x:c r="CN44" s="159"/>
      <x:c r="CO44" s="159"/>
      <x:c r="CP44" s="159"/>
      <x:c r="CQ44" s="159"/>
      <x:c r="CR44" s="159"/>
      <x:c r="CS44" s="159"/>
      <x:c r="CT44" s="159"/>
      <x:c r="CU44" s="159"/>
      <x:c r="CV44" s="159"/>
      <x:c r="CW44" s="159"/>
      <x:c r="CX44" s="159"/>
      <x:c r="CY44" s="159"/>
      <x:c r="CZ44" s="159"/>
      <x:c r="DA44" s="159"/>
      <x:c r="DB44" s="159"/>
      <x:c r="DC44" s="159"/>
      <x:c r="DD44" s="159"/>
      <x:c r="DE44" s="159"/>
      <x:c r="DF44" s="159"/>
      <x:c r="DG44" s="159"/>
      <x:c r="DH44" s="159"/>
      <x:c r="DI44" s="159"/>
      <x:c r="DJ44" s="159"/>
    </x:row>
    <x:row r="45" ht="18" customHeight="1">
      <x:c r="A45" s="159"/>
      <x:c r="B45" s="20" t="str">
        <x:f>IF(A44="待排区","",IF(A44&lt;&gt;"",A44,B44))</x:f>
      </x:c>
      <x:c r="C45" s="20" t="n">
        <x:f>IF(COUNT(AH45)&gt;0,AH45,C44)</x:f>
        <x:v>0</x:v>
      </x:c>
      <x:c r="D45" s="20" t="str">
        <x:f>IF($G45="","",IF(COUNTIF($DZ$4:$DZ$4,$G45)&lt;&gt;1,"",IF(COUNTIFS($DZ$4:$DZ$4,$G45,$EI$4:$EI$4,"&lt;&gt;")=0,"",VLOOKUP($G45,$DZ$4:$EL$4,10,FALSE))))</x:f>
      </x:c>
      <x:c r="E45" s="235"/>
      <x:c r="F45" s="20" t="str">
        <x:f>IF($G45="","",IF(COUNTIF($DZ$4:$DZ$4,$G45)&lt;&gt;1,"",IF(COUNTIFS($DZ$4:$DZ$4,$G45,$EB$4:$EB$4,"&lt;&gt;")=0,"",VLOOKUP($G45,$DZ$4:$EL$4,3,FALSE))))</x:f>
      </x:c>
      <x:c r="G45" s="234"/>
      <x:c r="H45" s="20" t="str">
        <x:f>IF($G45="","",IF(COUNTIF($DZ$4:$DZ$4,$G45)&lt;&gt;1,"",IF(COUNTIFS($DZ$4:$DZ$4,$G45,$EA$4:$EA$4,"&lt;&gt;")=0,"",VLOOKUP($G45,$DZ$4:$EL$4,2,FALSE))))</x:f>
      </x:c>
      <x:c r="I45" s="234"/>
      <x:c r="J45" s="234"/>
      <x:c r="K45" s="236"/>
      <x:c r="L45" s="236"/>
      <x:c r="M45" s="237" t="str">
        <x:f>IF(G45="","",SUM(AW45:AX45,BA45:DJ45))</x:f>
      </x:c>
      <x:c r="N45" s="236" t="str">
        <x:f>IF(G45="","",IF(COUNT(L45,M45)&lt;2,"",MAX(0,L45-M45)))</x:f>
      </x:c>
      <x:c r="O45" s="238" t="str">
        <x:f>IF($G45="","",IF(COUNTIF($DZ$4:$DZ$4,$G45)&lt;&gt;1,"",IF(COUNTIFS($DZ$4:$DZ$4,$G45,$EC$4:$EC$4,"&lt;&gt;")=0,"",VLOOKUP($G45,$DZ$4:$EL$4,4,FALSE))))</x:f>
      </x:c>
      <x:c r="P45" s="159"/>
      <x:c r="Q45" s="234"/>
      <x:c r="R45" s="234"/>
      <x:c r="S45" s="234"/>
      <x:c r="T45" s="20" t="str">
        <x:f>IF($G45="","",IF(COUNTIF($DZ$4:$DZ$4,$G45)&lt;&gt;1,"",IF(COUNTIFS($DZ$4:$DZ$4,$G45,$ED$4:$ED$4,"&lt;&gt;")=0,"",VLOOKUP($G45,$DZ$4:$EL$4,5,FALSE))))</x:f>
      </x:c>
      <x:c r="U45" s="159" t="str">
        <x:f>IF($G45="","",IF(COUNTIF($DZ$4:$DZ$4,$G45)&lt;&gt;1,"",IF(COUNTIFS($DZ$4:$DZ$4,$G45,$EE$4:$EE$4,"&lt;&gt;")=0,"",VLOOKUP($G45,$DZ$4:$EL$4,6,FALSE))))</x:f>
      </x:c>
      <x:c r="V45" s="11" t="str">
        <x:f>IF(COUNT(N45,T45)&lt;2,"",N45*T45/1000*(1+$EM$2))</x:f>
      </x:c>
      <x:c r="W45" s="134" t="str">
        <x:f>IF($G45="","",IF(COUNTIF($DZ$4:$DZ$4,$G45)&lt;&gt;1,"",IF(COUNTIFS($DZ$4:$DZ$4,$G45,$EF$4:$EF$4,"&lt;&gt;")=0,"",VLOOKUP($G45,$DZ$4:$EL$4,7,FALSE))))</x:f>
      </x:c>
      <x:c r="X45" s="36" t="str">
        <x:f>IF(COUNT(N45,W45)&lt;2,"",N45*W45)</x:f>
      </x:c>
      <x:c r="Y45" s="159"/>
      <x:c r="Z45" s="239"/>
      <x:c r="AA45" s="240"/>
      <x:c r="AB45" s="239"/>
      <x:c r="AC45" s="138" t="str">
        <x:f>IF($G45="","",IF(COUNTIF($DZ$4:$DZ$4,$G45)&lt;&gt;1,"",IF(COUNTIFS($DZ$4:$DZ$4,$G45,$EJ$4:$EJ$4,"&lt;&gt;")=0,"",VLOOKUP($G45,$DZ$4:$EL$4,11,FALSE))))</x:f>
      </x:c>
      <x:c r="AD45" s="138" t="str">
        <x:f>IF($G45="","",IF(COUNTIF($DZ$4:$DZ$4,$G45)&lt;&gt;1,"",IF(COUNTIFS($DZ$4:$DZ$4,$G45,$EK$4:$EK$4,"&lt;&gt;")=0,"",VLOOKUP($G45,$DZ$4:$EL$4,12,FALSE))))</x:f>
      </x:c>
      <x:c r="AE45" s="56" t="n">
        <x:f>IF(OR(G45="",A44&lt;&gt;"",B45&lt;&gt;B44),0,IF(G45=G44,IF(Q45=Q44,0,AD45),AC45+IF(Q45=Q44,0,AD45)))</x:f>
        <x:v>0</x:v>
      </x:c>
      <x:c r="AF45" s="70"/>
      <x:c r="AG45" s="239" t="str">
        <x:f>IF(OR(G45="",B45="",B45="填写机号",COUNT($I$2)=0,COUNT(O45)=0,O45&lt;=0),"",MAX($I$2,C44)+AE45)</x:f>
      </x:c>
      <x:c r="AH45" s="239" t="str">
        <x:f>IF(OR(COUNT(AG45,N45,O45)&lt;3,O45&lt;=0),"",AG45+N45/O45)</x:f>
      </x:c>
      <x:c r="AI45" s="142" t="str">
        <x:f>IF(COUNT(AH45)=0,"",YEAR(AH45)&amp;"/"&amp;MONTH(AH45))</x:f>
      </x:c>
      <x:c r="AJ45" s="239" t="str">
        <x:f>IF(COUNT(AH45)=0,"",AH45+$EM$1)</x:f>
      </x:c>
      <x:c r="AK45" s="48" t="str">
        <x:f>IF(COUNT(AB45,AJ45)&lt;2,"",AB45-AJ45)</x:f>
      </x:c>
      <x:c r="AL45" s="159"/>
      <x:c r="AM45" s="159" t="str">
        <x:f>IF(OR(COUNT(N45,O45)&lt;2,O45&lt;=0),"",N45/O45)</x:f>
      </x:c>
      <x:c r="AN45" s="159"/>
      <x:c r="AO45" s="159"/>
      <x:c r="AP45" s="159"/>
      <x:c r="AQ45" s="159"/>
      <x:c r="AR45" s="159"/>
      <x:c r="AS45" s="234"/>
      <x:c r="AT45" s="159"/>
      <x:c r="AU45" s="159" t="str">
        <x:f>IF($G45="","",IF(COUNTIF($DZ$4:$DZ$4,$G45)&lt;&gt;1,"",IF(COUNTIFS($DZ$4:$DZ$4,$G45,$EG$4:$EG$4,"&lt;&gt;")=0,"",VLOOKUP($G45,$DZ$4:$EL$4,8,FALSE))))</x:f>
      </x:c>
      <x:c r="AV45" s="159" t="str">
        <x:f>IF($G45="","",IF(COUNTIF($DZ$4:$DZ$4,$G45)&lt;&gt;1,"",IF(COUNTIFS($DZ$4:$DZ$4,$G45,$EH$4:$EH$4,"&lt;&gt;")=0,"",VLOOKUP($G45,$DZ$4:$EL$4,9,FALSE))))</x:f>
      </x:c>
      <x:c r="AW45" s="209"/>
      <x:c r="AX45" s="209"/>
      <x:c r="AY45" s="159"/>
      <x:c r="AZ45" s="159"/>
      <x:c r="BA45" s="159"/>
      <x:c r="BB45" s="159"/>
      <x:c r="BC45" s="159"/>
      <x:c r="BD45" s="159"/>
      <x:c r="BE45" s="159"/>
      <x:c r="BF45" s="159"/>
      <x:c r="BG45" s="159"/>
      <x:c r="BH45" s="159"/>
      <x:c r="BI45" s="159"/>
      <x:c r="BJ45" s="159"/>
      <x:c r="BK45" s="159"/>
      <x:c r="BL45" s="159"/>
      <x:c r="BM45" s="159"/>
      <x:c r="BN45" s="159"/>
      <x:c r="BO45" s="159"/>
      <x:c r="BP45" s="159"/>
      <x:c r="BQ45" s="159"/>
      <x:c r="BR45" s="159"/>
      <x:c r="BS45" s="159"/>
      <x:c r="BT45" s="159"/>
      <x:c r="BU45" s="159"/>
      <x:c r="BV45" s="159"/>
      <x:c r="BW45" s="159"/>
      <x:c r="BX45" s="159"/>
      <x:c r="BY45" s="159"/>
      <x:c r="BZ45" s="159"/>
      <x:c r="CA45" s="159"/>
      <x:c r="CB45" s="159"/>
      <x:c r="CC45" s="159"/>
      <x:c r="CD45" s="159"/>
      <x:c r="CE45" s="159"/>
      <x:c r="CF45" s="159"/>
      <x:c r="CG45" s="159"/>
      <x:c r="CH45" s="159"/>
      <x:c r="CI45" s="159"/>
      <x:c r="CJ45" s="159"/>
      <x:c r="CK45" s="159"/>
      <x:c r="CL45" s="159"/>
      <x:c r="CM45" s="159"/>
      <x:c r="CN45" s="159"/>
      <x:c r="CO45" s="159"/>
      <x:c r="CP45" s="159"/>
      <x:c r="CQ45" s="159"/>
      <x:c r="CR45" s="159"/>
      <x:c r="CS45" s="159"/>
      <x:c r="CT45" s="159"/>
      <x:c r="CU45" s="159"/>
      <x:c r="CV45" s="159"/>
      <x:c r="CW45" s="159"/>
      <x:c r="CX45" s="159"/>
      <x:c r="CY45" s="159"/>
      <x:c r="CZ45" s="159"/>
      <x:c r="DA45" s="159"/>
      <x:c r="DB45" s="159"/>
      <x:c r="DC45" s="159"/>
      <x:c r="DD45" s="159"/>
      <x:c r="DE45" s="159"/>
      <x:c r="DF45" s="159"/>
      <x:c r="DG45" s="159"/>
      <x:c r="DH45" s="159"/>
      <x:c r="DI45" s="159"/>
      <x:c r="DJ45" s="159"/>
    </x:row>
    <x:row r="46" ht="18" customHeight="1">
      <x:c r="A46" s="159"/>
      <x:c r="B46" s="20" t="str">
        <x:f>IF(A45="待排区","",IF(A45&lt;&gt;"",A45,B45))</x:f>
      </x:c>
      <x:c r="C46" s="20" t="n">
        <x:f>IF(COUNT(AH46)&gt;0,AH46,C45)</x:f>
        <x:v>0</x:v>
      </x:c>
      <x:c r="D46" s="20" t="str">
        <x:f>IF($G46="","",IF(COUNTIF($DZ$4:$DZ$4,$G46)&lt;&gt;1,"",IF(COUNTIFS($DZ$4:$DZ$4,$G46,$EI$4:$EI$4,"&lt;&gt;")=0,"",VLOOKUP($G46,$DZ$4:$EL$4,10,FALSE))))</x:f>
      </x:c>
      <x:c r="E46" s="235"/>
      <x:c r="F46" s="20" t="str">
        <x:f>IF($G46="","",IF(COUNTIF($DZ$4:$DZ$4,$G46)&lt;&gt;1,"",IF(COUNTIFS($DZ$4:$DZ$4,$G46,$EB$4:$EB$4,"&lt;&gt;")=0,"",VLOOKUP($G46,$DZ$4:$EL$4,3,FALSE))))</x:f>
      </x:c>
      <x:c r="G46" s="234"/>
      <x:c r="H46" s="20" t="str">
        <x:f>IF($G46="","",IF(COUNTIF($DZ$4:$DZ$4,$G46)&lt;&gt;1,"",IF(COUNTIFS($DZ$4:$DZ$4,$G46,$EA$4:$EA$4,"&lt;&gt;")=0,"",VLOOKUP($G46,$DZ$4:$EL$4,2,FALSE))))</x:f>
      </x:c>
      <x:c r="I46" s="234"/>
      <x:c r="J46" s="234"/>
      <x:c r="K46" s="236"/>
      <x:c r="L46" s="236"/>
      <x:c r="M46" s="237" t="str">
        <x:f>IF(G46="","",SUM(AW46:AX46,BA46:DJ46))</x:f>
      </x:c>
      <x:c r="N46" s="236" t="str">
        <x:f>IF(G46="","",IF(COUNT(L46,M46)&lt;2,"",MAX(0,L46-M46)))</x:f>
      </x:c>
      <x:c r="O46" s="238" t="str">
        <x:f>IF($G46="","",IF(COUNTIF($DZ$4:$DZ$4,$G46)&lt;&gt;1,"",IF(COUNTIFS($DZ$4:$DZ$4,$G46,$EC$4:$EC$4,"&lt;&gt;")=0,"",VLOOKUP($G46,$DZ$4:$EL$4,4,FALSE))))</x:f>
      </x:c>
      <x:c r="P46" s="159"/>
      <x:c r="Q46" s="234"/>
      <x:c r="R46" s="234"/>
      <x:c r="S46" s="234"/>
      <x:c r="T46" s="20" t="str">
        <x:f>IF($G46="","",IF(COUNTIF($DZ$4:$DZ$4,$G46)&lt;&gt;1,"",IF(COUNTIFS($DZ$4:$DZ$4,$G46,$ED$4:$ED$4,"&lt;&gt;")=0,"",VLOOKUP($G46,$DZ$4:$EL$4,5,FALSE))))</x:f>
      </x:c>
      <x:c r="U46" s="159" t="str">
        <x:f>IF($G46="","",IF(COUNTIF($DZ$4:$DZ$4,$G46)&lt;&gt;1,"",IF(COUNTIFS($DZ$4:$DZ$4,$G46,$EE$4:$EE$4,"&lt;&gt;")=0,"",VLOOKUP($G46,$DZ$4:$EL$4,6,FALSE))))</x:f>
      </x:c>
      <x:c r="V46" s="11" t="str">
        <x:f>IF(COUNT(N46,T46)&lt;2,"",N46*T46/1000*(1+$EM$2))</x:f>
      </x:c>
      <x:c r="W46" s="134" t="str">
        <x:f>IF($G46="","",IF(COUNTIF($DZ$4:$DZ$4,$G46)&lt;&gt;1,"",IF(COUNTIFS($DZ$4:$DZ$4,$G46,$EF$4:$EF$4,"&lt;&gt;")=0,"",VLOOKUP($G46,$DZ$4:$EL$4,7,FALSE))))</x:f>
      </x:c>
      <x:c r="X46" s="36" t="str">
        <x:f>IF(COUNT(N46,W46)&lt;2,"",N46*W46)</x:f>
      </x:c>
      <x:c r="Y46" s="159"/>
      <x:c r="Z46" s="239"/>
      <x:c r="AA46" s="240"/>
      <x:c r="AB46" s="239"/>
      <x:c r="AC46" s="138" t="str">
        <x:f>IF($G46="","",IF(COUNTIF($DZ$4:$DZ$4,$G46)&lt;&gt;1,"",IF(COUNTIFS($DZ$4:$DZ$4,$G46,$EJ$4:$EJ$4,"&lt;&gt;")=0,"",VLOOKUP($G46,$DZ$4:$EL$4,11,FALSE))))</x:f>
      </x:c>
      <x:c r="AD46" s="138" t="str">
        <x:f>IF($G46="","",IF(COUNTIF($DZ$4:$DZ$4,$G46)&lt;&gt;1,"",IF(COUNTIFS($DZ$4:$DZ$4,$G46,$EK$4:$EK$4,"&lt;&gt;")=0,"",VLOOKUP($G46,$DZ$4:$EL$4,12,FALSE))))</x:f>
      </x:c>
      <x:c r="AE46" s="56" t="n">
        <x:f>IF(OR(G46="",A45&lt;&gt;"",B46&lt;&gt;B45),0,IF(G46=G45,IF(Q46=Q45,0,AD46),AC46+IF(Q46=Q45,0,AD46)))</x:f>
        <x:v>0</x:v>
      </x:c>
      <x:c r="AF46" s="70"/>
      <x:c r="AG46" s="239" t="str">
        <x:f>IF(OR(G46="",B46="",B46="填写机号",COUNT($I$2)=0,COUNT(O46)=0,O46&lt;=0),"",MAX($I$2,C45)+AE46)</x:f>
      </x:c>
      <x:c r="AH46" s="239" t="str">
        <x:f>IF(OR(COUNT(AG46,N46,O46)&lt;3,O46&lt;=0),"",AG46+N46/O46)</x:f>
      </x:c>
      <x:c r="AI46" s="142" t="str">
        <x:f>IF(COUNT(AH46)=0,"",YEAR(AH46)&amp;"/"&amp;MONTH(AH46))</x:f>
      </x:c>
      <x:c r="AJ46" s="239" t="str">
        <x:f>IF(COUNT(AH46)=0,"",AH46+$EM$1)</x:f>
      </x:c>
      <x:c r="AK46" s="48" t="str">
        <x:f>IF(COUNT(AB46,AJ46)&lt;2,"",AB46-AJ46)</x:f>
      </x:c>
      <x:c r="AL46" s="159"/>
      <x:c r="AM46" s="159" t="str">
        <x:f>IF(OR(COUNT(N46,O46)&lt;2,O46&lt;=0),"",N46/O46)</x:f>
      </x:c>
      <x:c r="AN46" s="159"/>
      <x:c r="AO46" s="159"/>
      <x:c r="AP46" s="159"/>
      <x:c r="AQ46" s="159"/>
      <x:c r="AR46" s="159"/>
      <x:c r="AS46" s="234"/>
      <x:c r="AT46" s="159"/>
      <x:c r="AU46" s="159" t="str">
        <x:f>IF($G46="","",IF(COUNTIF($DZ$4:$DZ$4,$G46)&lt;&gt;1,"",IF(COUNTIFS($DZ$4:$DZ$4,$G46,$EG$4:$EG$4,"&lt;&gt;")=0,"",VLOOKUP($G46,$DZ$4:$EL$4,8,FALSE))))</x:f>
      </x:c>
      <x:c r="AV46" s="159" t="str">
        <x:f>IF($G46="","",IF(COUNTIF($DZ$4:$DZ$4,$G46)&lt;&gt;1,"",IF(COUNTIFS($DZ$4:$DZ$4,$G46,$EH$4:$EH$4,"&lt;&gt;")=0,"",VLOOKUP($G46,$DZ$4:$EL$4,9,FALSE))))</x:f>
      </x:c>
      <x:c r="AW46" s="209"/>
      <x:c r="AX46" s="209"/>
      <x:c r="AY46" s="159"/>
      <x:c r="AZ46" s="159"/>
      <x:c r="BA46" s="159"/>
      <x:c r="BB46" s="159"/>
      <x:c r="BC46" s="159"/>
      <x:c r="BD46" s="159"/>
      <x:c r="BE46" s="159"/>
      <x:c r="BF46" s="159"/>
      <x:c r="BG46" s="159"/>
      <x:c r="BH46" s="159"/>
      <x:c r="BI46" s="159"/>
      <x:c r="BJ46" s="159"/>
      <x:c r="BK46" s="159"/>
      <x:c r="BL46" s="159"/>
      <x:c r="BM46" s="159"/>
      <x:c r="BN46" s="159"/>
      <x:c r="BO46" s="159"/>
      <x:c r="BP46" s="159"/>
      <x:c r="BQ46" s="159"/>
      <x:c r="BR46" s="159"/>
      <x:c r="BS46" s="159"/>
      <x:c r="BT46" s="159"/>
      <x:c r="BU46" s="159"/>
      <x:c r="BV46" s="159"/>
      <x:c r="BW46" s="159"/>
      <x:c r="BX46" s="159"/>
      <x:c r="BY46" s="159"/>
      <x:c r="BZ46" s="159"/>
      <x:c r="CA46" s="159"/>
      <x:c r="CB46" s="159"/>
      <x:c r="CC46" s="159"/>
      <x:c r="CD46" s="159"/>
      <x:c r="CE46" s="159"/>
      <x:c r="CF46" s="159"/>
      <x:c r="CG46" s="159"/>
      <x:c r="CH46" s="159"/>
      <x:c r="CI46" s="159"/>
      <x:c r="CJ46" s="159"/>
      <x:c r="CK46" s="159"/>
      <x:c r="CL46" s="159"/>
      <x:c r="CM46" s="159"/>
      <x:c r="CN46" s="159"/>
      <x:c r="CO46" s="159"/>
      <x:c r="CP46" s="159"/>
      <x:c r="CQ46" s="159"/>
      <x:c r="CR46" s="159"/>
      <x:c r="CS46" s="159"/>
      <x:c r="CT46" s="159"/>
      <x:c r="CU46" s="159"/>
      <x:c r="CV46" s="159"/>
      <x:c r="CW46" s="159"/>
      <x:c r="CX46" s="159"/>
      <x:c r="CY46" s="159"/>
      <x:c r="CZ46" s="159"/>
      <x:c r="DA46" s="159"/>
      <x:c r="DB46" s="159"/>
      <x:c r="DC46" s="159"/>
      <x:c r="DD46" s="159"/>
      <x:c r="DE46" s="159"/>
      <x:c r="DF46" s="159"/>
      <x:c r="DG46" s="159"/>
      <x:c r="DH46" s="159"/>
      <x:c r="DI46" s="159"/>
      <x:c r="DJ46" s="159"/>
    </x:row>
    <x:row r="47" ht="18" customHeight="1">
      <x:c r="A47" s="159"/>
      <x:c r="B47" s="20" t="str">
        <x:f>IF(A46="待排区","",IF(A46&lt;&gt;"",A46,B46))</x:f>
      </x:c>
      <x:c r="C47" s="20" t="n">
        <x:f>IF(COUNT(AH47)&gt;0,AH47,C46)</x:f>
        <x:v>0</x:v>
      </x:c>
      <x:c r="D47" s="20" t="str">
        <x:f>IF($G47="","",IF(COUNTIF($DZ$4:$DZ$4,$G47)&lt;&gt;1,"",IF(COUNTIFS($DZ$4:$DZ$4,$G47,$EI$4:$EI$4,"&lt;&gt;")=0,"",VLOOKUP($G47,$DZ$4:$EL$4,10,FALSE))))</x:f>
      </x:c>
      <x:c r="E47" s="235"/>
      <x:c r="F47" s="20" t="str">
        <x:f>IF($G47="","",IF(COUNTIF($DZ$4:$DZ$4,$G47)&lt;&gt;1,"",IF(COUNTIFS($DZ$4:$DZ$4,$G47,$EB$4:$EB$4,"&lt;&gt;")=0,"",VLOOKUP($G47,$DZ$4:$EL$4,3,FALSE))))</x:f>
      </x:c>
      <x:c r="G47" s="234"/>
      <x:c r="H47" s="20" t="str">
        <x:f>IF($G47="","",IF(COUNTIF($DZ$4:$DZ$4,$G47)&lt;&gt;1,"",IF(COUNTIFS($DZ$4:$DZ$4,$G47,$EA$4:$EA$4,"&lt;&gt;")=0,"",VLOOKUP($G47,$DZ$4:$EL$4,2,FALSE))))</x:f>
      </x:c>
      <x:c r="I47" s="234"/>
      <x:c r="J47" s="234"/>
      <x:c r="K47" s="236"/>
      <x:c r="L47" s="236"/>
      <x:c r="M47" s="237" t="str">
        <x:f>IF(G47="","",SUM(AW47:AX47,BA47:DJ47))</x:f>
      </x:c>
      <x:c r="N47" s="236" t="str">
        <x:f>IF(G47="","",IF(COUNT(L47,M47)&lt;2,"",MAX(0,L47-M47)))</x:f>
      </x:c>
      <x:c r="O47" s="238" t="str">
        <x:f>IF($G47="","",IF(COUNTIF($DZ$4:$DZ$4,$G47)&lt;&gt;1,"",IF(COUNTIFS($DZ$4:$DZ$4,$G47,$EC$4:$EC$4,"&lt;&gt;")=0,"",VLOOKUP($G47,$DZ$4:$EL$4,4,FALSE))))</x:f>
      </x:c>
      <x:c r="P47" s="159"/>
      <x:c r="Q47" s="234"/>
      <x:c r="R47" s="234"/>
      <x:c r="S47" s="234"/>
      <x:c r="T47" s="20" t="str">
        <x:f>IF($G47="","",IF(COUNTIF($DZ$4:$DZ$4,$G47)&lt;&gt;1,"",IF(COUNTIFS($DZ$4:$DZ$4,$G47,$ED$4:$ED$4,"&lt;&gt;")=0,"",VLOOKUP($G47,$DZ$4:$EL$4,5,FALSE))))</x:f>
      </x:c>
      <x:c r="U47" s="159" t="str">
        <x:f>IF($G47="","",IF(COUNTIF($DZ$4:$DZ$4,$G47)&lt;&gt;1,"",IF(COUNTIFS($DZ$4:$DZ$4,$G47,$EE$4:$EE$4,"&lt;&gt;")=0,"",VLOOKUP($G47,$DZ$4:$EL$4,6,FALSE))))</x:f>
      </x:c>
      <x:c r="V47" s="11" t="str">
        <x:f>IF(COUNT(N47,T47)&lt;2,"",N47*T47/1000*(1+$EM$2))</x:f>
      </x:c>
      <x:c r="W47" s="134" t="str">
        <x:f>IF($G47="","",IF(COUNTIF($DZ$4:$DZ$4,$G47)&lt;&gt;1,"",IF(COUNTIFS($DZ$4:$DZ$4,$G47,$EF$4:$EF$4,"&lt;&gt;")=0,"",VLOOKUP($G47,$DZ$4:$EL$4,7,FALSE))))</x:f>
      </x:c>
      <x:c r="X47" s="36" t="str">
        <x:f>IF(COUNT(N47,W47)&lt;2,"",N47*W47)</x:f>
      </x:c>
      <x:c r="Y47" s="159"/>
      <x:c r="Z47" s="239"/>
      <x:c r="AA47" s="240"/>
      <x:c r="AB47" s="239"/>
      <x:c r="AC47" s="138" t="str">
        <x:f>IF($G47="","",IF(COUNTIF($DZ$4:$DZ$4,$G47)&lt;&gt;1,"",IF(COUNTIFS($DZ$4:$DZ$4,$G47,$EJ$4:$EJ$4,"&lt;&gt;")=0,"",VLOOKUP($G47,$DZ$4:$EL$4,11,FALSE))))</x:f>
      </x:c>
      <x:c r="AD47" s="138" t="str">
        <x:f>IF($G47="","",IF(COUNTIF($DZ$4:$DZ$4,$G47)&lt;&gt;1,"",IF(COUNTIFS($DZ$4:$DZ$4,$G47,$EK$4:$EK$4,"&lt;&gt;")=0,"",VLOOKUP($G47,$DZ$4:$EL$4,12,FALSE))))</x:f>
      </x:c>
      <x:c r="AE47" s="56" t="n">
        <x:f>IF(OR(G47="",A46&lt;&gt;"",B47&lt;&gt;B46),0,IF(G47=G46,IF(Q47=Q46,0,AD47),AC47+IF(Q47=Q46,0,AD47)))</x:f>
        <x:v>0</x:v>
      </x:c>
      <x:c r="AF47" s="70"/>
      <x:c r="AG47" s="239" t="str">
        <x:f>IF(OR(G47="",B47="",B47="填写机号",COUNT($I$2)=0,COUNT(O47)=0,O47&lt;=0),"",MAX($I$2,C46)+AE47)</x:f>
      </x:c>
      <x:c r="AH47" s="239" t="str">
        <x:f>IF(OR(COUNT(AG47,N47,O47)&lt;3,O47&lt;=0),"",AG47+N47/O47)</x:f>
      </x:c>
      <x:c r="AI47" s="142" t="str">
        <x:f>IF(COUNT(AH47)=0,"",YEAR(AH47)&amp;"/"&amp;MONTH(AH47))</x:f>
      </x:c>
      <x:c r="AJ47" s="239" t="str">
        <x:f>IF(COUNT(AH47)=0,"",AH47+$EM$1)</x:f>
      </x:c>
      <x:c r="AK47" s="48" t="str">
        <x:f>IF(COUNT(AB47,AJ47)&lt;2,"",AB47-AJ47)</x:f>
      </x:c>
      <x:c r="AL47" s="159"/>
      <x:c r="AM47" s="159" t="str">
        <x:f>IF(OR(COUNT(N47,O47)&lt;2,O47&lt;=0),"",N47/O47)</x:f>
      </x:c>
      <x:c r="AN47" s="159"/>
      <x:c r="AO47" s="159"/>
      <x:c r="AP47" s="159"/>
      <x:c r="AQ47" s="159"/>
      <x:c r="AR47" s="159"/>
      <x:c r="AS47" s="234"/>
      <x:c r="AT47" s="159"/>
      <x:c r="AU47" s="159" t="str">
        <x:f>IF($G47="","",IF(COUNTIF($DZ$4:$DZ$4,$G47)&lt;&gt;1,"",IF(COUNTIFS($DZ$4:$DZ$4,$G47,$EG$4:$EG$4,"&lt;&gt;")=0,"",VLOOKUP($G47,$DZ$4:$EL$4,8,FALSE))))</x:f>
      </x:c>
      <x:c r="AV47" s="159" t="str">
        <x:f>IF($G47="","",IF(COUNTIF($DZ$4:$DZ$4,$G47)&lt;&gt;1,"",IF(COUNTIFS($DZ$4:$DZ$4,$G47,$EH$4:$EH$4,"&lt;&gt;")=0,"",VLOOKUP($G47,$DZ$4:$EL$4,9,FALSE))))</x:f>
      </x:c>
      <x:c r="AW47" s="209"/>
      <x:c r="AX47" s="209"/>
      <x:c r="AY47" s="159"/>
      <x:c r="AZ47" s="159"/>
      <x:c r="BA47" s="159"/>
      <x:c r="BB47" s="159"/>
      <x:c r="BC47" s="159"/>
      <x:c r="BD47" s="159"/>
      <x:c r="BE47" s="159"/>
      <x:c r="BF47" s="159"/>
      <x:c r="BG47" s="159"/>
      <x:c r="BH47" s="159"/>
      <x:c r="BI47" s="159"/>
      <x:c r="BJ47" s="159"/>
      <x:c r="BK47" s="159"/>
      <x:c r="BL47" s="159"/>
      <x:c r="BM47" s="159"/>
      <x:c r="BN47" s="159"/>
      <x:c r="BO47" s="159"/>
      <x:c r="BP47" s="159"/>
      <x:c r="BQ47" s="159"/>
      <x:c r="BR47" s="159"/>
      <x:c r="BS47" s="159"/>
      <x:c r="BT47" s="159"/>
      <x:c r="BU47" s="159"/>
      <x:c r="BV47" s="159"/>
      <x:c r="BW47" s="159"/>
      <x:c r="BX47" s="159"/>
      <x:c r="BY47" s="159"/>
      <x:c r="BZ47" s="159"/>
      <x:c r="CA47" s="159"/>
      <x:c r="CB47" s="159"/>
      <x:c r="CC47" s="159"/>
      <x:c r="CD47" s="159"/>
      <x:c r="CE47" s="159"/>
      <x:c r="CF47" s="159"/>
      <x:c r="CG47" s="159"/>
      <x:c r="CH47" s="159"/>
      <x:c r="CI47" s="159"/>
      <x:c r="CJ47" s="159"/>
      <x:c r="CK47" s="159"/>
      <x:c r="CL47" s="159"/>
      <x:c r="CM47" s="159"/>
      <x:c r="CN47" s="159"/>
      <x:c r="CO47" s="159"/>
      <x:c r="CP47" s="159"/>
      <x:c r="CQ47" s="159"/>
      <x:c r="CR47" s="159"/>
      <x:c r="CS47" s="159"/>
      <x:c r="CT47" s="159"/>
      <x:c r="CU47" s="159"/>
      <x:c r="CV47" s="159"/>
      <x:c r="CW47" s="159"/>
      <x:c r="CX47" s="159"/>
      <x:c r="CY47" s="159"/>
      <x:c r="CZ47" s="159"/>
      <x:c r="DA47" s="159"/>
      <x:c r="DB47" s="159"/>
      <x:c r="DC47" s="159"/>
      <x:c r="DD47" s="159"/>
      <x:c r="DE47" s="159"/>
      <x:c r="DF47" s="159"/>
      <x:c r="DG47" s="159"/>
      <x:c r="DH47" s="159"/>
      <x:c r="DI47" s="159"/>
      <x:c r="DJ47" s="159"/>
    </x:row>
    <x:row r="48" ht="18" customHeight="1">
      <x:c r="A48" s="159"/>
      <x:c r="B48" s="20" t="str">
        <x:f>IF(A47="待排区","",IF(A47&lt;&gt;"",A47,B47))</x:f>
      </x:c>
      <x:c r="C48" s="20" t="n">
        <x:f>IF(COUNT(AH48)&gt;0,AH48,C47)</x:f>
        <x:v>0</x:v>
      </x:c>
      <x:c r="D48" s="20" t="str">
        <x:f>IF($G48="","",IF(COUNTIF($DZ$4:$DZ$4,$G48)&lt;&gt;1,"",IF(COUNTIFS($DZ$4:$DZ$4,$G48,$EI$4:$EI$4,"&lt;&gt;")=0,"",VLOOKUP($G48,$DZ$4:$EL$4,10,FALSE))))</x:f>
      </x:c>
      <x:c r="E48" s="235"/>
      <x:c r="F48" s="20" t="str">
        <x:f>IF($G48="","",IF(COUNTIF($DZ$4:$DZ$4,$G48)&lt;&gt;1,"",IF(COUNTIFS($DZ$4:$DZ$4,$G48,$EB$4:$EB$4,"&lt;&gt;")=0,"",VLOOKUP($G48,$DZ$4:$EL$4,3,FALSE))))</x:f>
      </x:c>
      <x:c r="G48" s="234"/>
      <x:c r="H48" s="20" t="str">
        <x:f>IF($G48="","",IF(COUNTIF($DZ$4:$DZ$4,$G48)&lt;&gt;1,"",IF(COUNTIFS($DZ$4:$DZ$4,$G48,$EA$4:$EA$4,"&lt;&gt;")=0,"",VLOOKUP($G48,$DZ$4:$EL$4,2,FALSE))))</x:f>
      </x:c>
      <x:c r="I48" s="234"/>
      <x:c r="J48" s="234"/>
      <x:c r="K48" s="236"/>
      <x:c r="L48" s="236"/>
      <x:c r="M48" s="237" t="str">
        <x:f>IF(G48="","",SUM(AW48:AX48,BA48:DJ48))</x:f>
      </x:c>
      <x:c r="N48" s="236" t="str">
        <x:f>IF(G48="","",IF(COUNT(L48,M48)&lt;2,"",MAX(0,L48-M48)))</x:f>
      </x:c>
      <x:c r="O48" s="238" t="str">
        <x:f>IF($G48="","",IF(COUNTIF($DZ$4:$DZ$4,$G48)&lt;&gt;1,"",IF(COUNTIFS($DZ$4:$DZ$4,$G48,$EC$4:$EC$4,"&lt;&gt;")=0,"",VLOOKUP($G48,$DZ$4:$EL$4,4,FALSE))))</x:f>
      </x:c>
      <x:c r="P48" s="159"/>
      <x:c r="Q48" s="234"/>
      <x:c r="R48" s="234"/>
      <x:c r="S48" s="234"/>
      <x:c r="T48" s="20" t="str">
        <x:f>IF($G48="","",IF(COUNTIF($DZ$4:$DZ$4,$G48)&lt;&gt;1,"",IF(COUNTIFS($DZ$4:$DZ$4,$G48,$ED$4:$ED$4,"&lt;&gt;")=0,"",VLOOKUP($G48,$DZ$4:$EL$4,5,FALSE))))</x:f>
      </x:c>
      <x:c r="U48" s="159" t="str">
        <x:f>IF($G48="","",IF(COUNTIF($DZ$4:$DZ$4,$G48)&lt;&gt;1,"",IF(COUNTIFS($DZ$4:$DZ$4,$G48,$EE$4:$EE$4,"&lt;&gt;")=0,"",VLOOKUP($G48,$DZ$4:$EL$4,6,FALSE))))</x:f>
      </x:c>
      <x:c r="V48" s="11" t="str">
        <x:f>IF(COUNT(N48,T48)&lt;2,"",N48*T48/1000*(1+$EM$2))</x:f>
      </x:c>
      <x:c r="W48" s="134" t="str">
        <x:f>IF($G48="","",IF(COUNTIF($DZ$4:$DZ$4,$G48)&lt;&gt;1,"",IF(COUNTIFS($DZ$4:$DZ$4,$G48,$EF$4:$EF$4,"&lt;&gt;")=0,"",VLOOKUP($G48,$DZ$4:$EL$4,7,FALSE))))</x:f>
      </x:c>
      <x:c r="X48" s="36" t="str">
        <x:f>IF(COUNT(N48,W48)&lt;2,"",N48*W48)</x:f>
      </x:c>
      <x:c r="Y48" s="159"/>
      <x:c r="Z48" s="239"/>
      <x:c r="AA48" s="240"/>
      <x:c r="AB48" s="239"/>
      <x:c r="AC48" s="138" t="str">
        <x:f>IF($G48="","",IF(COUNTIF($DZ$4:$DZ$4,$G48)&lt;&gt;1,"",IF(COUNTIFS($DZ$4:$DZ$4,$G48,$EJ$4:$EJ$4,"&lt;&gt;")=0,"",VLOOKUP($G48,$DZ$4:$EL$4,11,FALSE))))</x:f>
      </x:c>
      <x:c r="AD48" s="138" t="str">
        <x:f>IF($G48="","",IF(COUNTIF($DZ$4:$DZ$4,$G48)&lt;&gt;1,"",IF(COUNTIFS($DZ$4:$DZ$4,$G48,$EK$4:$EK$4,"&lt;&gt;")=0,"",VLOOKUP($G48,$DZ$4:$EL$4,12,FALSE))))</x:f>
      </x:c>
      <x:c r="AE48" s="56" t="n">
        <x:f>IF(OR(G48="",A47&lt;&gt;"",B48&lt;&gt;B47),0,IF(G48=G47,IF(Q48=Q47,0,AD48),AC48+IF(Q48=Q47,0,AD48)))</x:f>
        <x:v>0</x:v>
      </x:c>
      <x:c r="AF48" s="70"/>
      <x:c r="AG48" s="239" t="str">
        <x:f>IF(OR(G48="",B48="",B48="填写机号",COUNT($I$2)=0,COUNT(O48)=0,O48&lt;=0),"",MAX($I$2,C47)+AE48)</x:f>
      </x:c>
      <x:c r="AH48" s="239" t="str">
        <x:f>IF(OR(COUNT(AG48,N48,O48)&lt;3,O48&lt;=0),"",AG48+N48/O48)</x:f>
      </x:c>
      <x:c r="AI48" s="142" t="str">
        <x:f>IF(COUNT(AH48)=0,"",YEAR(AH48)&amp;"/"&amp;MONTH(AH48))</x:f>
      </x:c>
      <x:c r="AJ48" s="239" t="str">
        <x:f>IF(COUNT(AH48)=0,"",AH48+$EM$1)</x:f>
      </x:c>
      <x:c r="AK48" s="48" t="str">
        <x:f>IF(COUNT(AB48,AJ48)&lt;2,"",AB48-AJ48)</x:f>
      </x:c>
      <x:c r="AL48" s="159"/>
      <x:c r="AM48" s="159" t="str">
        <x:f>IF(OR(COUNT(N48,O48)&lt;2,O48&lt;=0),"",N48/O48)</x:f>
      </x:c>
      <x:c r="AN48" s="159"/>
      <x:c r="AO48" s="159"/>
      <x:c r="AP48" s="159"/>
      <x:c r="AQ48" s="159"/>
      <x:c r="AR48" s="159"/>
      <x:c r="AS48" s="234"/>
      <x:c r="AT48" s="159"/>
      <x:c r="AU48" s="159" t="str">
        <x:f>IF($G48="","",IF(COUNTIF($DZ$4:$DZ$4,$G48)&lt;&gt;1,"",IF(COUNTIFS($DZ$4:$DZ$4,$G48,$EG$4:$EG$4,"&lt;&gt;")=0,"",VLOOKUP($G48,$DZ$4:$EL$4,8,FALSE))))</x:f>
      </x:c>
      <x:c r="AV48" s="159" t="str">
        <x:f>IF($G48="","",IF(COUNTIF($DZ$4:$DZ$4,$G48)&lt;&gt;1,"",IF(COUNTIFS($DZ$4:$DZ$4,$G48,$EH$4:$EH$4,"&lt;&gt;")=0,"",VLOOKUP($G48,$DZ$4:$EL$4,9,FALSE))))</x:f>
      </x:c>
      <x:c r="AW48" s="209"/>
      <x:c r="AX48" s="209"/>
      <x:c r="AY48" s="159"/>
      <x:c r="AZ48" s="159"/>
      <x:c r="BA48" s="159"/>
      <x:c r="BB48" s="159"/>
      <x:c r="BC48" s="159"/>
      <x:c r="BD48" s="159"/>
      <x:c r="BE48" s="159"/>
      <x:c r="BF48" s="159"/>
      <x:c r="BG48" s="159"/>
      <x:c r="BH48" s="159"/>
      <x:c r="BI48" s="159"/>
      <x:c r="BJ48" s="159"/>
      <x:c r="BK48" s="159"/>
      <x:c r="BL48" s="159"/>
      <x:c r="BM48" s="159"/>
      <x:c r="BN48" s="159"/>
      <x:c r="BO48" s="159"/>
      <x:c r="BP48" s="159"/>
      <x:c r="BQ48" s="159"/>
      <x:c r="BR48" s="159"/>
      <x:c r="BS48" s="159"/>
      <x:c r="BT48" s="159"/>
      <x:c r="BU48" s="159"/>
      <x:c r="BV48" s="159"/>
      <x:c r="BW48" s="159"/>
      <x:c r="BX48" s="159"/>
      <x:c r="BY48" s="159"/>
      <x:c r="BZ48" s="159"/>
      <x:c r="CA48" s="159"/>
      <x:c r="CB48" s="159"/>
      <x:c r="CC48" s="159"/>
      <x:c r="CD48" s="159"/>
      <x:c r="CE48" s="159"/>
      <x:c r="CF48" s="159"/>
      <x:c r="CG48" s="159"/>
      <x:c r="CH48" s="159"/>
      <x:c r="CI48" s="159"/>
      <x:c r="CJ48" s="159"/>
      <x:c r="CK48" s="159"/>
      <x:c r="CL48" s="159"/>
      <x:c r="CM48" s="159"/>
      <x:c r="CN48" s="159"/>
      <x:c r="CO48" s="159"/>
      <x:c r="CP48" s="159"/>
      <x:c r="CQ48" s="159"/>
      <x:c r="CR48" s="159"/>
      <x:c r="CS48" s="159"/>
      <x:c r="CT48" s="159"/>
      <x:c r="CU48" s="159"/>
      <x:c r="CV48" s="159"/>
      <x:c r="CW48" s="159"/>
      <x:c r="CX48" s="159"/>
      <x:c r="CY48" s="159"/>
      <x:c r="CZ48" s="159"/>
      <x:c r="DA48" s="159"/>
      <x:c r="DB48" s="159"/>
      <x:c r="DC48" s="159"/>
      <x:c r="DD48" s="159"/>
      <x:c r="DE48" s="159"/>
      <x:c r="DF48" s="159"/>
      <x:c r="DG48" s="159"/>
      <x:c r="DH48" s="159"/>
      <x:c r="DI48" s="159"/>
      <x:c r="DJ48" s="159"/>
    </x:row>
    <x:row r="49" ht="18" customHeight="1">
      <x:c r="A49" s="159"/>
      <x:c r="B49" s="20" t="str">
        <x:f>IF(A48="待排区","",IF(A48&lt;&gt;"",A48,B48))</x:f>
      </x:c>
      <x:c r="C49" s="20" t="n">
        <x:f>IF(COUNT(AH49)&gt;0,AH49,C48)</x:f>
        <x:v>0</x:v>
      </x:c>
      <x:c r="D49" s="20" t="str">
        <x:f>IF($G49="","",IF(COUNTIF($DZ$4:$DZ$4,$G49)&lt;&gt;1,"",IF(COUNTIFS($DZ$4:$DZ$4,$G49,$EI$4:$EI$4,"&lt;&gt;")=0,"",VLOOKUP($G49,$DZ$4:$EL$4,10,FALSE))))</x:f>
      </x:c>
      <x:c r="E49" s="235"/>
      <x:c r="F49" s="20" t="str">
        <x:f>IF($G49="","",IF(COUNTIF($DZ$4:$DZ$4,$G49)&lt;&gt;1,"",IF(COUNTIFS($DZ$4:$DZ$4,$G49,$EB$4:$EB$4,"&lt;&gt;")=0,"",VLOOKUP($G49,$DZ$4:$EL$4,3,FALSE))))</x:f>
      </x:c>
      <x:c r="G49" s="234"/>
      <x:c r="H49" s="20" t="str">
        <x:f>IF($G49="","",IF(COUNTIF($DZ$4:$DZ$4,$G49)&lt;&gt;1,"",IF(COUNTIFS($DZ$4:$DZ$4,$G49,$EA$4:$EA$4,"&lt;&gt;")=0,"",VLOOKUP($G49,$DZ$4:$EL$4,2,FALSE))))</x:f>
      </x:c>
      <x:c r="I49" s="234"/>
      <x:c r="J49" s="234"/>
      <x:c r="K49" s="236"/>
      <x:c r="L49" s="236"/>
      <x:c r="M49" s="237" t="str">
        <x:f>IF(G49="","",SUM(AW49:AX49,BA49:DJ49))</x:f>
      </x:c>
      <x:c r="N49" s="236" t="str">
        <x:f>IF(G49="","",IF(COUNT(L49,M49)&lt;2,"",MAX(0,L49-M49)))</x:f>
      </x:c>
      <x:c r="O49" s="238" t="str">
        <x:f>IF($G49="","",IF(COUNTIF($DZ$4:$DZ$4,$G49)&lt;&gt;1,"",IF(COUNTIFS($DZ$4:$DZ$4,$G49,$EC$4:$EC$4,"&lt;&gt;")=0,"",VLOOKUP($G49,$DZ$4:$EL$4,4,FALSE))))</x:f>
      </x:c>
      <x:c r="P49" s="159"/>
      <x:c r="Q49" s="234"/>
      <x:c r="R49" s="234"/>
      <x:c r="S49" s="234"/>
      <x:c r="T49" s="20" t="str">
        <x:f>IF($G49="","",IF(COUNTIF($DZ$4:$DZ$4,$G49)&lt;&gt;1,"",IF(COUNTIFS($DZ$4:$DZ$4,$G49,$ED$4:$ED$4,"&lt;&gt;")=0,"",VLOOKUP($G49,$DZ$4:$EL$4,5,FALSE))))</x:f>
      </x:c>
      <x:c r="U49" s="159" t="str">
        <x:f>IF($G49="","",IF(COUNTIF($DZ$4:$DZ$4,$G49)&lt;&gt;1,"",IF(COUNTIFS($DZ$4:$DZ$4,$G49,$EE$4:$EE$4,"&lt;&gt;")=0,"",VLOOKUP($G49,$DZ$4:$EL$4,6,FALSE))))</x:f>
      </x:c>
      <x:c r="V49" s="11" t="str">
        <x:f>IF(COUNT(N49,T49)&lt;2,"",N49*T49/1000*(1+$EM$2))</x:f>
      </x:c>
      <x:c r="W49" s="134" t="str">
        <x:f>IF($G49="","",IF(COUNTIF($DZ$4:$DZ$4,$G49)&lt;&gt;1,"",IF(COUNTIFS($DZ$4:$DZ$4,$G49,$EF$4:$EF$4,"&lt;&gt;")=0,"",VLOOKUP($G49,$DZ$4:$EL$4,7,FALSE))))</x:f>
      </x:c>
      <x:c r="X49" s="36" t="str">
        <x:f>IF(COUNT(N49,W49)&lt;2,"",N49*W49)</x:f>
      </x:c>
      <x:c r="Y49" s="159"/>
      <x:c r="Z49" s="239"/>
      <x:c r="AA49" s="240"/>
      <x:c r="AB49" s="239"/>
      <x:c r="AC49" s="138" t="str">
        <x:f>IF($G49="","",IF(COUNTIF($DZ$4:$DZ$4,$G49)&lt;&gt;1,"",IF(COUNTIFS($DZ$4:$DZ$4,$G49,$EJ$4:$EJ$4,"&lt;&gt;")=0,"",VLOOKUP($G49,$DZ$4:$EL$4,11,FALSE))))</x:f>
      </x:c>
      <x:c r="AD49" s="138" t="str">
        <x:f>IF($G49="","",IF(COUNTIF($DZ$4:$DZ$4,$G49)&lt;&gt;1,"",IF(COUNTIFS($DZ$4:$DZ$4,$G49,$EK$4:$EK$4,"&lt;&gt;")=0,"",VLOOKUP($G49,$DZ$4:$EL$4,12,FALSE))))</x:f>
      </x:c>
      <x:c r="AE49" s="56" t="n">
        <x:f>IF(OR(G49="",A48&lt;&gt;"",B49&lt;&gt;B48),0,IF(G49=G48,IF(Q49=Q48,0,AD49),AC49+IF(Q49=Q48,0,AD49)))</x:f>
        <x:v>0</x:v>
      </x:c>
      <x:c r="AF49" s="70"/>
      <x:c r="AG49" s="239" t="str">
        <x:f>IF(OR(G49="",B49="",B49="填写机号",COUNT($I$2)=0,COUNT(O49)=0,O49&lt;=0),"",MAX($I$2,C48)+AE49)</x:f>
      </x:c>
      <x:c r="AH49" s="239" t="str">
        <x:f>IF(OR(COUNT(AG49,N49,O49)&lt;3,O49&lt;=0),"",AG49+N49/O49)</x:f>
      </x:c>
      <x:c r="AI49" s="142" t="str">
        <x:f>IF(COUNT(AH49)=0,"",YEAR(AH49)&amp;"/"&amp;MONTH(AH49))</x:f>
      </x:c>
      <x:c r="AJ49" s="239" t="str">
        <x:f>IF(COUNT(AH49)=0,"",AH49+$EM$1)</x:f>
      </x:c>
      <x:c r="AK49" s="48" t="str">
        <x:f>IF(COUNT(AB49,AJ49)&lt;2,"",AB49-AJ49)</x:f>
      </x:c>
      <x:c r="AL49" s="159"/>
      <x:c r="AM49" s="159" t="str">
        <x:f>IF(OR(COUNT(N49,O49)&lt;2,O49&lt;=0),"",N49/O49)</x:f>
      </x:c>
      <x:c r="AN49" s="159"/>
      <x:c r="AO49" s="159"/>
      <x:c r="AP49" s="159"/>
      <x:c r="AQ49" s="159"/>
      <x:c r="AR49" s="159"/>
      <x:c r="AS49" s="234"/>
      <x:c r="AT49" s="159"/>
      <x:c r="AU49" s="159" t="str">
        <x:f>IF($G49="","",IF(COUNTIF($DZ$4:$DZ$4,$G49)&lt;&gt;1,"",IF(COUNTIFS($DZ$4:$DZ$4,$G49,$EG$4:$EG$4,"&lt;&gt;")=0,"",VLOOKUP($G49,$DZ$4:$EL$4,8,FALSE))))</x:f>
      </x:c>
      <x:c r="AV49" s="159" t="str">
        <x:f>IF($G49="","",IF(COUNTIF($DZ$4:$DZ$4,$G49)&lt;&gt;1,"",IF(COUNTIFS($DZ$4:$DZ$4,$G49,$EH$4:$EH$4,"&lt;&gt;")=0,"",VLOOKUP($G49,$DZ$4:$EL$4,9,FALSE))))</x:f>
      </x:c>
      <x:c r="AW49" s="209"/>
      <x:c r="AX49" s="209"/>
      <x:c r="AY49" s="159"/>
      <x:c r="AZ49" s="159"/>
      <x:c r="BA49" s="159"/>
      <x:c r="BB49" s="159"/>
      <x:c r="BC49" s="159"/>
      <x:c r="BD49" s="159"/>
      <x:c r="BE49" s="159"/>
      <x:c r="BF49" s="159"/>
      <x:c r="BG49" s="159"/>
      <x:c r="BH49" s="159"/>
      <x:c r="BI49" s="159"/>
      <x:c r="BJ49" s="159"/>
      <x:c r="BK49" s="159"/>
      <x:c r="BL49" s="159"/>
      <x:c r="BM49" s="159"/>
      <x:c r="BN49" s="159"/>
      <x:c r="BO49" s="159"/>
      <x:c r="BP49" s="159"/>
      <x:c r="BQ49" s="159"/>
      <x:c r="BR49" s="159"/>
      <x:c r="BS49" s="159"/>
      <x:c r="BT49" s="159"/>
      <x:c r="BU49" s="159"/>
      <x:c r="BV49" s="159"/>
      <x:c r="BW49" s="159"/>
      <x:c r="BX49" s="159"/>
      <x:c r="BY49" s="159"/>
      <x:c r="BZ49" s="159"/>
      <x:c r="CA49" s="159"/>
      <x:c r="CB49" s="159"/>
      <x:c r="CC49" s="159"/>
      <x:c r="CD49" s="159"/>
      <x:c r="CE49" s="159"/>
      <x:c r="CF49" s="159"/>
      <x:c r="CG49" s="159"/>
      <x:c r="CH49" s="159"/>
      <x:c r="CI49" s="159"/>
      <x:c r="CJ49" s="159"/>
      <x:c r="CK49" s="159"/>
      <x:c r="CL49" s="159"/>
      <x:c r="CM49" s="159"/>
      <x:c r="CN49" s="159"/>
      <x:c r="CO49" s="159"/>
      <x:c r="CP49" s="159"/>
      <x:c r="CQ49" s="159"/>
      <x:c r="CR49" s="159"/>
      <x:c r="CS49" s="159"/>
      <x:c r="CT49" s="159"/>
      <x:c r="CU49" s="159"/>
      <x:c r="CV49" s="159"/>
      <x:c r="CW49" s="159"/>
      <x:c r="CX49" s="159"/>
      <x:c r="CY49" s="159"/>
      <x:c r="CZ49" s="159"/>
      <x:c r="DA49" s="159"/>
      <x:c r="DB49" s="159"/>
      <x:c r="DC49" s="159"/>
      <x:c r="DD49" s="159"/>
      <x:c r="DE49" s="159"/>
      <x:c r="DF49" s="159"/>
      <x:c r="DG49" s="159"/>
      <x:c r="DH49" s="159"/>
      <x:c r="DI49" s="159"/>
      <x:c r="DJ49" s="159"/>
    </x:row>
    <x:row r="50" ht="18" customHeight="1">
      <x:c r="A50" s="159"/>
      <x:c r="B50" s="20" t="str">
        <x:f>IF(A49="待排区","",IF(A49&lt;&gt;"",A49,B49))</x:f>
      </x:c>
      <x:c r="C50" s="20" t="n">
        <x:f>IF(COUNT(AH50)&gt;0,AH50,C49)</x:f>
        <x:v>0</x:v>
      </x:c>
      <x:c r="D50" s="20" t="str">
        <x:f>IF($G50="","",IF(COUNTIF($DZ$4:$DZ$4,$G50)&lt;&gt;1,"",IF(COUNTIFS($DZ$4:$DZ$4,$G50,$EI$4:$EI$4,"&lt;&gt;")=0,"",VLOOKUP($G50,$DZ$4:$EL$4,10,FALSE))))</x:f>
      </x:c>
      <x:c r="E50" s="235"/>
      <x:c r="F50" s="20" t="str">
        <x:f>IF($G50="","",IF(COUNTIF($DZ$4:$DZ$4,$G50)&lt;&gt;1,"",IF(COUNTIFS($DZ$4:$DZ$4,$G50,$EB$4:$EB$4,"&lt;&gt;")=0,"",VLOOKUP($G50,$DZ$4:$EL$4,3,FALSE))))</x:f>
      </x:c>
      <x:c r="G50" s="234"/>
      <x:c r="H50" s="20" t="str">
        <x:f>IF($G50="","",IF(COUNTIF($DZ$4:$DZ$4,$G50)&lt;&gt;1,"",IF(COUNTIFS($DZ$4:$DZ$4,$G50,$EA$4:$EA$4,"&lt;&gt;")=0,"",VLOOKUP($G50,$DZ$4:$EL$4,2,FALSE))))</x:f>
      </x:c>
      <x:c r="I50" s="234"/>
      <x:c r="J50" s="234"/>
      <x:c r="K50" s="236"/>
      <x:c r="L50" s="236"/>
      <x:c r="M50" s="237" t="str">
        <x:f>IF(G50="","",SUM(AW50:AX50,BA50:DJ50))</x:f>
      </x:c>
      <x:c r="N50" s="236" t="str">
        <x:f>IF(G50="","",IF(COUNT(L50,M50)&lt;2,"",MAX(0,L50-M50)))</x:f>
      </x:c>
      <x:c r="O50" s="238" t="str">
        <x:f>IF($G50="","",IF(COUNTIF($DZ$4:$DZ$4,$G50)&lt;&gt;1,"",IF(COUNTIFS($DZ$4:$DZ$4,$G50,$EC$4:$EC$4,"&lt;&gt;")=0,"",VLOOKUP($G50,$DZ$4:$EL$4,4,FALSE))))</x:f>
      </x:c>
      <x:c r="P50" s="159"/>
      <x:c r="Q50" s="234"/>
      <x:c r="R50" s="234"/>
      <x:c r="S50" s="234"/>
      <x:c r="T50" s="20" t="str">
        <x:f>IF($G50="","",IF(COUNTIF($DZ$4:$DZ$4,$G50)&lt;&gt;1,"",IF(COUNTIFS($DZ$4:$DZ$4,$G50,$ED$4:$ED$4,"&lt;&gt;")=0,"",VLOOKUP($G50,$DZ$4:$EL$4,5,FALSE))))</x:f>
      </x:c>
      <x:c r="U50" s="159" t="str">
        <x:f>IF($G50="","",IF(COUNTIF($DZ$4:$DZ$4,$G50)&lt;&gt;1,"",IF(COUNTIFS($DZ$4:$DZ$4,$G50,$EE$4:$EE$4,"&lt;&gt;")=0,"",VLOOKUP($G50,$DZ$4:$EL$4,6,FALSE))))</x:f>
      </x:c>
      <x:c r="V50" s="11" t="str">
        <x:f>IF(COUNT(N50,T50)&lt;2,"",N50*T50/1000*(1+$EM$2))</x:f>
      </x:c>
      <x:c r="W50" s="134" t="str">
        <x:f>IF($G50="","",IF(COUNTIF($DZ$4:$DZ$4,$G50)&lt;&gt;1,"",IF(COUNTIFS($DZ$4:$DZ$4,$G50,$EF$4:$EF$4,"&lt;&gt;")=0,"",VLOOKUP($G50,$DZ$4:$EL$4,7,FALSE))))</x:f>
      </x:c>
      <x:c r="X50" s="36" t="str">
        <x:f>IF(COUNT(N50,W50)&lt;2,"",N50*W50)</x:f>
      </x:c>
      <x:c r="Y50" s="159"/>
      <x:c r="Z50" s="239"/>
      <x:c r="AA50" s="240"/>
      <x:c r="AB50" s="239"/>
      <x:c r="AC50" s="138" t="str">
        <x:f>IF($G50="","",IF(COUNTIF($DZ$4:$DZ$4,$G50)&lt;&gt;1,"",IF(COUNTIFS($DZ$4:$DZ$4,$G50,$EJ$4:$EJ$4,"&lt;&gt;")=0,"",VLOOKUP($G50,$DZ$4:$EL$4,11,FALSE))))</x:f>
      </x:c>
      <x:c r="AD50" s="138" t="str">
        <x:f>IF($G50="","",IF(COUNTIF($DZ$4:$DZ$4,$G50)&lt;&gt;1,"",IF(COUNTIFS($DZ$4:$DZ$4,$G50,$EK$4:$EK$4,"&lt;&gt;")=0,"",VLOOKUP($G50,$DZ$4:$EL$4,12,FALSE))))</x:f>
      </x:c>
      <x:c r="AE50" s="56" t="n">
        <x:f>IF(OR(G50="",A49&lt;&gt;"",B50&lt;&gt;B49),0,IF(G50=G49,IF(Q50=Q49,0,AD50),AC50+IF(Q50=Q49,0,AD50)))</x:f>
        <x:v>0</x:v>
      </x:c>
      <x:c r="AF50" s="70"/>
      <x:c r="AG50" s="239" t="str">
        <x:f>IF(OR(G50="",B50="",B50="填写机号",COUNT($I$2)=0,COUNT(O50)=0,O50&lt;=0),"",MAX($I$2,C49)+AE50)</x:f>
      </x:c>
      <x:c r="AH50" s="239" t="str">
        <x:f>IF(OR(COUNT(AG50,N50,O50)&lt;3,O50&lt;=0),"",AG50+N50/O50)</x:f>
      </x:c>
      <x:c r="AI50" s="142" t="str">
        <x:f>IF(COUNT(AH50)=0,"",YEAR(AH50)&amp;"/"&amp;MONTH(AH50))</x:f>
      </x:c>
      <x:c r="AJ50" s="239" t="str">
        <x:f>IF(COUNT(AH50)=0,"",AH50+$EM$1)</x:f>
      </x:c>
      <x:c r="AK50" s="48" t="str">
        <x:f>IF(COUNT(AB50,AJ50)&lt;2,"",AB50-AJ50)</x:f>
      </x:c>
      <x:c r="AL50" s="159"/>
      <x:c r="AM50" s="159" t="str">
        <x:f>IF(OR(COUNT(N50,O50)&lt;2,O50&lt;=0),"",N50/O50)</x:f>
      </x:c>
      <x:c r="AN50" s="159"/>
      <x:c r="AO50" s="159"/>
      <x:c r="AP50" s="159"/>
      <x:c r="AQ50" s="159"/>
      <x:c r="AR50" s="159"/>
      <x:c r="AS50" s="234"/>
      <x:c r="AT50" s="159"/>
      <x:c r="AU50" s="159" t="str">
        <x:f>IF($G50="","",IF(COUNTIF($DZ$4:$DZ$4,$G50)&lt;&gt;1,"",IF(COUNTIFS($DZ$4:$DZ$4,$G50,$EG$4:$EG$4,"&lt;&gt;")=0,"",VLOOKUP($G50,$DZ$4:$EL$4,8,FALSE))))</x:f>
      </x:c>
      <x:c r="AV50" s="159" t="str">
        <x:f>IF($G50="","",IF(COUNTIF($DZ$4:$DZ$4,$G50)&lt;&gt;1,"",IF(COUNTIFS($DZ$4:$DZ$4,$G50,$EH$4:$EH$4,"&lt;&gt;")=0,"",VLOOKUP($G50,$DZ$4:$EL$4,9,FALSE))))</x:f>
      </x:c>
      <x:c r="AW50" s="209"/>
      <x:c r="AX50" s="209"/>
      <x:c r="AY50" s="159"/>
      <x:c r="AZ50" s="159"/>
      <x:c r="BA50" s="159"/>
      <x:c r="BB50" s="159"/>
      <x:c r="BC50" s="159"/>
      <x:c r="BD50" s="159"/>
      <x:c r="BE50" s="159"/>
      <x:c r="BF50" s="159"/>
      <x:c r="BG50" s="159"/>
      <x:c r="BH50" s="159"/>
      <x:c r="BI50" s="159"/>
      <x:c r="BJ50" s="159"/>
      <x:c r="BK50" s="159"/>
      <x:c r="BL50" s="159"/>
      <x:c r="BM50" s="159"/>
      <x:c r="BN50" s="159"/>
      <x:c r="BO50" s="159"/>
      <x:c r="BP50" s="159"/>
      <x:c r="BQ50" s="159"/>
      <x:c r="BR50" s="159"/>
      <x:c r="BS50" s="159"/>
      <x:c r="BT50" s="159"/>
      <x:c r="BU50" s="159"/>
      <x:c r="BV50" s="159"/>
      <x:c r="BW50" s="159"/>
      <x:c r="BX50" s="159"/>
      <x:c r="BY50" s="159"/>
      <x:c r="BZ50" s="159"/>
      <x:c r="CA50" s="159"/>
      <x:c r="CB50" s="159"/>
      <x:c r="CC50" s="159"/>
      <x:c r="CD50" s="159"/>
      <x:c r="CE50" s="159"/>
      <x:c r="CF50" s="159"/>
      <x:c r="CG50" s="159"/>
      <x:c r="CH50" s="159"/>
      <x:c r="CI50" s="159"/>
      <x:c r="CJ50" s="159"/>
      <x:c r="CK50" s="159"/>
      <x:c r="CL50" s="159"/>
      <x:c r="CM50" s="159"/>
      <x:c r="CN50" s="159"/>
      <x:c r="CO50" s="159"/>
      <x:c r="CP50" s="159"/>
      <x:c r="CQ50" s="159"/>
      <x:c r="CR50" s="159"/>
      <x:c r="CS50" s="159"/>
      <x:c r="CT50" s="159"/>
      <x:c r="CU50" s="159"/>
      <x:c r="CV50" s="159"/>
      <x:c r="CW50" s="159"/>
      <x:c r="CX50" s="159"/>
      <x:c r="CY50" s="159"/>
      <x:c r="CZ50" s="159"/>
      <x:c r="DA50" s="159"/>
      <x:c r="DB50" s="159"/>
      <x:c r="DC50" s="159"/>
      <x:c r="DD50" s="159"/>
      <x:c r="DE50" s="159"/>
      <x:c r="DF50" s="159"/>
      <x:c r="DG50" s="159"/>
      <x:c r="DH50" s="159"/>
      <x:c r="DI50" s="159"/>
      <x:c r="DJ50" s="159"/>
    </x:row>
    <x:row r="51" ht="18" customHeight="1">
      <x:c r="A51" s="159"/>
      <x:c r="B51" s="20" t="str">
        <x:f>IF(A50="待排区","",IF(A50&lt;&gt;"",A50,B50))</x:f>
      </x:c>
      <x:c r="C51" s="20" t="n">
        <x:f>IF(COUNT(AH51)&gt;0,AH51,C50)</x:f>
        <x:v>0</x:v>
      </x:c>
      <x:c r="D51" s="20" t="str">
        <x:f>IF($G51="","",IF(COUNTIF($DZ$4:$DZ$4,$G51)&lt;&gt;1,"",IF(COUNTIFS($DZ$4:$DZ$4,$G51,$EI$4:$EI$4,"&lt;&gt;")=0,"",VLOOKUP($G51,$DZ$4:$EL$4,10,FALSE))))</x:f>
      </x:c>
      <x:c r="E51" s="235"/>
      <x:c r="F51" s="20" t="str">
        <x:f>IF($G51="","",IF(COUNTIF($DZ$4:$DZ$4,$G51)&lt;&gt;1,"",IF(COUNTIFS($DZ$4:$DZ$4,$G51,$EB$4:$EB$4,"&lt;&gt;")=0,"",VLOOKUP($G51,$DZ$4:$EL$4,3,FALSE))))</x:f>
      </x:c>
      <x:c r="G51" s="234"/>
      <x:c r="H51" s="20" t="str">
        <x:f>IF($G51="","",IF(COUNTIF($DZ$4:$DZ$4,$G51)&lt;&gt;1,"",IF(COUNTIFS($DZ$4:$DZ$4,$G51,$EA$4:$EA$4,"&lt;&gt;")=0,"",VLOOKUP($G51,$DZ$4:$EL$4,2,FALSE))))</x:f>
      </x:c>
      <x:c r="I51" s="234"/>
      <x:c r="J51" s="234"/>
      <x:c r="K51" s="236"/>
      <x:c r="L51" s="236"/>
      <x:c r="M51" s="237" t="str">
        <x:f>IF(G51="","",SUM(AW51:AX51,BA51:DJ51))</x:f>
      </x:c>
      <x:c r="N51" s="236" t="str">
        <x:f>IF(G51="","",IF(COUNT(L51,M51)&lt;2,"",MAX(0,L51-M51)))</x:f>
      </x:c>
      <x:c r="O51" s="238" t="str">
        <x:f>IF($G51="","",IF(COUNTIF($DZ$4:$DZ$4,$G51)&lt;&gt;1,"",IF(COUNTIFS($DZ$4:$DZ$4,$G51,$EC$4:$EC$4,"&lt;&gt;")=0,"",VLOOKUP($G51,$DZ$4:$EL$4,4,FALSE))))</x:f>
      </x:c>
      <x:c r="P51" s="159"/>
      <x:c r="Q51" s="234"/>
      <x:c r="R51" s="234"/>
      <x:c r="S51" s="234"/>
      <x:c r="T51" s="20" t="str">
        <x:f>IF($G51="","",IF(COUNTIF($DZ$4:$DZ$4,$G51)&lt;&gt;1,"",IF(COUNTIFS($DZ$4:$DZ$4,$G51,$ED$4:$ED$4,"&lt;&gt;")=0,"",VLOOKUP($G51,$DZ$4:$EL$4,5,FALSE))))</x:f>
      </x:c>
      <x:c r="U51" s="159" t="str">
        <x:f>IF($G51="","",IF(COUNTIF($DZ$4:$DZ$4,$G51)&lt;&gt;1,"",IF(COUNTIFS($DZ$4:$DZ$4,$G51,$EE$4:$EE$4,"&lt;&gt;")=0,"",VLOOKUP($G51,$DZ$4:$EL$4,6,FALSE))))</x:f>
      </x:c>
      <x:c r="V51" s="11" t="str">
        <x:f>IF(COUNT(N51,T51)&lt;2,"",N51*T51/1000*(1+$EM$2))</x:f>
      </x:c>
      <x:c r="W51" s="134" t="str">
        <x:f>IF($G51="","",IF(COUNTIF($DZ$4:$DZ$4,$G51)&lt;&gt;1,"",IF(COUNTIFS($DZ$4:$DZ$4,$G51,$EF$4:$EF$4,"&lt;&gt;")=0,"",VLOOKUP($G51,$DZ$4:$EL$4,7,FALSE))))</x:f>
      </x:c>
      <x:c r="X51" s="36" t="str">
        <x:f>IF(COUNT(N51,W51)&lt;2,"",N51*W51)</x:f>
      </x:c>
      <x:c r="Y51" s="159"/>
      <x:c r="Z51" s="239"/>
      <x:c r="AA51" s="240"/>
      <x:c r="AB51" s="239"/>
      <x:c r="AC51" s="138" t="str">
        <x:f>IF($G51="","",IF(COUNTIF($DZ$4:$DZ$4,$G51)&lt;&gt;1,"",IF(COUNTIFS($DZ$4:$DZ$4,$G51,$EJ$4:$EJ$4,"&lt;&gt;")=0,"",VLOOKUP($G51,$DZ$4:$EL$4,11,FALSE))))</x:f>
      </x:c>
      <x:c r="AD51" s="138" t="str">
        <x:f>IF($G51="","",IF(COUNTIF($DZ$4:$DZ$4,$G51)&lt;&gt;1,"",IF(COUNTIFS($DZ$4:$DZ$4,$G51,$EK$4:$EK$4,"&lt;&gt;")=0,"",VLOOKUP($G51,$DZ$4:$EL$4,12,FALSE))))</x:f>
      </x:c>
      <x:c r="AE51" s="56" t="n">
        <x:f>IF(OR(G51="",A50&lt;&gt;"",B51&lt;&gt;B50),0,IF(G51=G50,IF(Q51=Q50,0,AD51),AC51+IF(Q51=Q50,0,AD51)))</x:f>
        <x:v>0</x:v>
      </x:c>
      <x:c r="AF51" s="70"/>
      <x:c r="AG51" s="239" t="str">
        <x:f>IF(OR(G51="",B51="",B51="填写机号",COUNT($I$2)=0,COUNT(O51)=0,O51&lt;=0),"",MAX($I$2,C50)+AE51)</x:f>
      </x:c>
      <x:c r="AH51" s="239" t="str">
        <x:f>IF(OR(COUNT(AG51,N51,O51)&lt;3,O51&lt;=0),"",AG51+N51/O51)</x:f>
      </x:c>
      <x:c r="AI51" s="142" t="str">
        <x:f>IF(COUNT(AH51)=0,"",YEAR(AH51)&amp;"/"&amp;MONTH(AH51))</x:f>
      </x:c>
      <x:c r="AJ51" s="239" t="str">
        <x:f>IF(COUNT(AH51)=0,"",AH51+$EM$1)</x:f>
      </x:c>
      <x:c r="AK51" s="48" t="str">
        <x:f>IF(COUNT(AB51,AJ51)&lt;2,"",AB51-AJ51)</x:f>
      </x:c>
      <x:c r="AL51" s="159"/>
      <x:c r="AM51" s="159" t="str">
        <x:f>IF(OR(COUNT(N51,O51)&lt;2,O51&lt;=0),"",N51/O51)</x:f>
      </x:c>
      <x:c r="AN51" s="159"/>
      <x:c r="AO51" s="159"/>
      <x:c r="AP51" s="159"/>
      <x:c r="AQ51" s="159"/>
      <x:c r="AR51" s="159"/>
      <x:c r="AS51" s="234"/>
      <x:c r="AT51" s="159"/>
      <x:c r="AU51" s="159" t="str">
        <x:f>IF($G51="","",IF(COUNTIF($DZ$4:$DZ$4,$G51)&lt;&gt;1,"",IF(COUNTIFS($DZ$4:$DZ$4,$G51,$EG$4:$EG$4,"&lt;&gt;")=0,"",VLOOKUP($G51,$DZ$4:$EL$4,8,FALSE))))</x:f>
      </x:c>
      <x:c r="AV51" s="159" t="str">
        <x:f>IF($G51="","",IF(COUNTIF($DZ$4:$DZ$4,$G51)&lt;&gt;1,"",IF(COUNTIFS($DZ$4:$DZ$4,$G51,$EH$4:$EH$4,"&lt;&gt;")=0,"",VLOOKUP($G51,$DZ$4:$EL$4,9,FALSE))))</x:f>
      </x:c>
      <x:c r="AW51" s="209"/>
      <x:c r="AX51" s="209"/>
      <x:c r="AY51" s="159"/>
      <x:c r="AZ51" s="159"/>
      <x:c r="BA51" s="159"/>
      <x:c r="BB51" s="159"/>
      <x:c r="BC51" s="159"/>
      <x:c r="BD51" s="159"/>
      <x:c r="BE51" s="159"/>
      <x:c r="BF51" s="159"/>
      <x:c r="BG51" s="159"/>
      <x:c r="BH51" s="159"/>
      <x:c r="BI51" s="159"/>
      <x:c r="BJ51" s="159"/>
      <x:c r="BK51" s="159"/>
      <x:c r="BL51" s="159"/>
      <x:c r="BM51" s="159"/>
      <x:c r="BN51" s="159"/>
      <x:c r="BO51" s="159"/>
      <x:c r="BP51" s="159"/>
      <x:c r="BQ51" s="159"/>
      <x:c r="BR51" s="159"/>
      <x:c r="BS51" s="159"/>
      <x:c r="BT51" s="159"/>
      <x:c r="BU51" s="159"/>
      <x:c r="BV51" s="159"/>
      <x:c r="BW51" s="159"/>
      <x:c r="BX51" s="159"/>
      <x:c r="BY51" s="159"/>
      <x:c r="BZ51" s="159"/>
      <x:c r="CA51" s="159"/>
      <x:c r="CB51" s="159"/>
      <x:c r="CC51" s="159"/>
      <x:c r="CD51" s="159"/>
      <x:c r="CE51" s="159"/>
      <x:c r="CF51" s="159"/>
      <x:c r="CG51" s="159"/>
      <x:c r="CH51" s="159"/>
      <x:c r="CI51" s="159"/>
      <x:c r="CJ51" s="159"/>
      <x:c r="CK51" s="159"/>
      <x:c r="CL51" s="159"/>
      <x:c r="CM51" s="159"/>
      <x:c r="CN51" s="159"/>
      <x:c r="CO51" s="159"/>
      <x:c r="CP51" s="159"/>
      <x:c r="CQ51" s="159"/>
      <x:c r="CR51" s="159"/>
      <x:c r="CS51" s="159"/>
      <x:c r="CT51" s="159"/>
      <x:c r="CU51" s="159"/>
      <x:c r="CV51" s="159"/>
      <x:c r="CW51" s="159"/>
      <x:c r="CX51" s="159"/>
      <x:c r="CY51" s="159"/>
      <x:c r="CZ51" s="159"/>
      <x:c r="DA51" s="159"/>
      <x:c r="DB51" s="159"/>
      <x:c r="DC51" s="159"/>
      <x:c r="DD51" s="159"/>
      <x:c r="DE51" s="159"/>
      <x:c r="DF51" s="159"/>
      <x:c r="DG51" s="159"/>
      <x:c r="DH51" s="159"/>
      <x:c r="DI51" s="159"/>
      <x:c r="DJ51" s="159"/>
    </x:row>
    <x:row r="52" ht="18" customHeight="1">
      <x:c r="A52" s="159"/>
      <x:c r="B52" s="20" t="str">
        <x:f>IF(A51="待排区","",IF(A51&lt;&gt;"",A51,B51))</x:f>
      </x:c>
      <x:c r="C52" s="20" t="n">
        <x:f>IF(COUNT(AH52)&gt;0,AH52,C51)</x:f>
        <x:v>0</x:v>
      </x:c>
      <x:c r="D52" s="20" t="str">
        <x:f>IF($G52="","",IF(COUNTIF($DZ$4:$DZ$4,$G52)&lt;&gt;1,"",IF(COUNTIFS($DZ$4:$DZ$4,$G52,$EI$4:$EI$4,"&lt;&gt;")=0,"",VLOOKUP($G52,$DZ$4:$EL$4,10,FALSE))))</x:f>
      </x:c>
      <x:c r="E52" s="235"/>
      <x:c r="F52" s="20" t="str">
        <x:f>IF($G52="","",IF(COUNTIF($DZ$4:$DZ$4,$G52)&lt;&gt;1,"",IF(COUNTIFS($DZ$4:$DZ$4,$G52,$EB$4:$EB$4,"&lt;&gt;")=0,"",VLOOKUP($G52,$DZ$4:$EL$4,3,FALSE))))</x:f>
      </x:c>
      <x:c r="G52" s="234"/>
      <x:c r="H52" s="20" t="str">
        <x:f>IF($G52="","",IF(COUNTIF($DZ$4:$DZ$4,$G52)&lt;&gt;1,"",IF(COUNTIFS($DZ$4:$DZ$4,$G52,$EA$4:$EA$4,"&lt;&gt;")=0,"",VLOOKUP($G52,$DZ$4:$EL$4,2,FALSE))))</x:f>
      </x:c>
      <x:c r="I52" s="234"/>
      <x:c r="J52" s="234"/>
      <x:c r="K52" s="236"/>
      <x:c r="L52" s="236"/>
      <x:c r="M52" s="237" t="str">
        <x:f>IF(G52="","",SUM(AW52:AX52,BA52:DJ52))</x:f>
      </x:c>
      <x:c r="N52" s="236" t="str">
        <x:f>IF(G52="","",IF(COUNT(L52,M52)&lt;2,"",MAX(0,L52-M52)))</x:f>
      </x:c>
      <x:c r="O52" s="238" t="str">
        <x:f>IF($G52="","",IF(COUNTIF($DZ$4:$DZ$4,$G52)&lt;&gt;1,"",IF(COUNTIFS($DZ$4:$DZ$4,$G52,$EC$4:$EC$4,"&lt;&gt;")=0,"",VLOOKUP($G52,$DZ$4:$EL$4,4,FALSE))))</x:f>
      </x:c>
      <x:c r="P52" s="159"/>
      <x:c r="Q52" s="234"/>
      <x:c r="R52" s="234"/>
      <x:c r="S52" s="234"/>
      <x:c r="T52" s="20" t="str">
        <x:f>IF($G52="","",IF(COUNTIF($DZ$4:$DZ$4,$G52)&lt;&gt;1,"",IF(COUNTIFS($DZ$4:$DZ$4,$G52,$ED$4:$ED$4,"&lt;&gt;")=0,"",VLOOKUP($G52,$DZ$4:$EL$4,5,FALSE))))</x:f>
      </x:c>
      <x:c r="U52" s="159" t="str">
        <x:f>IF($G52="","",IF(COUNTIF($DZ$4:$DZ$4,$G52)&lt;&gt;1,"",IF(COUNTIFS($DZ$4:$DZ$4,$G52,$EE$4:$EE$4,"&lt;&gt;")=0,"",VLOOKUP($G52,$DZ$4:$EL$4,6,FALSE))))</x:f>
      </x:c>
      <x:c r="V52" s="11" t="str">
        <x:f>IF(COUNT(N52,T52)&lt;2,"",N52*T52/1000*(1+$EM$2))</x:f>
      </x:c>
      <x:c r="W52" s="134" t="str">
        <x:f>IF($G52="","",IF(COUNTIF($DZ$4:$DZ$4,$G52)&lt;&gt;1,"",IF(COUNTIFS($DZ$4:$DZ$4,$G52,$EF$4:$EF$4,"&lt;&gt;")=0,"",VLOOKUP($G52,$DZ$4:$EL$4,7,FALSE))))</x:f>
      </x:c>
      <x:c r="X52" s="36" t="str">
        <x:f>IF(COUNT(N52,W52)&lt;2,"",N52*W52)</x:f>
      </x:c>
      <x:c r="Y52" s="159"/>
      <x:c r="Z52" s="239"/>
      <x:c r="AA52" s="240"/>
      <x:c r="AB52" s="239"/>
      <x:c r="AC52" s="138" t="str">
        <x:f>IF($G52="","",IF(COUNTIF($DZ$4:$DZ$4,$G52)&lt;&gt;1,"",IF(COUNTIFS($DZ$4:$DZ$4,$G52,$EJ$4:$EJ$4,"&lt;&gt;")=0,"",VLOOKUP($G52,$DZ$4:$EL$4,11,FALSE))))</x:f>
      </x:c>
      <x:c r="AD52" s="138" t="str">
        <x:f>IF($G52="","",IF(COUNTIF($DZ$4:$DZ$4,$G52)&lt;&gt;1,"",IF(COUNTIFS($DZ$4:$DZ$4,$G52,$EK$4:$EK$4,"&lt;&gt;")=0,"",VLOOKUP($G52,$DZ$4:$EL$4,12,FALSE))))</x:f>
      </x:c>
      <x:c r="AE52" s="56" t="n">
        <x:f>IF(OR(G52="",A51&lt;&gt;"",B52&lt;&gt;B51),0,IF(G52=G51,IF(Q52=Q51,0,AD52),AC52+IF(Q52=Q51,0,AD52)))</x:f>
        <x:v>0</x:v>
      </x:c>
      <x:c r="AF52" s="70"/>
      <x:c r="AG52" s="239" t="str">
        <x:f>IF(OR(G52="",B52="",B52="填写机号",COUNT($I$2)=0,COUNT(O52)=0,O52&lt;=0),"",MAX($I$2,C51)+AE52)</x:f>
      </x:c>
      <x:c r="AH52" s="239" t="str">
        <x:f>IF(OR(COUNT(AG52,N52,O52)&lt;3,O52&lt;=0),"",AG52+N52/O52)</x:f>
      </x:c>
      <x:c r="AI52" s="142" t="str">
        <x:f>IF(COUNT(AH52)=0,"",YEAR(AH52)&amp;"/"&amp;MONTH(AH52))</x:f>
      </x:c>
      <x:c r="AJ52" s="239" t="str">
        <x:f>IF(COUNT(AH52)=0,"",AH52+$EM$1)</x:f>
      </x:c>
      <x:c r="AK52" s="48" t="str">
        <x:f>IF(COUNT(AB52,AJ52)&lt;2,"",AB52-AJ52)</x:f>
      </x:c>
      <x:c r="AL52" s="159"/>
      <x:c r="AM52" s="159" t="str">
        <x:f>IF(OR(COUNT(N52,O52)&lt;2,O52&lt;=0),"",N52/O52)</x:f>
      </x:c>
      <x:c r="AN52" s="159"/>
      <x:c r="AO52" s="159"/>
      <x:c r="AP52" s="159"/>
      <x:c r="AQ52" s="159"/>
      <x:c r="AR52" s="159"/>
      <x:c r="AS52" s="234"/>
      <x:c r="AT52" s="159"/>
      <x:c r="AU52" s="159" t="str">
        <x:f>IF($G52="","",IF(COUNTIF($DZ$4:$DZ$4,$G52)&lt;&gt;1,"",IF(COUNTIFS($DZ$4:$DZ$4,$G52,$EG$4:$EG$4,"&lt;&gt;")=0,"",VLOOKUP($G52,$DZ$4:$EL$4,8,FALSE))))</x:f>
      </x:c>
      <x:c r="AV52" s="159" t="str">
        <x:f>IF($G52="","",IF(COUNTIF($DZ$4:$DZ$4,$G52)&lt;&gt;1,"",IF(COUNTIFS($DZ$4:$DZ$4,$G52,$EH$4:$EH$4,"&lt;&gt;")=0,"",VLOOKUP($G52,$DZ$4:$EL$4,9,FALSE))))</x:f>
      </x:c>
      <x:c r="AW52" s="209"/>
      <x:c r="AX52" s="209"/>
      <x:c r="AY52" s="159"/>
      <x:c r="AZ52" s="159"/>
      <x:c r="BA52" s="159"/>
      <x:c r="BB52" s="159"/>
      <x:c r="BC52" s="159"/>
      <x:c r="BD52" s="159"/>
      <x:c r="BE52" s="159"/>
      <x:c r="BF52" s="159"/>
      <x:c r="BG52" s="159"/>
      <x:c r="BH52" s="159"/>
      <x:c r="BI52" s="159"/>
      <x:c r="BJ52" s="159"/>
      <x:c r="BK52" s="159"/>
      <x:c r="BL52" s="159"/>
      <x:c r="BM52" s="159"/>
      <x:c r="BN52" s="159"/>
      <x:c r="BO52" s="159"/>
      <x:c r="BP52" s="159"/>
      <x:c r="BQ52" s="159"/>
      <x:c r="BR52" s="159"/>
      <x:c r="BS52" s="159"/>
      <x:c r="BT52" s="159"/>
      <x:c r="BU52" s="159"/>
      <x:c r="BV52" s="159"/>
      <x:c r="BW52" s="159"/>
      <x:c r="BX52" s="159"/>
      <x:c r="BY52" s="159"/>
      <x:c r="BZ52" s="159"/>
      <x:c r="CA52" s="159"/>
      <x:c r="CB52" s="159"/>
      <x:c r="CC52" s="159"/>
      <x:c r="CD52" s="159"/>
      <x:c r="CE52" s="159"/>
      <x:c r="CF52" s="159"/>
      <x:c r="CG52" s="159"/>
      <x:c r="CH52" s="159"/>
      <x:c r="CI52" s="159"/>
      <x:c r="CJ52" s="159"/>
      <x:c r="CK52" s="159"/>
      <x:c r="CL52" s="159"/>
      <x:c r="CM52" s="159"/>
      <x:c r="CN52" s="159"/>
      <x:c r="CO52" s="159"/>
      <x:c r="CP52" s="159"/>
      <x:c r="CQ52" s="159"/>
      <x:c r="CR52" s="159"/>
      <x:c r="CS52" s="159"/>
      <x:c r="CT52" s="159"/>
      <x:c r="CU52" s="159"/>
      <x:c r="CV52" s="159"/>
      <x:c r="CW52" s="159"/>
      <x:c r="CX52" s="159"/>
      <x:c r="CY52" s="159"/>
      <x:c r="CZ52" s="159"/>
      <x:c r="DA52" s="159"/>
      <x:c r="DB52" s="159"/>
      <x:c r="DC52" s="159"/>
      <x:c r="DD52" s="159"/>
      <x:c r="DE52" s="159"/>
      <x:c r="DF52" s="159"/>
      <x:c r="DG52" s="159"/>
      <x:c r="DH52" s="159"/>
      <x:c r="DI52" s="159"/>
      <x:c r="DJ52" s="159"/>
    </x:row>
    <x:row r="55" ht="22" customHeight="1">
      <x:c r="A55" s="243" t="str">
        <x:v>填写：厂区由下载入口固定带入，在 I2 填固定排期起点。青色机台行可从本厂设备下拉选择原机号，B1 和 1 分别识别。</x:v>
      </x:c>
      <x:c r="B55" s="243"/>
      <x:c r="C55" s="243"/>
      <x:c r="D55" s="243"/>
      <x:c r="E55" s="243"/>
      <x:c r="F55" s="243"/>
      <x:c r="G55" s="243"/>
      <x:c r="H55" s="243"/>
      <x:c r="I55" s="243"/>
      <x:c r="J55" s="243"/>
      <x:c r="K55" s="243"/>
      <x:c r="L55" s="243"/>
      <x:c r="M55" s="243"/>
      <x:c r="N55" s="243"/>
      <x:c r="O55" s="243"/>
      <x:c r="P55" s="243"/>
      <x:c r="Q55" s="243"/>
      <x:c r="R55" s="243"/>
      <x:c r="S55" s="243"/>
      <x:c r="T55" s="243"/>
      <x:c r="U55" s="243"/>
      <x:c r="V55" s="243"/>
      <x:c r="W55" s="243"/>
      <x:c r="X55" s="243"/>
      <x:c r="Y55" s="243"/>
      <x:c r="Z55" s="243"/>
      <x:c r="AA55" s="243"/>
      <x:c r="AB55" s="243"/>
      <x:c r="AC55" s="243"/>
      <x:c r="AD55" s="243"/>
      <x:c r="AE55" s="243"/>
      <x:c r="AF55" s="243"/>
      <x:c r="AG55" s="243"/>
      <x:c r="AH55" s="243"/>
      <x:c r="AI55" s="243"/>
      <x:c r="AJ55" s="243"/>
      <x:c r="AK55" s="243"/>
      <x:c r="AL55" s="243"/>
      <x:c r="AM55" s="243"/>
      <x:c r="AN55" s="243"/>
      <x:c r="AO55" s="243"/>
      <x:c r="AP55" s="243"/>
      <x:c r="AQ55" s="243"/>
      <x:c r="AR55" s="243"/>
      <x:c r="AS55" s="243"/>
      <x:c r="AT55" s="243"/>
      <x:c r="AU55" s="243"/>
      <x:c r="AV55" s="243"/>
      <x:c r="AW55" s="243"/>
      <x:c r="AX55" s="243"/>
    </x:row>
    <x:row r="56" ht="22" customHeight="1">
      <x:c r="A56" s="243" t="str">
        <x:v>排机：只在青色行维护机号，下面任务行自动继承。按从上到下排队；未排机任务放到待排区。可在组内插入整行并复制同组公式。</x:v>
      </x:c>
      <x:c r="B56" s="243"/>
      <x:c r="C56" s="243"/>
      <x:c r="D56" s="243"/>
      <x:c r="E56" s="243"/>
      <x:c r="F56" s="243"/>
      <x:c r="G56" s="243"/>
      <x:c r="H56" s="243"/>
      <x:c r="I56" s="243"/>
      <x:c r="J56" s="243"/>
      <x:c r="K56" s="243"/>
      <x:c r="L56" s="243"/>
      <x:c r="M56" s="243"/>
      <x:c r="N56" s="243"/>
      <x:c r="O56" s="243"/>
      <x:c r="P56" s="243"/>
      <x:c r="Q56" s="243"/>
      <x:c r="R56" s="243"/>
      <x:c r="S56" s="243"/>
      <x:c r="T56" s="243"/>
      <x:c r="U56" s="243"/>
      <x:c r="V56" s="243"/>
      <x:c r="W56" s="243"/>
      <x:c r="X56" s="243"/>
      <x:c r="Y56" s="243"/>
      <x:c r="Z56" s="243"/>
      <x:c r="AA56" s="243"/>
      <x:c r="AB56" s="243"/>
      <x:c r="AC56" s="243"/>
      <x:c r="AD56" s="243"/>
      <x:c r="AE56" s="243"/>
      <x:c r="AF56" s="243"/>
      <x:c r="AG56" s="243"/>
      <x:c r="AH56" s="243"/>
      <x:c r="AI56" s="243"/>
      <x:c r="AJ56" s="243"/>
      <x:c r="AK56" s="243"/>
      <x:c r="AL56" s="243"/>
      <x:c r="AM56" s="243"/>
      <x:c r="AN56" s="243"/>
      <x:c r="AO56" s="243"/>
      <x:c r="AP56" s="243"/>
      <x:c r="AQ56" s="243"/>
      <x:c r="AR56" s="243"/>
      <x:c r="AS56" s="243"/>
      <x:c r="AT56" s="243"/>
      <x:c r="AU56" s="243"/>
      <x:c r="AV56" s="243"/>
      <x:c r="AW56" s="243"/>
      <x:c r="AX56" s="243"/>
    </x:row>
    <x:row r="57" ht="22" customHeight="1">
      <x:c r="A57" s="243" t="str">
        <x:v>模具：工模填写公共库模号。名称、机型、日目标、重量和价格从随下载带入的公共资料查找，缺失时留空，可按本单实际填写。</x:v>
      </x:c>
      <x:c r="B57" s="243"/>
      <x:c r="C57" s="243"/>
      <x:c r="D57" s="243"/>
      <x:c r="E57" s="243"/>
      <x:c r="F57" s="243"/>
      <x:c r="G57" s="243"/>
      <x:c r="H57" s="243"/>
      <x:c r="I57" s="243"/>
      <x:c r="J57" s="243"/>
      <x:c r="K57" s="243"/>
      <x:c r="L57" s="243"/>
      <x:c r="M57" s="243"/>
      <x:c r="N57" s="243"/>
      <x:c r="O57" s="243"/>
      <x:c r="P57" s="243"/>
      <x:c r="Q57" s="243"/>
      <x:c r="R57" s="243"/>
      <x:c r="S57" s="243"/>
      <x:c r="T57" s="243"/>
      <x:c r="U57" s="243"/>
      <x:c r="V57" s="243"/>
      <x:c r="W57" s="243"/>
      <x:c r="X57" s="243"/>
      <x:c r="Y57" s="243"/>
      <x:c r="Z57" s="243"/>
      <x:c r="AA57" s="243"/>
      <x:c r="AB57" s="243"/>
      <x:c r="AC57" s="243"/>
      <x:c r="AD57" s="243"/>
      <x:c r="AE57" s="243"/>
      <x:c r="AF57" s="243"/>
      <x:c r="AG57" s="243"/>
      <x:c r="AH57" s="243"/>
      <x:c r="AI57" s="243"/>
      <x:c r="AJ57" s="243"/>
      <x:c r="AK57" s="243"/>
      <x:c r="AL57" s="243"/>
      <x:c r="AM57" s="243"/>
      <x:c r="AN57" s="243"/>
      <x:c r="AO57" s="243"/>
      <x:c r="AP57" s="243"/>
      <x:c r="AQ57" s="243"/>
      <x:c r="AR57" s="243"/>
      <x:c r="AS57" s="243"/>
      <x:c r="AT57" s="243"/>
      <x:c r="AU57" s="243"/>
      <x:c r="AV57" s="243"/>
      <x:c r="AW57" s="243"/>
      <x:c r="AX57" s="243"/>
    </x:row>
    <x:row r="58" ht="22" customHeight="1">
      <x:c r="A58" s="243" t="str">
        <x:v>产量：AW、AX 记录本期开始前累计已啤，右侧按日期填白班和夜班实际啤数。M 自动汇总，不重复填期初与本期产量。</x:v>
      </x:c>
      <x:c r="B58" s="243"/>
      <x:c r="C58" s="243"/>
      <x:c r="D58" s="243"/>
      <x:c r="E58" s="243"/>
      <x:c r="F58" s="243"/>
      <x:c r="G58" s="243"/>
      <x:c r="H58" s="243"/>
      <x:c r="I58" s="243"/>
      <x:c r="J58" s="243"/>
      <x:c r="K58" s="243"/>
      <x:c r="L58" s="243"/>
      <x:c r="M58" s="243"/>
      <x:c r="N58" s="243"/>
      <x:c r="O58" s="243"/>
      <x:c r="P58" s="243"/>
      <x:c r="Q58" s="243"/>
      <x:c r="R58" s="243"/>
      <x:c r="S58" s="243"/>
      <x:c r="T58" s="243"/>
      <x:c r="U58" s="243"/>
      <x:c r="V58" s="243"/>
      <x:c r="W58" s="243"/>
      <x:c r="X58" s="243"/>
      <x:c r="Y58" s="243"/>
      <x:c r="Z58" s="243"/>
      <x:c r="AA58" s="243"/>
      <x:c r="AB58" s="243"/>
      <x:c r="AC58" s="243"/>
      <x:c r="AD58" s="243"/>
      <x:c r="AE58" s="243"/>
      <x:c r="AF58" s="243"/>
      <x:c r="AG58" s="243"/>
      <x:c r="AH58" s="243"/>
      <x:c r="AI58" s="243"/>
      <x:c r="AJ58" s="243"/>
      <x:c r="AK58" s="243"/>
      <x:c r="AL58" s="243"/>
      <x:c r="AM58" s="243"/>
      <x:c r="AN58" s="243"/>
      <x:c r="AO58" s="243"/>
      <x:c r="AP58" s="243"/>
      <x:c r="AQ58" s="243"/>
      <x:c r="AR58" s="243"/>
      <x:c r="AS58" s="243"/>
      <x:c r="AT58" s="243"/>
      <x:c r="AU58" s="243"/>
      <x:c r="AV58" s="243"/>
      <x:c r="AW58" s="243"/>
      <x:c r="AX58" s="243"/>
    </x:row>
    <x:row r="59" ht="22" customHeight="1">
      <x:c r="A59" s="243" t="str">
        <x:v>日期：右侧从排期起点起预留 31 天。已有记录时不要修改起点重新解释日期；换期请结转期初已啤并清空本期班次格。</x:v>
      </x:c>
      <x:c r="B59" s="243"/>
      <x:c r="C59" s="243"/>
      <x:c r="D59" s="243"/>
      <x:c r="E59" s="243"/>
      <x:c r="F59" s="243"/>
      <x:c r="G59" s="243"/>
      <x:c r="H59" s="243"/>
      <x:c r="I59" s="243"/>
      <x:c r="J59" s="243"/>
      <x:c r="K59" s="243"/>
      <x:c r="L59" s="243"/>
      <x:c r="M59" s="243"/>
      <x:c r="N59" s="243"/>
      <x:c r="O59" s="243"/>
      <x:c r="P59" s="243"/>
      <x:c r="Q59" s="243"/>
      <x:c r="R59" s="243"/>
      <x:c r="S59" s="243"/>
      <x:c r="T59" s="243"/>
      <x:c r="U59" s="243"/>
      <x:c r="V59" s="243"/>
      <x:c r="W59" s="243"/>
      <x:c r="X59" s="243"/>
      <x:c r="Y59" s="243"/>
      <x:c r="Z59" s="243"/>
      <x:c r="AA59" s="243"/>
      <x:c r="AB59" s="243"/>
      <x:c r="AC59" s="243"/>
      <x:c r="AD59" s="243"/>
      <x:c r="AE59" s="243"/>
      <x:c r="AF59" s="243"/>
      <x:c r="AG59" s="243"/>
      <x:c r="AH59" s="243"/>
      <x:c r="AI59" s="243"/>
      <x:c r="AJ59" s="243"/>
      <x:c r="AK59" s="243"/>
      <x:c r="AL59" s="243"/>
      <x:c r="AM59" s="243"/>
      <x:c r="AN59" s="243"/>
      <x:c r="AO59" s="243"/>
      <x:c r="AP59" s="243"/>
      <x:c r="AQ59" s="243"/>
      <x:c r="AR59" s="243"/>
      <x:c r="AS59" s="243"/>
      <x:c r="AT59" s="243"/>
      <x:c r="AU59" s="243"/>
      <x:c r="AV59" s="243"/>
      <x:c r="AW59" s="243"/>
      <x:c r="AX59" s="243"/>
    </x:row>
    <x:row r="60" ht="22" customHeight="1">
      <x:c r="A60" s="243" t="str">
        <x:v>导入：在对应厂区上传、检查预览、确认。按机台分组和行顺序保存计划，实际开工仍需在系统操作。</x:v>
      </x:c>
      <x:c r="B60" s="243"/>
      <x:c r="C60" s="243"/>
      <x:c r="D60" s="243"/>
      <x:c r="E60" s="243"/>
      <x:c r="F60" s="243"/>
      <x:c r="G60" s="243"/>
      <x:c r="H60" s="243"/>
      <x:c r="I60" s="243"/>
      <x:c r="J60" s="243"/>
      <x:c r="K60" s="243"/>
      <x:c r="L60" s="243"/>
      <x:c r="M60" s="243"/>
      <x:c r="N60" s="243"/>
      <x:c r="O60" s="243"/>
      <x:c r="P60" s="243"/>
      <x:c r="Q60" s="243"/>
      <x:c r="R60" s="243"/>
      <x:c r="S60" s="243"/>
      <x:c r="T60" s="243"/>
      <x:c r="U60" s="243"/>
      <x:c r="V60" s="243"/>
      <x:c r="W60" s="243"/>
      <x:c r="X60" s="243"/>
      <x:c r="Y60" s="243"/>
      <x:c r="Z60" s="243"/>
      <x:c r="AA60" s="243"/>
      <x:c r="AB60" s="243"/>
      <x:c r="AC60" s="243"/>
      <x:c r="AD60" s="243"/>
      <x:c r="AE60" s="243"/>
      <x:c r="AF60" s="243"/>
      <x:c r="AG60" s="243"/>
      <x:c r="AH60" s="243"/>
      <x:c r="AI60" s="243"/>
      <x:c r="AJ60" s="243"/>
      <x:c r="AK60" s="243"/>
      <x:c r="AL60" s="243"/>
      <x:c r="AM60" s="243"/>
      <x:c r="AN60" s="243"/>
      <x:c r="AO60" s="243"/>
      <x:c r="AP60" s="243"/>
      <x:c r="AQ60" s="243"/>
      <x:c r="AR60" s="243"/>
      <x:c r="AS60" s="243"/>
      <x:c r="AT60" s="243"/>
      <x:c r="AU60" s="243"/>
      <x:c r="AV60" s="243"/>
      <x:c r="AW60" s="243"/>
      <x:c r="AX60" s="243"/>
    </x:row>
    <x:row r="61" ht="22" customHeight="1">
      <x:c r="A61" s="243" t="str">
        <x:v>识别：系统按工模、单号、货号、颜色、色粉、用料识别同一需求，调整位置或数量不重复建单。相同身份不要分成多行，拆批在系统处理。</x:v>
      </x:c>
      <x:c r="B61" s="243"/>
      <x:c r="C61" s="243"/>
      <x:c r="D61" s="243"/>
      <x:c r="E61" s="243"/>
      <x:c r="F61" s="243"/>
      <x:c r="G61" s="243"/>
      <x:c r="H61" s="243"/>
      <x:c r="I61" s="243"/>
      <x:c r="J61" s="243"/>
      <x:c r="K61" s="243"/>
      <x:c r="L61" s="243"/>
      <x:c r="M61" s="243"/>
      <x:c r="N61" s="243"/>
      <x:c r="O61" s="243"/>
      <x:c r="P61" s="243"/>
      <x:c r="Q61" s="243"/>
      <x:c r="R61" s="243"/>
      <x:c r="S61" s="243"/>
      <x:c r="T61" s="243"/>
      <x:c r="U61" s="243"/>
      <x:c r="V61" s="243"/>
      <x:c r="W61" s="243"/>
      <x:c r="X61" s="243"/>
      <x:c r="Y61" s="243"/>
      <x:c r="Z61" s="243"/>
      <x:c r="AA61" s="243"/>
      <x:c r="AB61" s="243"/>
      <x:c r="AC61" s="243"/>
      <x:c r="AD61" s="243"/>
      <x:c r="AE61" s="243"/>
      <x:c r="AF61" s="243"/>
      <x:c r="AG61" s="243"/>
      <x:c r="AH61" s="243"/>
      <x:c r="AI61" s="243"/>
      <x:c r="AJ61" s="243"/>
      <x:c r="AK61" s="243"/>
      <x:c r="AL61" s="243"/>
      <x:c r="AM61" s="243"/>
      <x:c r="AN61" s="243"/>
      <x:c r="AO61" s="243"/>
      <x:c r="AP61" s="243"/>
      <x:c r="AQ61" s="243"/>
      <x:c r="AR61" s="243"/>
      <x:c r="AS61" s="243"/>
      <x:c r="AT61" s="243"/>
      <x:c r="AU61" s="243"/>
      <x:c r="AV61" s="243"/>
      <x:c r="AW61" s="243"/>
      <x:c r="AX61" s="243"/>
    </x:row>
    <x:row r="62" ht="22" customHeight="1">
      <x:c r="A62" s="243" t="str">
        <x:v>计算：欠数=MAX(0,订单数－已啤数)，啤货天数=欠数÷日目标。料重包含材料附加系数。Excel 日期为连续生产参考，系统保存时结合班历和设备占用重算。</x:v>
      </x:c>
      <x:c r="B62" s="243"/>
      <x:c r="C62" s="243"/>
      <x:c r="D62" s="243"/>
      <x:c r="E62" s="243"/>
      <x:c r="F62" s="243"/>
      <x:c r="G62" s="243"/>
      <x:c r="H62" s="243"/>
      <x:c r="I62" s="243"/>
      <x:c r="J62" s="243"/>
      <x:c r="K62" s="243"/>
      <x:c r="L62" s="243"/>
      <x:c r="M62" s="243"/>
      <x:c r="N62" s="243"/>
      <x:c r="O62" s="243"/>
      <x:c r="P62" s="243"/>
      <x:c r="Q62" s="243"/>
      <x:c r="R62" s="243"/>
      <x:c r="S62" s="243"/>
      <x:c r="T62" s="243"/>
      <x:c r="U62" s="243"/>
      <x:c r="V62" s="243"/>
      <x:c r="W62" s="243"/>
      <x:c r="X62" s="243"/>
      <x:c r="Y62" s="243"/>
      <x:c r="Z62" s="243"/>
      <x:c r="AA62" s="243"/>
      <x:c r="AB62" s="243"/>
      <x:c r="AC62" s="243"/>
      <x:c r="AD62" s="243"/>
      <x:c r="AE62" s="243"/>
      <x:c r="AF62" s="243"/>
      <x:c r="AG62" s="243"/>
      <x:c r="AH62" s="243"/>
      <x:c r="AI62" s="243"/>
      <x:c r="AJ62" s="243"/>
      <x:c r="AK62" s="243"/>
      <x:c r="AL62" s="243"/>
      <x:c r="AM62" s="243"/>
      <x:c r="AN62" s="243"/>
      <x:c r="AO62" s="243"/>
      <x:c r="AP62" s="243"/>
      <x:c r="AQ62" s="243"/>
      <x:c r="AR62" s="243"/>
      <x:c r="AS62" s="243"/>
      <x:c r="AT62" s="243"/>
      <x:c r="AU62" s="243"/>
      <x:c r="AV62" s="243"/>
      <x:c r="AW62" s="243"/>
      <x:c r="AX62" s="243"/>
    </x:row>
    <x:row r="63" ht="22" customHeight="1">
      <x:c r="A63" s="243" t="str">
        <x:v>原表参考：华兴啤机日排版表9.1.xlsx 的计划表。原跨周辅助值和查错列不再驱动新排期；其他原业务列的位置保持。</x:v>
      </x:c>
      <x:c r="B63" s="243"/>
      <x:c r="C63" s="243"/>
      <x:c r="D63" s="243"/>
      <x:c r="E63" s="243"/>
      <x:c r="F63" s="243"/>
      <x:c r="G63" s="243"/>
      <x:c r="H63" s="243"/>
      <x:c r="I63" s="243"/>
      <x:c r="J63" s="243"/>
      <x:c r="K63" s="243"/>
      <x:c r="L63" s="243"/>
      <x:c r="M63" s="243"/>
      <x:c r="N63" s="243"/>
      <x:c r="O63" s="243"/>
      <x:c r="P63" s="243"/>
      <x:c r="Q63" s="243"/>
      <x:c r="R63" s="243"/>
      <x:c r="S63" s="243"/>
      <x:c r="T63" s="243"/>
      <x:c r="U63" s="243"/>
      <x:c r="V63" s="243"/>
      <x:c r="W63" s="243"/>
      <x:c r="X63" s="243"/>
      <x:c r="Y63" s="243"/>
      <x:c r="Z63" s="243"/>
      <x:c r="AA63" s="243"/>
      <x:c r="AB63" s="243"/>
      <x:c r="AC63" s="243"/>
      <x:c r="AD63" s="243"/>
      <x:c r="AE63" s="243"/>
      <x:c r="AF63" s="243"/>
      <x:c r="AG63" s="243"/>
      <x:c r="AH63" s="243"/>
      <x:c r="AI63" s="243"/>
      <x:c r="AJ63" s="243"/>
      <x:c r="AK63" s="243"/>
      <x:c r="AL63" s="243"/>
      <x:c r="AM63" s="243"/>
      <x:c r="AN63" s="243"/>
      <x:c r="AO63" s="243"/>
      <x:c r="AP63" s="243"/>
      <x:c r="AQ63" s="243"/>
      <x:c r="AR63" s="243"/>
      <x:c r="AS63" s="243"/>
      <x:c r="AT63" s="243"/>
      <x:c r="AU63" s="243"/>
      <x:c r="AV63" s="243"/>
      <x:c r="AW63" s="243"/>
      <x:c r="AX63" s="243"/>
    </x:row>
  </x:sheetData>
  <x:mergeCells>
    <x:mergeCell ref="A1:AX1"/>
    <x:mergeCell ref="I2:K2"/>
    <x:mergeCell ref="L2:O2"/>
    <x:mergeCell ref="Q2:S2"/>
    <x:mergeCell ref="AR2:AS2"/>
    <x:mergeCell ref="AW2:AX2"/>
    <x:mergeCell ref="BA2:BB2"/>
    <x:mergeCell ref="BC2:BD2"/>
    <x:mergeCell ref="BE2:BF2"/>
    <x:mergeCell ref="BG2:BH2"/>
    <x:mergeCell ref="BI2:BJ2"/>
    <x:mergeCell ref="BK2:BL2"/>
    <x:mergeCell ref="BM2:BN2"/>
    <x:mergeCell ref="BO2:BP2"/>
    <x:mergeCell ref="BQ2:BR2"/>
    <x:mergeCell ref="BS2:BT2"/>
    <x:mergeCell ref="BU2:BV2"/>
    <x:mergeCell ref="BW2:BX2"/>
    <x:mergeCell ref="BY2:BZ2"/>
    <x:mergeCell ref="CA2:CB2"/>
    <x:mergeCell ref="CC2:CD2"/>
    <x:mergeCell ref="CE2:CF2"/>
    <x:mergeCell ref="CG2:CH2"/>
    <x:mergeCell ref="CI2:CJ2"/>
    <x:mergeCell ref="CK2:CL2"/>
    <x:mergeCell ref="CM2:CN2"/>
    <x:mergeCell ref="CO2:CP2"/>
    <x:mergeCell ref="CQ2:CR2"/>
    <x:mergeCell ref="CS2:CT2"/>
    <x:mergeCell ref="CU2:CV2"/>
    <x:mergeCell ref="CW2:CX2"/>
    <x:mergeCell ref="CY2:CZ2"/>
    <x:mergeCell ref="DA2:DB2"/>
    <x:mergeCell ref="DC2:DD2"/>
    <x:mergeCell ref="DE2:DF2"/>
    <x:mergeCell ref="DG2:DH2"/>
    <x:mergeCell ref="DI2:DJ2"/>
    <x:mergeCell ref="A55:AX55"/>
    <x:mergeCell ref="A56:AX56"/>
    <x:mergeCell ref="A57:AX57"/>
    <x:mergeCell ref="A58:AX58"/>
    <x:mergeCell ref="A59:AX59"/>
    <x:mergeCell ref="A60:AX60"/>
    <x:mergeCell ref="A61:AX61"/>
    <x:mergeCell ref="A62:AX62"/>
    <x:mergeCell ref="A63:AX63"/>
  </x:mergeCells>
  <x:dataValidations count="4">
    <x:dataValidation type="list" sqref="F2">
      <x:formula1>"华兴,华登,华康 A,华康 B"</x:formula1>
    </x:dataValidation>
    <x:dataValidation type="list" sqref="A4">
      <x:formula1>$EN$4:$EN$4</x:formula1>
    </x:dataValidation>
    <x:dataValidation type="list" sqref="A10">
      <x:formula1>$EN$4:$EN$4</x:formula1>
    </x:dataValidation>
    <x:dataValidation type="list" sqref="A16">
      <x:formula1>$EN$4:$EN$4</x:formula1>
    </x:dataValidation>
  </x:dataValidations>
  <x:pageMargins left="0.7" right="0.7" top="0.75" bottom="0.75" header="0.3" footer="0.3"/>
</x:worksheet>
</file>