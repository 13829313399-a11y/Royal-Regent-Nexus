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jpeg" ContentType="image/jpeg"/>
  <Default Extension="JPG" ContentType="image/.jpg"/>
  <Default Extension="png" ContentType="image/png"/>
  <Default Extension="rels" ContentType="application/vnd.openxmlformats-package.relationship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'1.0' encoding='UTF-8' standalone='yes'?>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165" tabRatio="740" firstSheet="0" activeTab="0"/>
  </bookViews>
  <sheets>
    <sheet name="5.21出货明细" sheetId="3" r:id="rId6" state="visible"/>
    <sheet name="类别金额" sheetId="13" r:id="rId2" state="hidden"/>
    <sheet name="单位对照" sheetId="24" r:id="rId13" state="hidden"/>
  </sheets>
  <definedNames>
    <definedName name="_xlnm.Print_Area" localSheetId="0">'5.21出货明细'!$A$3:$BE$64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2.xml><?xml version="1.0" encoding="utf-8"?>
<comments xmlns="http://schemas.openxmlformats.org/spreadsheetml/2006/main">
  <authors>
    <author>87050</author>
  </authors>
  <commentList>
    <comment ref="M3" authorId="0">
      <text>
        <r>
          <rPr>
            <sz val="9"/>
            <rFont val="宋体"/>
            <charset val="134"/>
          </rPr>
          <t>单位可以选择：
PCE(个)
KG（公斤）
Meter（米）
Kilometer（千米）
Set(套)
如使用其他单位，需提前咨询印尼公司</t>
        </r>
      </text>
    </comment>
    <comment ref="M20" authorId="0">
      <text>
        <r>
          <rPr>
            <sz val="9"/>
            <rFont val="宋体"/>
            <charset val="134"/>
          </rPr>
          <t>单位可以选择：
PCE(个)
KG（公斤）
Meter（米）
Kilometer（千米）
Set(套)
如使用其他单位，需提前咨询印尼公司</t>
        </r>
      </text>
    </comment>
  </commentList>
</comments>
</file>

<file path=xl/sharedStrings.xml><?xml version="1.0" encoding="utf-8"?>
<sst xmlns="http://schemas.openxmlformats.org/spreadsheetml/2006/main" count="322" uniqueCount="230">
  <si>
    <t>汇率</t>
  </si>
  <si>
    <t>序号    serial number</t>
  </si>
  <si>
    <t>中国HSCODE
（China）</t>
  </si>
  <si>
    <t>印尼HS CODE 
(Indonesia)</t>
  </si>
  <si>
    <t>货号
Item No.</t>
  </si>
  <si>
    <t>套公式名称栏</t>
  </si>
  <si>
    <t>产品中文名称
Chinese name of the product</t>
  </si>
  <si>
    <t>产品英文名称
English name of the product</t>
  </si>
  <si>
    <t>规格
specification</t>
  </si>
  <si>
    <t>类别
kategori</t>
  </si>
  <si>
    <t>单位
Unit</t>
  </si>
  <si>
    <t>送货KG重量
Quantity</t>
  </si>
  <si>
    <t>送货数量
Product quantity</t>
  </si>
  <si>
    <t>采购单价（换成港币）
Purchase price</t>
  </si>
  <si>
    <t>采购金额Purchase Amount</t>
  </si>
  <si>
    <t>毛重总重
Total Gross weight（KGM）</t>
  </si>
  <si>
    <t>净重总重Total Net weight（KGM）</t>
  </si>
  <si>
    <t>立方数/每箱CBM/Per carton</t>
  </si>
  <si>
    <t>总立方数Total CBM</t>
  </si>
  <si>
    <t>图片
Picture</t>
  </si>
  <si>
    <t>产品用途
product use</t>
  </si>
  <si>
    <t>合同号码
Contract No.</t>
  </si>
  <si>
    <t>合同日期
Date of contract</t>
  </si>
  <si>
    <t>发票号
Invoice No.</t>
  </si>
  <si>
    <t>发票日期
Date of Invoice</t>
  </si>
  <si>
    <t>发票单价
Unit price on invoice</t>
  </si>
  <si>
    <t>金额
Invoice amount</t>
  </si>
  <si>
    <t>发票合计金额Invoice total amount</t>
  </si>
  <si>
    <t>柜号
Container No.</t>
  </si>
  <si>
    <t>走柜日期
Shipping date</t>
  </si>
  <si>
    <t>提单号
Bl No.</t>
  </si>
  <si>
    <t>预计到港日期
ETA PORT</t>
  </si>
  <si>
    <t>实际到厂日期 Actual arrival date</t>
  </si>
  <si>
    <t>Vessel Name/Voyage No.</t>
  </si>
  <si>
    <t>总集装箱运费金额（中国运费） Total Container Freight Amount (China's Freight)</t>
  </si>
  <si>
    <t>货运代理运输费用 Forwarder Transportation Costs (Indonesia Freight)</t>
  </si>
  <si>
    <t>Actual freight for product</t>
  </si>
  <si>
    <t>供应商
Supplier</t>
  </si>
  <si>
    <t>采购单日期
Date of purchase order</t>
  </si>
  <si>
    <t>采购单号
PO No.</t>
  </si>
  <si>
    <t>采购单价
Purchase price</t>
  </si>
  <si>
    <t>采购总额 Total Amount</t>
  </si>
  <si>
    <t>报关出口公司</t>
  </si>
  <si>
    <t>提单抬头</t>
  </si>
  <si>
    <t>箱数
Carton No.</t>
  </si>
  <si>
    <t>每箱数量</t>
  </si>
  <si>
    <t>卡板</t>
  </si>
  <si>
    <t>长
Length</t>
  </si>
  <si>
    <t>宽
Width</t>
  </si>
  <si>
    <t>高
Height</t>
  </si>
  <si>
    <t>物料编码</t>
  </si>
  <si>
    <t>使用部门</t>
  </si>
  <si>
    <t>每箱重量</t>
  </si>
  <si>
    <t>单个毛重</t>
  </si>
  <si>
    <t>单个净重</t>
  </si>
  <si>
    <t>备注</t>
  </si>
  <si>
    <t>721262-V2</t>
  </si>
  <si>
    <t>玩具配件包装扣</t>
  </si>
  <si>
    <t>Plastic toy accessory packaging buckle</t>
  </si>
  <si>
    <t>塑胶</t>
  </si>
  <si>
    <t>KGM</t>
  </si>
  <si>
    <t>111000</t>
  </si>
  <si>
    <t>PCS</t>
  </si>
  <si>
    <t>产品配件</t>
  </si>
  <si>
    <t>RPIRRI260152</t>
  </si>
  <si>
    <t>PR202600152</t>
  </si>
  <si>
    <t>华登（河源）玩具制品有限公司</t>
  </si>
  <si>
    <t>E260420-06</t>
  </si>
  <si>
    <t>華登製品實業有限公司</t>
  </si>
  <si>
    <t>2100pcs*52箱
1800pcs*1箱</t>
  </si>
  <si>
    <t>2.24kg*52箱
1.95kg*1箱</t>
  </si>
  <si>
    <t>玩具配件绑片</t>
  </si>
  <si>
    <t>Plastic toy accessory binding pieces</t>
  </si>
  <si>
    <t>3500pcs</t>
  </si>
  <si>
    <t>列</t>
  </si>
  <si>
    <t>内容</t>
  </si>
  <si>
    <t>来源</t>
  </si>
  <si>
    <t>A</t>
  </si>
  <si>
    <t>此出货表里面物料序号,自订</t>
  </si>
  <si>
    <t>B</t>
  </si>
  <si>
    <t>不清楚可不填，此项由报关同事填写</t>
  </si>
  <si>
    <t>C</t>
  </si>
  <si>
    <t>D</t>
  </si>
  <si>
    <t>型号
Item No.</t>
  </si>
  <si>
    <t>E</t>
  </si>
  <si>
    <t>不用填</t>
  </si>
  <si>
    <t>F</t>
  </si>
  <si>
    <t>品名描述
Names and Descriptions</t>
  </si>
  <si>
    <t>G</t>
  </si>
  <si>
    <t>物料名称对应的英文名称</t>
  </si>
  <si>
    <t>H</t>
  </si>
  <si>
    <t xml:space="preserve">物料对应的规格，如贴纸的尺寸，螺丝的杆径、材质
</t>
  </si>
  <si>
    <t>I</t>
  </si>
  <si>
    <t xml:space="preserve">物料对应的类别，如螺丝属于五金待，在类别金额页有列出，不清的可询问清溪报关同事
</t>
  </si>
  <si>
    <t>J</t>
  </si>
  <si>
    <t>报关时使用的物料单位</t>
  </si>
  <si>
    <t>K</t>
  </si>
  <si>
    <t>报关时使用的物料重量。小数点后面保留2位小数，如是以吨（TNE)计数， 可保留4位小数。</t>
  </si>
  <si>
    <t>L</t>
  </si>
  <si>
    <t xml:space="preserve">数量Quantitie
如是分批送，则填每次送货的实际数量，总数量不能超过此对应的订单数量
</t>
  </si>
  <si>
    <t>M</t>
  </si>
  <si>
    <t>N</t>
  </si>
  <si>
    <t>不用填，报关同事填写</t>
  </si>
  <si>
    <t>O</t>
  </si>
  <si>
    <t>P</t>
  </si>
  <si>
    <t>订单物料含包材总重量，如分批装载，按实际装载数量填写对应的总重量。如是混装的，需每款单独的总毛重。</t>
  </si>
  <si>
    <t>Q</t>
  </si>
  <si>
    <t xml:space="preserve">订单物料不含包材总重量，如分批装载，按实际装载数量填写对应的总重量。如是混装的，需每款单独的总净重
</t>
  </si>
  <si>
    <t>R</t>
  </si>
  <si>
    <t>每个包装箱的体积。公式：长*宽*高/28316.75*0.0283</t>
  </si>
  <si>
    <t>S</t>
  </si>
  <si>
    <t>总体积，公式：箱数*每个包装箱的体积</t>
  </si>
  <si>
    <t>T</t>
  </si>
  <si>
    <t>物料图片</t>
  </si>
  <si>
    <t>U</t>
  </si>
  <si>
    <t>物料的用途，是用产品的配件还是辅料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</si>
  <si>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</si>
  <si>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</si>
  <si>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</si>
  <si>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</si>
  <si>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</si>
  <si>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</si>
  <si>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</si>
  <si>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</si>
  <si>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</si>
  <si>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</si>
  <si>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</si>
  <si>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</si>
  <si>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</si>
  <si>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</si>
  <si>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</si>
  <si>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</si>
  <si>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</si>
  <si>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卖方</t>
  </si>
  <si>
    <t>AM</t>
  </si>
  <si>
    <t>签订日期</t>
  </si>
  <si>
    <t>AN</t>
  </si>
  <si>
    <t>合同编码 No.</t>
  </si>
  <si>
    <t>AO</t>
  </si>
  <si>
    <t>单价
Unit Price</t>
  </si>
  <si>
    <t>AP</t>
  </si>
  <si>
    <t>金额
Amount</t>
  </si>
  <si>
    <t>AQ</t>
  </si>
  <si>
    <t>此出货清单中，同一供应商的所有物料总金额</t>
  </si>
  <si>
    <t>AR</t>
  </si>
  <si>
    <t>如是美金采购的物料，则填卖方；如供应商无出口权，则申请由深圳市华胜益出口贸易有限公司名义订购，出口公司名填深圳市华胜益出口贸易有限公司。</t>
  </si>
  <si>
    <t>AS</t>
  </si>
  <si>
    <t>RRI则填：華登製品實業有限公司
RRM则填：華登(全球)有限公司</t>
  </si>
  <si>
    <t>AT</t>
  </si>
  <si>
    <t>物料对应的装箱数量，含备品</t>
  </si>
  <si>
    <t>AU</t>
  </si>
  <si>
    <t>物料每箱装的实际数量</t>
  </si>
  <si>
    <t>AV</t>
  </si>
  <si>
    <t>物料装柜的卡板序号，自订</t>
  </si>
  <si>
    <t>AW</t>
  </si>
  <si>
    <t>物料包装箱的长，单位cm</t>
  </si>
  <si>
    <t>AX</t>
  </si>
  <si>
    <t>物料包装箱的宽，单位cm</t>
  </si>
  <si>
    <t>AY</t>
  </si>
  <si>
    <t>物料包装箱的高，单位cm</t>
  </si>
  <si>
    <t>AZ</t>
  </si>
  <si>
    <t>系统编号</t>
  </si>
  <si>
    <t>BA</t>
  </si>
  <si>
    <t>物料是哪个部门使用</t>
  </si>
  <si>
    <t>BB</t>
  </si>
  <si>
    <t>物料每箱装的实际重量</t>
  </si>
  <si>
    <t>BC</t>
  </si>
  <si>
    <t>每箱物料里面单个物料的毛重，即整箱重量除以数量</t>
  </si>
  <si>
    <t>BD</t>
  </si>
  <si>
    <t>单个物料的重量，不含包装</t>
  </si>
  <si>
    <t>BE</t>
  </si>
  <si>
    <t>额外备注信息，如有多少备品可在此处填写</t>
  </si>
  <si>
    <t>类别</t>
  </si>
  <si>
    <t>水口料</t>
  </si>
  <si>
    <t>色粉</t>
  </si>
  <si>
    <t>化学品</t>
  </si>
  <si>
    <t>原料</t>
  </si>
  <si>
    <t>电子类</t>
  </si>
  <si>
    <t>搪胶</t>
  </si>
  <si>
    <t>五金</t>
  </si>
  <si>
    <t>电池</t>
  </si>
  <si>
    <t>吸塑</t>
  </si>
  <si>
    <t>胶袋</t>
  </si>
  <si>
    <t>利宝说明书</t>
  </si>
  <si>
    <t>彩盒/彩咭</t>
  </si>
  <si>
    <t>纸箱类</t>
  </si>
  <si>
    <t>车缝物料</t>
  </si>
  <si>
    <t>其他</t>
  </si>
  <si>
    <t>大陆送半成品</t>
  </si>
  <si>
    <t>工具</t>
  </si>
  <si>
    <t>机器设备</t>
  </si>
  <si>
    <t>生产夹具</t>
  </si>
  <si>
    <t>喷油模具</t>
  </si>
  <si>
    <t>注塑模具</t>
  </si>
  <si>
    <t>签办</t>
  </si>
  <si>
    <t>原单位</t>
  </si>
  <si>
    <t>填表单位</t>
  </si>
  <si>
    <t>千克</t>
  </si>
  <si>
    <t>TNE</t>
  </si>
  <si>
    <t>吨</t>
  </si>
  <si>
    <t>GRM</t>
  </si>
  <si>
    <t>克</t>
  </si>
  <si>
    <t>PCE</t>
  </si>
  <si>
    <t>个</t>
  </si>
  <si>
    <t>SET</t>
  </si>
  <si>
    <t>套</t>
  </si>
  <si>
    <t>PRS</t>
  </si>
  <si>
    <t>双</t>
  </si>
  <si>
    <t>DZN</t>
  </si>
  <si>
    <t>打</t>
  </si>
  <si>
    <t>BOX</t>
  </si>
  <si>
    <t>箱</t>
  </si>
  <si>
    <t>CTN</t>
  </si>
  <si>
    <t>纸箱</t>
  </si>
  <si>
    <t>BAG</t>
  </si>
  <si>
    <t>袋</t>
  </si>
  <si>
    <t>PKG</t>
  </si>
  <si>
    <t>件</t>
  </si>
  <si>
    <t>ROL</t>
  </si>
  <si>
    <t>卷</t>
  </si>
  <si>
    <t>MTR</t>
  </si>
  <si>
    <t>米</t>
  </si>
  <si>
    <t>MTK</t>
  </si>
  <si>
    <t>平方米</t>
  </si>
  <si>
    <t>MTQ</t>
  </si>
  <si>
    <t>立方米</t>
  </si>
  <si>
    <t>LTR</t>
  </si>
  <si>
    <t>升</t>
  </si>
  <si>
    <t>NMB</t>
  </si>
  <si>
    <t>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</si>
</sst>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2">
    <numFmt numFmtId="7" formatCode="&quot;￥&quot;#,##0.00;&quot;￥&quot;\-#,##0.00"/>
    <numFmt numFmtId="8" formatCode="&quot;￥&quot;#,##0.00;[Red]&quot;￥&quot;\-#,##0.00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[$HK$-C04]#,##0.000_);[Red]\([$HK$-C04]#,##0.000\)"/>
    <numFmt numFmtId="179" formatCode="[$HK$-C04]#,##0.00_);[Red]\([$HK$-C04]#,##0.00\)"/>
    <numFmt numFmtId="180" formatCode="[$HK$-C04]#,##0;\-[$HK$-C04]#,##0"/>
    <numFmt numFmtId="181" formatCode="0.000_ "/>
    <numFmt numFmtId="182" formatCode="0.0_ "/>
    <numFmt numFmtId="183" formatCode="0.00_ "/>
    <numFmt numFmtId="184" formatCode="0_ "/>
    <numFmt numFmtId="185" formatCode="General\ &quot;KG&quot;"/>
    <numFmt numFmtId="186" formatCode="mmm/dd/yyyy"/>
    <numFmt numFmtId="187" formatCode="&quot;US$&quot;#,##0.00_);[Red]\(&quot;US$&quot;#,##0.00\)"/>
    <numFmt numFmtId="188" formatCode="0.00_);[Red]\(0.00\)"/>
    <numFmt numFmtId="189" formatCode="0.0000_ "/>
    <numFmt numFmtId="190" formatCode="#,##0.00_ "/>
    <numFmt numFmtId="191" formatCode="yyyy/m/d;@"/>
    <numFmt numFmtId="192" formatCode="0.000000_ "/>
    <numFmt numFmtId="193" formatCode="[$HK$-C04]#,##0.0;\-[$HK$-C04]#,##0.0"/>
    <numFmt numFmtId="194" formatCode="[$HK$-C04]#,##0.00;\-[$HK$-C04]#,##0.00"/>
    <numFmt numFmtId="195" formatCode="&quot;US$&quot;#,##0.00;\-&quot;US$&quot;#,##0.00"/>
    <numFmt numFmtId="196" formatCode="&quot;US$&quot;#,##0.0000_);[Red]\(&quot;US$&quot;#,##0.0000\)"/>
    <numFmt numFmtId="197" formatCode="dd/mm/yyyy"/>
    <numFmt numFmtId="198" formatCode="&quot;￥&quot;#,##0.00;[Red]&quot;￥&quot;#,##0.00"/>
    <numFmt numFmtId="199" formatCode="&quot;US$&quot;#,##0.000_);[Red]\(&quot;US$&quot;#,##0.000\)"/>
    <numFmt numFmtId="200" formatCode="0_);[Red]\(0\)"/>
    <numFmt numFmtId="201" formatCode="0.00_)"/>
    <numFmt numFmtId="202" formatCode="______@"/>
    <numFmt numFmtId="203" formatCode="__@"/>
    <numFmt numFmtId="204" formatCode="____@"/>
    <numFmt numFmtId="205" formatCode="________@"/>
    <numFmt numFmtId="206" formatCode="&quot;US$&quot;#,##0.000;\-&quot;US$&quot;#,##0.000"/>
    <numFmt numFmtId="207" formatCode="&quot;US$&quot;#,##0.0000;\-&quot;US$&quot;#,##0.0000"/>
    <numFmt numFmtId="208" formatCode="[DBNum2][$RMB]General;[Red][DBNum2][$RMB]General"/>
    <numFmt numFmtId="209" formatCode="yyyy&quot;年&quot;m&quot;月&quot;d&quot;日&quot;;@"/>
    <numFmt numFmtId="210" formatCode="_-&quot;$&quot;* #,##0.00_ ;_-&quot;$&quot;* \-#,##0.00\ ;_-&quot;$&quot;* &quot;-&quot;??_ ;_-@_ "/>
    <numFmt numFmtId="211" formatCode="[$USD]\ #,##0.00;[$USD]\ \-#,##0.00"/>
    <numFmt numFmtId="212" formatCode="_ * #,##0.0_ ;_ * \-#,##0.0_ ;_ * &quot;-&quot;??_ ;_ @_ "/>
    <numFmt numFmtId="213" formatCode="#,##0.00000000_ "/>
  </numFmts>
  <fonts count="142">
    <font>
      <sz val="11"/>
      <color theme="1"/>
      <name val="宋体"/>
      <charset val="134"/>
      <scheme val="minor"/>
    </font>
    <font>
      <sz val="12"/>
      <name val="宋体"/>
      <charset val="134"/>
    </font>
    <font>
      <b/>
      <sz val="14"/>
      <color rgb="FF000000"/>
      <name val="宋体"/>
      <charset val="134"/>
    </font>
    <font>
      <b/>
      <sz val="14"/>
      <name val="宋体"/>
      <charset val="134"/>
    </font>
    <font>
      <sz val="11"/>
      <name val="Arial Narrow"/>
      <charset val="134"/>
    </font>
    <font>
      <sz val="9"/>
      <name val="Arial Narrow"/>
      <charset val="134"/>
    </font>
    <font>
      <b/>
      <sz val="12"/>
      <name val="Arial Narrow"/>
      <charset val="134"/>
    </font>
    <font>
      <sz val="12"/>
      <name val="Arial Narrow"/>
      <charset val="134"/>
    </font>
    <font>
      <sz val="10"/>
      <name val="Helv"/>
      <charset val="134"/>
    </font>
    <font>
      <b/>
      <sz val="16"/>
      <name val="Arial Narrow"/>
      <charset val="134"/>
    </font>
    <font>
      <sz val="9"/>
      <name val="宋体"/>
      <charset val="134"/>
    </font>
    <font>
      <b/>
      <sz val="10"/>
      <name val="宋体"/>
      <charset val="134"/>
    </font>
    <font>
      <sz val="10.5"/>
      <color indexed="62"/>
      <name val="Calibri"/>
      <charset val="134"/>
    </font>
    <font>
      <sz val="10.5"/>
      <color indexed="62"/>
      <name val="宋体"/>
      <charset val="134"/>
    </font>
    <font>
      <b/>
      <sz val="18"/>
      <name val="Arial Narrow"/>
      <charset val="134"/>
    </font>
    <font>
      <b/>
      <sz val="13.5"/>
      <color indexed="39"/>
      <name val="PMingLiU"/>
      <charset val="134"/>
    </font>
    <font>
      <sz val="14"/>
      <name val="Arial Narrow"/>
      <charset val="134"/>
    </font>
    <font>
      <sz val="10"/>
      <name val="Arial Narrow"/>
      <charset val="134"/>
    </font>
    <font>
      <sz val="11"/>
      <name val="宋体"/>
      <charset val="134"/>
    </font>
    <font>
      <sz val="11"/>
      <name val="Times New Roman"/>
      <charset val="134"/>
    </font>
    <font>
      <sz val="10"/>
      <name val="宋体"/>
      <charset val="134"/>
    </font>
    <font>
      <b/>
      <sz val="26"/>
      <name val="宋体"/>
      <charset val="134"/>
    </font>
    <font>
      <b/>
      <u/>
      <sz val="18"/>
      <name val="Times New Roman"/>
      <charset val="134"/>
    </font>
    <font>
      <b/>
      <sz val="12"/>
      <name val="新宋体"/>
      <charset val="134"/>
    </font>
    <font>
      <b/>
      <sz val="10"/>
      <name val="新宋体"/>
      <charset val="134"/>
    </font>
    <font>
      <b/>
      <sz val="20"/>
      <name val="新宋体"/>
      <charset val="134"/>
    </font>
    <font>
      <b/>
      <sz val="13"/>
      <name val="新宋体"/>
      <charset val="134"/>
    </font>
    <font>
      <b/>
      <sz val="18"/>
      <name val="新宋体"/>
      <charset val="134"/>
    </font>
    <font>
      <b/>
      <sz val="9"/>
      <name val="新宋体"/>
      <charset val="134"/>
    </font>
    <font>
      <b/>
      <sz val="14"/>
      <name val="新宋体"/>
      <charset val="134"/>
    </font>
    <font>
      <b/>
      <sz val="10.5"/>
      <name val="新宋体"/>
      <charset val="134"/>
    </font>
    <font>
      <b/>
      <i/>
      <sz val="10"/>
      <name val="新宋体"/>
      <charset val="134"/>
    </font>
    <font>
      <b/>
      <sz val="12"/>
      <name val="宋体"/>
      <charset val="134"/>
    </font>
    <font>
      <b/>
      <sz val="12"/>
      <color rgb="FFFF0000"/>
      <name val="宋体"/>
      <charset val="134"/>
    </font>
    <font>
      <b/>
      <sz val="12"/>
      <color theme="1"/>
      <name val="等线"/>
      <charset val="134"/>
    </font>
    <font>
      <b/>
      <sz val="12"/>
      <name val="等线"/>
      <charset val="134"/>
    </font>
    <font>
      <b/>
      <sz val="12"/>
      <name val="黑体"/>
      <charset val="134"/>
    </font>
    <font>
      <b/>
      <sz val="12"/>
      <color rgb="FFFF0000"/>
      <name val="等线"/>
      <charset val="134"/>
    </font>
    <font>
      <b/>
      <sz val="12"/>
      <color theme="1"/>
      <name val="宋体"/>
      <charset val="134"/>
    </font>
    <font>
      <b/>
      <sz val="11"/>
      <color rgb="FFFF0000"/>
      <name val="等线"/>
      <charset val="134"/>
    </font>
    <font>
      <b/>
      <sz val="10"/>
      <color rgb="FFFF0000"/>
      <name val="等线"/>
      <charset val="134"/>
    </font>
    <font>
      <b/>
      <i/>
      <sz val="12"/>
      <name val="宋体"/>
      <charset val="134"/>
    </font>
    <font>
      <b/>
      <sz val="11"/>
      <color theme="1"/>
      <name val="等线"/>
      <charset val="134"/>
    </font>
    <font>
      <b/>
      <sz val="11"/>
      <name val="等线"/>
      <charset val="134"/>
    </font>
    <font>
      <b/>
      <sz val="11"/>
      <color rgb="FF000000"/>
      <name val="等线"/>
      <charset val="134"/>
    </font>
    <font>
      <sz val="12"/>
      <color theme="1"/>
      <name val="宋体"/>
      <charset val="134"/>
    </font>
    <font>
      <sz val="11"/>
      <color theme="1"/>
      <name val="宋体"/>
      <charset val="134"/>
    </font>
    <font>
      <sz val="14"/>
      <color theme="1"/>
      <name val="宋体"/>
      <charset val="134"/>
    </font>
    <font>
      <b/>
      <sz val="12"/>
      <color rgb="FF000000"/>
      <name val="等线"/>
      <charset val="134"/>
    </font>
    <font>
      <b/>
      <sz val="16"/>
      <color rgb="FF5307B2"/>
      <name val="等线"/>
      <charset val="134"/>
    </font>
    <font>
      <b/>
      <sz val="16"/>
      <name val="等线"/>
      <charset val="134"/>
    </font>
    <font>
      <b/>
      <sz val="11"/>
      <name val="微软雅黑"/>
      <charset val="134"/>
    </font>
    <font>
      <sz val="12"/>
      <color rgb="FF000000"/>
      <name val="等线"/>
      <charset val="134"/>
    </font>
    <font>
      <sz val="12"/>
      <color theme="1"/>
      <name val="等线"/>
      <charset val="134"/>
    </font>
    <font>
      <b/>
      <sz val="16"/>
      <color theme="1"/>
      <name val="等线"/>
      <charset val="134"/>
    </font>
    <font>
      <sz val="11"/>
      <color rgb="FF000000"/>
      <name val="等线"/>
      <charset val="134"/>
    </font>
    <font>
      <b/>
      <sz val="20"/>
      <color theme="1"/>
      <name val="等线"/>
      <charset val="134"/>
    </font>
    <font>
      <sz val="11"/>
      <color theme="1"/>
      <name val="等线"/>
      <charset val="134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b/>
      <sz val="20"/>
      <name val="等线"/>
      <charset val="0"/>
    </font>
    <font>
      <b/>
      <sz val="14"/>
      <name val="等线"/>
      <charset val="0"/>
    </font>
    <font>
      <b/>
      <sz val="16"/>
      <name val="等线"/>
      <charset val="0"/>
    </font>
    <font>
      <b/>
      <sz val="13"/>
      <name val="等线"/>
      <charset val="134"/>
    </font>
    <font>
      <b/>
      <sz val="8"/>
      <name val="等线"/>
      <charset val="134"/>
    </font>
    <font>
      <b/>
      <sz val="10"/>
      <name val="等线"/>
      <charset val="134"/>
    </font>
    <font>
      <b/>
      <sz val="6"/>
      <name val="等线"/>
      <charset val="134"/>
    </font>
    <font>
      <b/>
      <sz val="9"/>
      <name val="等线"/>
      <charset val="134"/>
    </font>
    <font>
      <b/>
      <sz val="10"/>
      <name val="等线"/>
      <charset val="0"/>
    </font>
    <font>
      <b/>
      <sz val="14"/>
      <color theme="1"/>
      <name val="等线"/>
      <charset val="134"/>
    </font>
    <font>
      <sz val="13"/>
      <color theme="1"/>
      <name val="宋体"/>
      <charset val="134"/>
      <scheme val="minor"/>
    </font>
    <font>
      <b/>
      <sz val="24"/>
      <name val="等线"/>
      <charset val="204"/>
    </font>
    <font>
      <b/>
      <sz val="18"/>
      <name val="等线"/>
      <charset val="134"/>
    </font>
    <font>
      <b/>
      <sz val="14"/>
      <name val="等线"/>
      <charset val="134"/>
    </font>
    <font>
      <b/>
      <sz val="20"/>
      <name val="等线"/>
      <charset val="134"/>
    </font>
    <font>
      <b/>
      <sz val="17"/>
      <name val="等线"/>
      <charset val="134"/>
    </font>
    <font>
      <b/>
      <sz val="14"/>
      <color rgb="FF000000"/>
      <name val="等线"/>
      <charset val="204"/>
    </font>
    <font>
      <b/>
      <sz val="14"/>
      <name val="等线"/>
      <charset val="204"/>
    </font>
    <font>
      <sz val="13"/>
      <name val="宋体"/>
      <charset val="134"/>
      <scheme val="minor"/>
    </font>
    <font>
      <sz val="14"/>
      <name val="宋体"/>
      <charset val="134"/>
      <scheme val="minor"/>
    </font>
    <font>
      <b/>
      <sz val="11"/>
      <name val="等线"/>
      <charset val="204"/>
    </font>
    <font>
      <b/>
      <sz val="11"/>
      <color rgb="FF000000"/>
      <name val="等线"/>
      <charset val="204"/>
    </font>
    <font>
      <b/>
      <sz val="14"/>
      <color rgb="FF000000"/>
      <name val="等线"/>
      <charset val="134"/>
    </font>
    <font>
      <b/>
      <sz val="13"/>
      <name val="等线"/>
      <charset val="204"/>
    </font>
    <font>
      <b/>
      <sz val="24"/>
      <name val="等线"/>
      <charset val="134"/>
    </font>
    <font>
      <b/>
      <sz val="12"/>
      <name val="等线"/>
      <charset val="0"/>
    </font>
    <font>
      <sz val="14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2"/>
      <color rgb="FF000000"/>
      <name val="宋体"/>
      <charset val="134"/>
    </font>
    <font>
      <b/>
      <sz val="11.05"/>
      <color rgb="FF000000"/>
      <name val="Arial"/>
      <charset val="134"/>
    </font>
    <font>
      <b/>
      <sz val="14"/>
      <color indexed="8"/>
      <name val="等线"/>
      <charset val="134"/>
    </font>
    <font>
      <b/>
      <sz val="12"/>
      <color indexed="8"/>
      <name val="等线"/>
      <charset val="134"/>
    </font>
    <font>
      <sz val="12"/>
      <color theme="1"/>
      <name val="宋体"/>
      <charset val="134"/>
      <scheme val="minor"/>
    </font>
    <font>
      <b/>
      <sz val="13"/>
      <color rgb="FF000000"/>
      <name val="等线"/>
      <charset val="134"/>
    </font>
    <font>
      <sz val="11"/>
      <color rgb="FF000000"/>
      <name val="Calibri"/>
      <charset val="134"/>
    </font>
    <font>
      <b/>
      <sz val="18"/>
      <color rgb="FF000000"/>
      <name val="等线"/>
      <charset val="134"/>
    </font>
    <font>
      <b/>
      <sz val="12"/>
      <color rgb="FF000000"/>
      <name val="Calibri"/>
      <charset val="134"/>
    </font>
    <font>
      <b/>
      <sz val="12"/>
      <color rgb="FF5307B2"/>
      <name val="等线"/>
      <charset val="134"/>
    </font>
    <font>
      <b/>
      <strike/>
      <sz val="12"/>
      <color rgb="FFFF0000"/>
      <name val="等线"/>
      <charset val="134"/>
    </font>
    <font>
      <sz val="12"/>
      <color rgb="FF000000"/>
      <name val="宋体"/>
      <charset val="134"/>
      <scheme val="minor"/>
    </font>
    <font>
      <b/>
      <sz val="20"/>
      <color rgb="FF000000"/>
      <name val="等线"/>
      <charset val="134"/>
    </font>
    <font>
      <sz val="11"/>
      <color rgb="FF000000"/>
      <name val="宋体"/>
      <charset val="134"/>
      <scheme val="minor"/>
    </font>
    <font>
      <b/>
      <sz val="10"/>
      <color rgb="FF000000"/>
      <name val="等线"/>
      <charset val="134"/>
    </font>
    <font>
      <b/>
      <sz val="26"/>
      <color rgb="FF000000"/>
      <name val="等线"/>
      <charset val="134"/>
    </font>
    <font>
      <sz val="10"/>
      <color rgb="FF000000"/>
      <name val="宋体"/>
      <charset val="134"/>
      <scheme val="minor"/>
    </font>
    <font>
      <b/>
      <sz val="16"/>
      <color rgb="FFFF0000"/>
      <name val="等线"/>
      <charset val="134"/>
    </font>
    <font>
      <b/>
      <sz val="22"/>
      <color rgb="FF000000"/>
      <name val="汉仪书宋二KW"/>
      <charset val="134"/>
    </font>
    <font>
      <b/>
      <sz val="22"/>
      <color rgb="FF000000"/>
      <name val="等线"/>
      <charset val="134"/>
    </font>
    <font>
      <b/>
      <sz val="22"/>
      <color theme="1"/>
      <name val="等线"/>
      <charset val="134"/>
    </font>
    <font>
      <b/>
      <sz val="10"/>
      <color rgb="FF000000"/>
      <name val="宋体"/>
      <charset val="134"/>
      <scheme val="minor"/>
    </font>
    <font>
      <b/>
      <sz val="18"/>
      <color rgb="FFFF0000"/>
      <name val="等线"/>
      <charset val="134"/>
    </font>
    <font>
      <sz val="20"/>
      <color theme="1"/>
      <name val="等线"/>
      <charset val="134"/>
    </font>
    <font>
      <b/>
      <sz val="18"/>
      <color theme="1"/>
      <name val="等线"/>
      <charset val="134"/>
    </font>
    <font>
      <b/>
      <sz val="10"/>
      <color rgb="FF000000"/>
      <name val="黑体"/>
      <charset val="134"/>
    </font>
    <font>
      <b/>
      <sz val="24"/>
      <color theme="1"/>
      <name val="等线"/>
      <charset val="134"/>
    </font>
    <font>
      <b/>
      <sz val="26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新細明體"/>
      <charset val="134"/>
    </font>
    <font>
      <sz val="12"/>
      <name val="新細明體"/>
      <charset val="134"/>
    </font>
    <font>
      <sz val="12"/>
      <name val="Times New Roman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1"/>
      <color rgb="FF000000"/>
      <name val="宋体"/>
      <charset val="134"/>
      <scheme val="minor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4B18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5E0B4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/>
      <diagonal/>
    </border>
    <border>
      <left style="dashed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/>
      <right style="dashed">
        <color auto="1"/>
      </right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/>
      <bottom/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/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dashed">
        <color auto="1"/>
      </bottom>
      <diagonal/>
    </border>
    <border>
      <left/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0" fillId="15" borderId="108" applyNumberFormat="0" applyFont="0" applyAlignment="0" applyProtection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20" fillId="0" borderId="0" applyNumberFormat="0" applyFill="0" applyBorder="0" applyAlignment="0" applyProtection="0">
      <alignment vertical="center"/>
    </xf>
    <xf numFmtId="0" fontId="121" fillId="0" borderId="109" applyNumberFormat="0" applyFill="0" applyAlignment="0" applyProtection="0">
      <alignment vertical="center"/>
    </xf>
    <xf numFmtId="0" fontId="122" fillId="0" borderId="109" applyNumberFormat="0" applyFill="0" applyAlignment="0" applyProtection="0">
      <alignment vertical="center"/>
    </xf>
    <xf numFmtId="0" fontId="123" fillId="0" borderId="110" applyNumberFormat="0" applyFill="0" applyAlignment="0" applyProtection="0">
      <alignment vertical="center"/>
    </xf>
    <xf numFmtId="0" fontId="123" fillId="0" borderId="0" applyNumberFormat="0" applyFill="0" applyBorder="0" applyAlignment="0" applyProtection="0">
      <alignment vertical="center"/>
    </xf>
    <xf numFmtId="0" fontId="124" fillId="16" borderId="111" applyNumberFormat="0" applyAlignment="0" applyProtection="0">
      <alignment vertical="center"/>
    </xf>
    <xf numFmtId="0" fontId="125" fillId="17" borderId="112" applyNumberFormat="0" applyAlignment="0" applyProtection="0">
      <alignment vertical="center"/>
    </xf>
    <xf numFmtId="0" fontId="126" fillId="17" borderId="111" applyNumberFormat="0" applyAlignment="0" applyProtection="0">
      <alignment vertical="center"/>
    </xf>
    <xf numFmtId="0" fontId="127" fillId="18" borderId="113" applyNumberFormat="0" applyAlignment="0" applyProtection="0">
      <alignment vertical="center"/>
    </xf>
    <xf numFmtId="0" fontId="128" fillId="0" borderId="114" applyNumberFormat="0" applyFill="0" applyAlignment="0" applyProtection="0">
      <alignment vertical="center"/>
    </xf>
    <xf numFmtId="0" fontId="129" fillId="0" borderId="115" applyNumberFormat="0" applyFill="0" applyAlignment="0" applyProtection="0">
      <alignment vertical="center"/>
    </xf>
    <xf numFmtId="0" fontId="130" fillId="19" borderId="0" applyNumberFormat="0" applyBorder="0" applyAlignment="0" applyProtection="0">
      <alignment vertical="center"/>
    </xf>
    <xf numFmtId="0" fontId="131" fillId="20" borderId="0" applyNumberFormat="0" applyBorder="0" applyAlignment="0" applyProtection="0">
      <alignment vertical="center"/>
    </xf>
    <xf numFmtId="0" fontId="132" fillId="21" borderId="0" applyNumberFormat="0" applyBorder="0" applyAlignment="0" applyProtection="0">
      <alignment vertical="center"/>
    </xf>
    <xf numFmtId="0" fontId="133" fillId="22" borderId="0" applyNumberFormat="0" applyBorder="0" applyAlignment="0" applyProtection="0">
      <alignment vertical="center"/>
    </xf>
    <xf numFmtId="0" fontId="134" fillId="23" borderId="0" applyNumberFormat="0" applyBorder="0" applyAlignment="0" applyProtection="0">
      <alignment vertical="center"/>
    </xf>
    <xf numFmtId="0" fontId="134" fillId="24" borderId="0" applyNumberFormat="0" applyBorder="0" applyAlignment="0" applyProtection="0">
      <alignment vertical="center"/>
    </xf>
    <xf numFmtId="0" fontId="133" fillId="25" borderId="0" applyNumberFormat="0" applyBorder="0" applyAlignment="0" applyProtection="0">
      <alignment vertical="center"/>
    </xf>
    <xf numFmtId="0" fontId="133" fillId="26" borderId="0" applyNumberFormat="0" applyBorder="0" applyAlignment="0" applyProtection="0">
      <alignment vertical="center"/>
    </xf>
    <xf numFmtId="0" fontId="134" fillId="27" borderId="0" applyNumberFormat="0" applyBorder="0" applyAlignment="0" applyProtection="0">
      <alignment vertical="center"/>
    </xf>
    <xf numFmtId="0" fontId="134" fillId="28" borderId="0" applyNumberFormat="0" applyBorder="0" applyAlignment="0" applyProtection="0">
      <alignment vertical="center"/>
    </xf>
    <xf numFmtId="0" fontId="133" fillId="29" borderId="0" applyNumberFormat="0" applyBorder="0" applyAlignment="0" applyProtection="0">
      <alignment vertical="center"/>
    </xf>
    <xf numFmtId="0" fontId="133" fillId="30" borderId="0" applyNumberFormat="0" applyBorder="0" applyAlignment="0" applyProtection="0">
      <alignment vertical="center"/>
    </xf>
    <xf numFmtId="0" fontId="134" fillId="31" borderId="0" applyNumberFormat="0" applyBorder="0" applyAlignment="0" applyProtection="0">
      <alignment vertical="center"/>
    </xf>
    <xf numFmtId="0" fontId="134" fillId="32" borderId="0" applyNumberFormat="0" applyBorder="0" applyAlignment="0" applyProtection="0">
      <alignment vertical="center"/>
    </xf>
    <xf numFmtId="0" fontId="133" fillId="33" borderId="0" applyNumberFormat="0" applyBorder="0" applyAlignment="0" applyProtection="0">
      <alignment vertical="center"/>
    </xf>
    <xf numFmtId="0" fontId="133" fillId="34" borderId="0" applyNumberFormat="0" applyBorder="0" applyAlignment="0" applyProtection="0">
      <alignment vertical="center"/>
    </xf>
    <xf numFmtId="0" fontId="134" fillId="35" borderId="0" applyNumberFormat="0" applyBorder="0" applyAlignment="0" applyProtection="0">
      <alignment vertical="center"/>
    </xf>
    <xf numFmtId="0" fontId="134" fillId="36" borderId="0" applyNumberFormat="0" applyBorder="0" applyAlignment="0" applyProtection="0">
      <alignment vertical="center"/>
    </xf>
    <xf numFmtId="0" fontId="133" fillId="37" borderId="0" applyNumberFormat="0" applyBorder="0" applyAlignment="0" applyProtection="0">
      <alignment vertical="center"/>
    </xf>
    <xf numFmtId="0" fontId="133" fillId="38" borderId="0" applyNumberFormat="0" applyBorder="0" applyAlignment="0" applyProtection="0">
      <alignment vertical="center"/>
    </xf>
    <xf numFmtId="0" fontId="134" fillId="39" borderId="0" applyNumberFormat="0" applyBorder="0" applyAlignment="0" applyProtection="0">
      <alignment vertical="center"/>
    </xf>
    <xf numFmtId="0" fontId="134" fillId="40" borderId="0" applyNumberFormat="0" applyBorder="0" applyAlignment="0" applyProtection="0">
      <alignment vertical="center"/>
    </xf>
    <xf numFmtId="0" fontId="133" fillId="41" borderId="0" applyNumberFormat="0" applyBorder="0" applyAlignment="0" applyProtection="0">
      <alignment vertical="center"/>
    </xf>
    <xf numFmtId="0" fontId="133" fillId="42" borderId="0" applyNumberFormat="0" applyBorder="0" applyAlignment="0" applyProtection="0">
      <alignment vertical="center"/>
    </xf>
    <xf numFmtId="0" fontId="134" fillId="43" borderId="0" applyNumberFormat="0" applyBorder="0" applyAlignment="0" applyProtection="0">
      <alignment vertical="center"/>
    </xf>
    <xf numFmtId="0" fontId="134" fillId="44" borderId="0" applyNumberFormat="0" applyBorder="0" applyAlignment="0" applyProtection="0">
      <alignment vertical="center"/>
    </xf>
    <xf numFmtId="0" fontId="133" fillId="45" borderId="0" applyNumberFormat="0" applyBorder="0" applyAlignment="0" applyProtection="0">
      <alignment vertical="center"/>
    </xf>
    <xf numFmtId="0" fontId="1" fillId="0" borderId="0">
      <alignment vertical="center"/>
    </xf>
    <xf numFmtId="178" fontId="8" fillId="0" borderId="0">
      <alignment vertical="center"/>
    </xf>
    <xf numFmtId="0" fontId="1" fillId="0" borderId="0"/>
    <xf numFmtId="0" fontId="1" fillId="0" borderId="0"/>
    <xf numFmtId="0" fontId="135" fillId="0" borderId="0"/>
    <xf numFmtId="0" fontId="10" fillId="0" borderId="0">
      <alignment vertical="center"/>
    </xf>
    <xf numFmtId="0" fontId="8" fillId="0" borderId="0">
      <alignment vertical="center"/>
    </xf>
    <xf numFmtId="179" fontId="136" fillId="0" borderId="0"/>
    <xf numFmtId="0" fontId="1" fillId="0" borderId="0"/>
    <xf numFmtId="0" fontId="8" fillId="0" borderId="0"/>
    <xf numFmtId="0" fontId="137" fillId="0" borderId="0"/>
    <xf numFmtId="180" fontId="138" fillId="0" borderId="0">
      <alignment vertical="top"/>
    </xf>
    <xf numFmtId="0" fontId="139" fillId="0" borderId="0"/>
    <xf numFmtId="0" fontId="0" fillId="0" borderId="0">
      <alignment vertical="center"/>
    </xf>
    <xf numFmtId="0" fontId="139" fillId="0" borderId="0"/>
    <xf numFmtId="0" fontId="1" fillId="0" borderId="0"/>
    <xf numFmtId="0" fontId="8" fillId="0" borderId="0"/>
    <xf numFmtId="0" fontId="1" fillId="0" borderId="0">
      <alignment vertical="center"/>
    </xf>
    <xf numFmtId="0" fontId="139" fillId="0" borderId="0"/>
    <xf numFmtId="0" fontId="1" fillId="0" borderId="0"/>
  </cellStyleXfs>
  <cellXfs count="1272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 vertical="center"/>
    </xf>
    <xf numFmtId="0" fontId="4" fillId="0" borderId="0" xfId="65" applyFont="1" applyAlignment="1">
      <alignment horizontal="center" vertical="center"/>
    </xf>
    <xf numFmtId="0" fontId="5" fillId="0" borderId="0" xfId="65" applyFont="1" applyAlignment="1">
      <alignment horizontal="center" vertical="center"/>
    </xf>
    <xf numFmtId="0" fontId="6" fillId="0" borderId="0" xfId="65" applyFont="1" applyAlignment="1">
      <alignment horizontal="center" vertical="center"/>
    </xf>
    <xf numFmtId="0" fontId="5" fillId="0" borderId="0" xfId="65" applyFont="1" applyAlignment="1">
      <alignment horizontal="left" vertical="center"/>
    </xf>
    <xf numFmtId="0" fontId="7" fillId="0" borderId="0" xfId="65" applyFont="1" applyAlignment="1">
      <alignment horizontal="center" vertical="center"/>
    </xf>
    <xf numFmtId="181" fontId="6" fillId="0" borderId="0" xfId="65" applyNumberFormat="1" applyFont="1" applyAlignment="1">
      <alignment horizontal="center" vertical="center"/>
    </xf>
    <xf numFmtId="0" fontId="3" fillId="0" borderId="0" xfId="65" applyFont="1" applyAlignment="1">
      <alignment horizontal="center" vertical="center" wrapText="1"/>
    </xf>
    <xf numFmtId="181" fontId="4" fillId="0" borderId="0" xfId="65" applyNumberFormat="1" applyFont="1" applyAlignment="1">
      <alignment horizontal="center" vertical="center"/>
    </xf>
    <xf numFmtId="0" fontId="6" fillId="0" borderId="2" xfId="65" applyFont="1" applyBorder="1" applyAlignment="1">
      <alignment horizontal="center" vertical="center"/>
    </xf>
    <xf numFmtId="0" fontId="1" fillId="0" borderId="2" xfId="0" applyFont="1" applyFill="1" applyBorder="1" applyAlignment="1"/>
    <xf numFmtId="0" fontId="8" fillId="0" borderId="2" xfId="65" applyBorder="1" applyAlignment="1">
      <alignment horizontal="right" vertical="center"/>
    </xf>
    <xf numFmtId="181" fontId="6" fillId="0" borderId="2" xfId="65" applyNumberFormat="1" applyFont="1" applyBorder="1" applyAlignment="1" applyProtection="1">
      <alignment horizontal="center" vertical="center"/>
      <protection locked="0"/>
    </xf>
    <xf numFmtId="0" fontId="1" fillId="0" borderId="2" xfId="0" applyFont="1" applyFill="1" applyBorder="1" applyAlignment="1" applyProtection="1">
      <protection locked="0"/>
    </xf>
    <xf numFmtId="0" fontId="8" fillId="0" borderId="2" xfId="65" applyBorder="1" applyAlignment="1">
      <alignment horizontal="center" vertical="center"/>
    </xf>
    <xf numFmtId="0" fontId="9" fillId="0" borderId="2" xfId="65" applyFont="1" applyBorder="1" applyAlignment="1" applyProtection="1">
      <alignment horizontal="center" vertical="center"/>
      <protection locked="0"/>
    </xf>
    <xf numFmtId="0" fontId="10" fillId="0" borderId="3" xfId="65" applyFont="1" applyBorder="1" applyAlignment="1">
      <alignment horizontal="left" vertical="center"/>
    </xf>
    <xf numFmtId="0" fontId="1" fillId="0" borderId="4" xfId="0" applyFont="1" applyFill="1" applyBorder="1" applyAlignment="1"/>
    <xf numFmtId="0" fontId="1" fillId="0" borderId="5" xfId="0" applyFont="1" applyFill="1" applyBorder="1" applyAlignment="1"/>
    <xf numFmtId="0" fontId="10" fillId="0" borderId="6" xfId="65" applyFont="1" applyBorder="1" applyAlignment="1">
      <alignment horizontal="left" vertical="center"/>
    </xf>
    <xf numFmtId="181" fontId="1" fillId="0" borderId="4" xfId="0" applyNumberFormat="1" applyFont="1" applyFill="1" applyBorder="1" applyAlignment="1"/>
    <xf numFmtId="0" fontId="10" fillId="0" borderId="4" xfId="65" applyFont="1" applyBorder="1" applyAlignment="1">
      <alignment horizontal="left" vertical="center"/>
    </xf>
    <xf numFmtId="0" fontId="10" fillId="0" borderId="7" xfId="65" applyFont="1" applyBorder="1" applyAlignment="1">
      <alignment horizontal="left" vertical="center"/>
    </xf>
    <xf numFmtId="14" fontId="10" fillId="0" borderId="8" xfId="65" applyNumberFormat="1" applyFont="1" applyBorder="1" applyAlignment="1">
      <alignment horizontal="left" vertical="center"/>
    </xf>
    <xf numFmtId="0" fontId="1" fillId="0" borderId="9" xfId="0" applyFont="1" applyFill="1" applyBorder="1" applyAlignment="1"/>
    <xf numFmtId="0" fontId="1" fillId="0" borderId="10" xfId="65" applyFont="1" applyBorder="1" applyAlignment="1" applyProtection="1">
      <alignment horizontal="center" vertical="center"/>
      <protection locked="0"/>
    </xf>
    <xf numFmtId="0" fontId="1" fillId="0" borderId="11" xfId="0" applyFont="1" applyFill="1" applyBorder="1" applyAlignment="1" applyProtection="1">
      <protection locked="0"/>
    </xf>
    <xf numFmtId="0" fontId="1" fillId="0" borderId="12" xfId="0" applyFont="1" applyFill="1" applyBorder="1" applyAlignment="1" applyProtection="1">
      <protection locked="0"/>
    </xf>
    <xf numFmtId="0" fontId="6" fillId="0" borderId="13" xfId="66" applyFont="1" applyBorder="1" applyAlignment="1">
      <alignment horizontal="center" vertical="center"/>
    </xf>
    <xf numFmtId="181" fontId="1" fillId="0" borderId="11" xfId="0" applyNumberFormat="1" applyFont="1" applyFill="1" applyBorder="1" applyAlignment="1"/>
    <xf numFmtId="0" fontId="1" fillId="0" borderId="11" xfId="0" applyFont="1" applyFill="1" applyBorder="1" applyAlignment="1"/>
    <xf numFmtId="0" fontId="6" fillId="0" borderId="11" xfId="66" applyFont="1" applyBorder="1" applyAlignment="1">
      <alignment horizontal="center" vertical="center"/>
    </xf>
    <xf numFmtId="14" fontId="6" fillId="0" borderId="14" xfId="65" applyNumberFormat="1" applyFont="1" applyBorder="1" applyAlignment="1">
      <alignment horizontal="center" vertical="center"/>
    </xf>
    <xf numFmtId="0" fontId="1" fillId="0" borderId="12" xfId="0" applyFont="1" applyFill="1" applyBorder="1" applyAlignment="1"/>
    <xf numFmtId="14" fontId="6" fillId="0" borderId="15" xfId="65" applyNumberFormat="1" applyFont="1" applyBorder="1" applyAlignment="1">
      <alignment horizontal="center" vertical="center"/>
    </xf>
    <xf numFmtId="0" fontId="1" fillId="0" borderId="16" xfId="0" applyFont="1" applyFill="1" applyBorder="1" applyAlignment="1"/>
    <xf numFmtId="0" fontId="10" fillId="0" borderId="17" xfId="65" applyFont="1" applyBorder="1" applyAlignment="1">
      <alignment horizontal="left" vertical="center"/>
    </xf>
    <xf numFmtId="0" fontId="1" fillId="0" borderId="18" xfId="0" applyFont="1" applyFill="1" applyBorder="1" applyAlignment="1"/>
    <xf numFmtId="0" fontId="8" fillId="0" borderId="19" xfId="65" applyBorder="1" applyAlignment="1">
      <alignment horizontal="center" vertical="center"/>
    </xf>
    <xf numFmtId="0" fontId="1" fillId="0" borderId="19" xfId="0" applyFont="1" applyFill="1" applyBorder="1" applyAlignment="1"/>
    <xf numFmtId="0" fontId="10" fillId="0" borderId="20" xfId="65" applyFont="1" applyBorder="1" applyAlignment="1">
      <alignment horizontal="left" vertical="center"/>
    </xf>
    <xf numFmtId="181" fontId="1" fillId="0" borderId="19" xfId="0" applyNumberFormat="1" applyFont="1" applyFill="1" applyBorder="1" applyAlignment="1"/>
    <xf numFmtId="14" fontId="10" fillId="0" borderId="21" xfId="65" applyNumberFormat="1" applyFont="1" applyBorder="1" applyAlignment="1">
      <alignment horizontal="left" vertical="center"/>
    </xf>
    <xf numFmtId="0" fontId="1" fillId="0" borderId="22" xfId="0" applyFont="1" applyFill="1" applyBorder="1" applyAlignment="1"/>
    <xf numFmtId="0" fontId="1" fillId="0" borderId="10" xfId="65" applyFont="1" applyBorder="1" applyAlignment="1">
      <alignment horizontal="center" vertical="center"/>
    </xf>
    <xf numFmtId="0" fontId="1" fillId="0" borderId="14" xfId="65" applyFont="1" applyBorder="1" applyAlignment="1" applyProtection="1">
      <alignment horizontal="center" vertical="center"/>
      <protection locked="0"/>
    </xf>
    <xf numFmtId="181" fontId="1" fillId="0" borderId="12" xfId="0" applyNumberFormat="1" applyFont="1" applyFill="1" applyBorder="1" applyAlignment="1" applyProtection="1">
      <protection locked="0"/>
    </xf>
    <xf numFmtId="0" fontId="11" fillId="0" borderId="14" xfId="65" applyFont="1" applyBorder="1" applyAlignment="1">
      <alignment horizontal="left" vertical="center"/>
    </xf>
    <xf numFmtId="0" fontId="7" fillId="0" borderId="13" xfId="65" applyFont="1" applyBorder="1" applyAlignment="1">
      <alignment horizontal="center" vertical="center"/>
    </xf>
    <xf numFmtId="0" fontId="3" fillId="2" borderId="16" xfId="65" applyFont="1" applyFill="1" applyBorder="1" applyAlignment="1" applyProtection="1">
      <alignment horizontal="center" vertical="center" shrinkToFit="1"/>
      <protection locked="0"/>
    </xf>
    <xf numFmtId="0" fontId="1" fillId="0" borderId="16" xfId="0" applyFont="1" applyFill="1" applyBorder="1" applyAlignment="1" applyProtection="1">
      <protection locked="0"/>
    </xf>
    <xf numFmtId="0" fontId="1" fillId="0" borderId="0" xfId="65" applyFont="1" applyAlignment="1">
      <alignment horizontal="center" vertical="center"/>
    </xf>
    <xf numFmtId="0" fontId="10" fillId="0" borderId="23" xfId="65" applyFont="1" applyBorder="1" applyAlignment="1">
      <alignment horizontal="left" vertical="center"/>
    </xf>
    <xf numFmtId="181" fontId="1" fillId="0" borderId="18" xfId="0" applyNumberFormat="1" applyFont="1" applyFill="1" applyBorder="1" applyAlignment="1"/>
    <xf numFmtId="0" fontId="10" fillId="0" borderId="18" xfId="65" applyFont="1" applyBorder="1" applyAlignment="1">
      <alignment horizontal="left" vertical="center"/>
    </xf>
    <xf numFmtId="0" fontId="10" fillId="0" borderId="21" xfId="65" applyFont="1" applyBorder="1" applyAlignment="1">
      <alignment horizontal="left" vertical="center"/>
    </xf>
    <xf numFmtId="0" fontId="1" fillId="0" borderId="13" xfId="65" applyFont="1" applyBorder="1" applyAlignment="1" applyProtection="1">
      <alignment horizontal="center" vertical="center"/>
      <protection locked="0"/>
    </xf>
    <xf numFmtId="181" fontId="1" fillId="0" borderId="11" xfId="0" applyNumberFormat="1" applyFont="1" applyFill="1" applyBorder="1" applyAlignment="1" applyProtection="1">
      <protection locked="0"/>
    </xf>
    <xf numFmtId="0" fontId="1" fillId="0" borderId="11" xfId="65" applyFont="1" applyBorder="1" applyAlignment="1" applyProtection="1">
      <alignment horizontal="center" vertical="center"/>
      <protection locked="0"/>
    </xf>
    <xf numFmtId="0" fontId="1" fillId="0" borderId="14" xfId="65" applyFont="1" applyBorder="1" applyAlignment="1">
      <alignment horizontal="center" vertical="center"/>
    </xf>
    <xf numFmtId="0" fontId="1" fillId="0" borderId="15" xfId="65" applyFont="1" applyBorder="1" applyAlignment="1">
      <alignment horizontal="left" vertical="center"/>
    </xf>
    <xf numFmtId="0" fontId="10" fillId="0" borderId="24" xfId="65" applyFont="1" applyBorder="1" applyAlignment="1">
      <alignment horizontal="left" vertical="center"/>
    </xf>
    <xf numFmtId="0" fontId="6" fillId="0" borderId="10" xfId="65" applyFont="1" applyBorder="1" applyAlignment="1" applyProtection="1">
      <alignment horizontal="center" vertical="center"/>
      <protection locked="0"/>
    </xf>
    <xf numFmtId="0" fontId="11" fillId="2" borderId="14" xfId="65" applyFont="1" applyFill="1" applyBorder="1" applyAlignment="1" applyProtection="1">
      <alignment horizontal="center" vertical="center"/>
      <protection locked="0"/>
    </xf>
    <xf numFmtId="0" fontId="11" fillId="2" borderId="15" xfId="65" applyFont="1" applyFill="1" applyBorder="1" applyAlignment="1">
      <alignment horizontal="center" vertical="center"/>
    </xf>
    <xf numFmtId="0" fontId="10" fillId="0" borderId="20" xfId="65" applyFont="1" applyBorder="1" applyAlignment="1">
      <alignment horizontal="left" vertical="center" wrapText="1"/>
    </xf>
    <xf numFmtId="0" fontId="10" fillId="0" borderId="19" xfId="65" applyFont="1" applyBorder="1" applyAlignment="1">
      <alignment horizontal="left" vertical="center"/>
    </xf>
    <xf numFmtId="0" fontId="12" fillId="0" borderId="0" xfId="0" applyFont="1" applyFill="1" applyAlignment="1"/>
    <xf numFmtId="0" fontId="7" fillId="0" borderId="10" xfId="65" applyFont="1" applyBorder="1" applyAlignment="1" applyProtection="1">
      <alignment horizontal="center" vertical="center"/>
      <protection locked="0"/>
    </xf>
    <xf numFmtId="0" fontId="6" fillId="0" borderId="14" xfId="65" applyFont="1" applyBorder="1" applyAlignment="1" applyProtection="1">
      <alignment horizontal="center" vertical="center"/>
      <protection locked="0"/>
    </xf>
    <xf numFmtId="0" fontId="7" fillId="0" borderId="14" xfId="65" applyFont="1" applyBorder="1" applyAlignment="1" applyProtection="1">
      <alignment horizontal="center" vertical="center"/>
      <protection locked="0"/>
    </xf>
    <xf numFmtId="0" fontId="7" fillId="0" borderId="11" xfId="65" applyFont="1" applyBorder="1" applyAlignment="1" applyProtection="1">
      <alignment horizontal="center" vertical="center"/>
      <protection locked="0"/>
    </xf>
    <xf numFmtId="0" fontId="7" fillId="0" borderId="12" xfId="65" applyFont="1" applyBorder="1" applyAlignment="1" applyProtection="1">
      <alignment horizontal="center" vertical="center"/>
      <protection locked="0"/>
    </xf>
    <xf numFmtId="0" fontId="7" fillId="0" borderId="15" xfId="65" applyFont="1" applyBorder="1" applyAlignment="1" applyProtection="1">
      <alignment horizontal="center" vertical="center"/>
      <protection locked="0"/>
    </xf>
    <xf numFmtId="0" fontId="13" fillId="0" borderId="0" xfId="0" applyFont="1" applyFill="1" applyAlignment="1"/>
    <xf numFmtId="181" fontId="10" fillId="0" borderId="23" xfId="65" applyNumberFormat="1" applyFont="1" applyBorder="1" applyAlignment="1">
      <alignment horizontal="left" vertical="center"/>
    </xf>
    <xf numFmtId="0" fontId="10" fillId="0" borderId="19" xfId="65" applyFont="1" applyBorder="1" applyAlignment="1">
      <alignment horizontal="center" vertical="center"/>
    </xf>
    <xf numFmtId="1" fontId="6" fillId="0" borderId="14" xfId="65" applyNumberFormat="1" applyFont="1" applyBorder="1" applyAlignment="1">
      <alignment horizontal="center" vertical="center"/>
    </xf>
    <xf numFmtId="181" fontId="10" fillId="0" borderId="14" xfId="65" applyNumberFormat="1" applyFont="1" applyBorder="1" applyAlignment="1" applyProtection="1">
      <alignment horizontal="left" vertical="center"/>
      <protection locked="0"/>
    </xf>
    <xf numFmtId="2" fontId="6" fillId="0" borderId="14" xfId="65" applyNumberFormat="1" applyFont="1" applyBorder="1" applyAlignment="1">
      <alignment horizontal="center" vertical="center"/>
    </xf>
    <xf numFmtId="2" fontId="6" fillId="0" borderId="15" xfId="65" applyNumberFormat="1" applyFont="1" applyBorder="1" applyAlignment="1">
      <alignment horizontal="center" vertical="center"/>
    </xf>
    <xf numFmtId="0" fontId="10" fillId="0" borderId="22" xfId="65" applyFont="1" applyBorder="1" applyAlignment="1">
      <alignment horizontal="left" vertical="center"/>
    </xf>
    <xf numFmtId="0" fontId="14" fillId="2" borderId="25" xfId="65" applyFont="1" applyFill="1" applyBorder="1" applyAlignment="1" applyProtection="1">
      <alignment horizontal="center" vertical="center" wrapText="1"/>
      <protection locked="0"/>
    </xf>
    <xf numFmtId="0" fontId="6" fillId="0" borderId="2" xfId="65" applyFont="1" applyBorder="1" applyAlignment="1" applyProtection="1">
      <alignment horizontal="center" vertical="center"/>
      <protection locked="0"/>
    </xf>
    <xf numFmtId="181" fontId="1" fillId="0" borderId="2" xfId="0" applyNumberFormat="1" applyFont="1" applyFill="1" applyBorder="1" applyAlignment="1" applyProtection="1">
      <protection locked="0"/>
    </xf>
    <xf numFmtId="0" fontId="6" fillId="0" borderId="26" xfId="65" applyFont="1" applyBorder="1" applyAlignment="1" applyProtection="1">
      <alignment horizontal="center" vertical="center"/>
      <protection locked="0"/>
    </xf>
    <xf numFmtId="0" fontId="1" fillId="0" borderId="26" xfId="0" applyFont="1" applyFill="1" applyBorder="1" applyAlignment="1" applyProtection="1">
      <protection locked="0"/>
    </xf>
    <xf numFmtId="0" fontId="15" fillId="0" borderId="0" xfId="0" applyFont="1" applyFill="1" applyAlignment="1"/>
    <xf numFmtId="0" fontId="10" fillId="0" borderId="27" xfId="65" applyFont="1" applyBorder="1" applyAlignment="1">
      <alignment horizontal="left" vertical="center"/>
    </xf>
    <xf numFmtId="0" fontId="1" fillId="0" borderId="28" xfId="0" applyFont="1" applyFill="1" applyBorder="1" applyAlignment="1"/>
    <xf numFmtId="0" fontId="16" fillId="2" borderId="29" xfId="65" applyFont="1" applyFill="1" applyBorder="1" applyAlignment="1">
      <alignment horizontal="center" vertical="center"/>
    </xf>
    <xf numFmtId="0" fontId="6" fillId="0" borderId="0" xfId="65" applyFont="1" applyAlignment="1">
      <alignment vertical="center" wrapText="1"/>
    </xf>
    <xf numFmtId="181" fontId="6" fillId="0" borderId="0" xfId="65" applyNumberFormat="1" applyFont="1" applyAlignment="1">
      <alignment vertical="center" wrapText="1"/>
    </xf>
    <xf numFmtId="0" fontId="6" fillId="0" borderId="4" xfId="65" applyFont="1" applyBorder="1" applyAlignment="1">
      <alignment vertical="center" wrapText="1"/>
    </xf>
    <xf numFmtId="0" fontId="6" fillId="0" borderId="9" xfId="65" applyFont="1" applyBorder="1" applyAlignment="1">
      <alignment vertical="center" wrapText="1"/>
    </xf>
    <xf numFmtId="0" fontId="6" fillId="0" borderId="30" xfId="65" applyFont="1" applyBorder="1" applyAlignment="1" applyProtection="1">
      <alignment horizontal="center" vertical="center" wrapText="1"/>
      <protection locked="0"/>
    </xf>
    <xf numFmtId="0" fontId="1" fillId="0" borderId="0" xfId="0" applyFont="1" applyFill="1" applyAlignment="1" applyProtection="1">
      <protection locked="0"/>
    </xf>
    <xf numFmtId="0" fontId="6" fillId="0" borderId="0" xfId="65" applyFont="1" applyAlignment="1" applyProtection="1">
      <alignment vertical="center" wrapText="1"/>
      <protection locked="0"/>
    </xf>
    <xf numFmtId="0" fontId="11" fillId="0" borderId="0" xfId="65" applyFont="1" applyAlignment="1">
      <alignment horizontal="center" vertical="center" wrapText="1"/>
    </xf>
    <xf numFmtId="181" fontId="11" fillId="0" borderId="0" xfId="65" applyNumberFormat="1" applyFont="1" applyAlignment="1">
      <alignment horizontal="center" vertical="center" wrapText="1"/>
    </xf>
    <xf numFmtId="0" fontId="11" fillId="0" borderId="0" xfId="65" applyFont="1" applyAlignment="1">
      <alignment vertical="center" wrapText="1"/>
    </xf>
    <xf numFmtId="0" fontId="11" fillId="0" borderId="26" xfId="65" applyFont="1" applyBorder="1" applyAlignment="1">
      <alignment horizontal="center" vertical="center" wrapText="1"/>
    </xf>
    <xf numFmtId="0" fontId="1" fillId="0" borderId="31" xfId="0" applyFont="1" applyFill="1" applyBorder="1" applyAlignment="1"/>
    <xf numFmtId="0" fontId="6" fillId="0" borderId="25" xfId="65" applyFont="1" applyBorder="1" applyAlignment="1" applyProtection="1">
      <alignment vertical="center" wrapText="1"/>
      <protection locked="0"/>
    </xf>
    <xf numFmtId="0" fontId="6" fillId="0" borderId="2" xfId="65" applyFont="1" applyBorder="1" applyAlignment="1" applyProtection="1">
      <alignment vertical="center" wrapText="1"/>
      <protection locked="0"/>
    </xf>
    <xf numFmtId="0" fontId="11" fillId="0" borderId="2" xfId="65" applyFont="1" applyBorder="1" applyAlignment="1">
      <alignment vertical="center" wrapText="1"/>
    </xf>
    <xf numFmtId="181" fontId="11" fillId="0" borderId="2" xfId="65" applyNumberFormat="1" applyFont="1" applyBorder="1" applyAlignment="1">
      <alignment vertical="center" wrapText="1"/>
    </xf>
    <xf numFmtId="0" fontId="1" fillId="0" borderId="26" xfId="0" applyFont="1" applyFill="1" applyBorder="1" applyAlignment="1"/>
    <xf numFmtId="0" fontId="10" fillId="0" borderId="27" xfId="65" applyFont="1" applyBorder="1" applyAlignment="1">
      <alignment horizontal="center" vertical="center"/>
    </xf>
    <xf numFmtId="0" fontId="10" fillId="0" borderId="29" xfId="65" applyFont="1" applyBorder="1" applyAlignment="1">
      <alignment horizontal="center" vertical="center"/>
    </xf>
    <xf numFmtId="181" fontId="10" fillId="0" borderId="32" xfId="65" applyNumberFormat="1" applyFont="1" applyBorder="1" applyAlignment="1">
      <alignment horizontal="center" vertical="center"/>
    </xf>
    <xf numFmtId="0" fontId="1" fillId="0" borderId="33" xfId="0" applyFont="1" applyFill="1" applyBorder="1" applyAlignment="1"/>
    <xf numFmtId="0" fontId="10" fillId="0" borderId="34" xfId="65" applyFont="1" applyBorder="1" applyAlignment="1">
      <alignment horizontal="center" vertical="center"/>
    </xf>
    <xf numFmtId="0" fontId="10" fillId="0" borderId="35" xfId="65" applyFont="1" applyBorder="1" applyAlignment="1">
      <alignment horizontal="center" vertical="center"/>
    </xf>
    <xf numFmtId="0" fontId="1" fillId="0" borderId="34" xfId="0" applyFont="1" applyFill="1" applyBorder="1" applyAlignment="1"/>
    <xf numFmtId="0" fontId="10" fillId="0" borderId="36" xfId="65" applyFont="1" applyBorder="1" applyAlignment="1">
      <alignment horizontal="center" vertical="center"/>
    </xf>
    <xf numFmtId="0" fontId="1" fillId="0" borderId="36" xfId="0" applyFont="1" applyFill="1" applyBorder="1" applyAlignment="1"/>
    <xf numFmtId="0" fontId="10" fillId="0" borderId="37" xfId="65" applyFont="1" applyBorder="1" applyAlignment="1">
      <alignment vertical="center"/>
    </xf>
    <xf numFmtId="0" fontId="10" fillId="0" borderId="38" xfId="65" applyFont="1" applyBorder="1" applyAlignment="1">
      <alignment horizontal="center" vertical="center"/>
    </xf>
    <xf numFmtId="0" fontId="10" fillId="0" borderId="1" xfId="65" applyFont="1" applyBorder="1" applyAlignment="1">
      <alignment horizontal="center" vertical="center"/>
    </xf>
    <xf numFmtId="0" fontId="6" fillId="0" borderId="39" xfId="65" applyFont="1" applyBorder="1" applyAlignment="1" applyProtection="1">
      <alignment horizontal="center" vertical="center"/>
      <protection locked="0"/>
    </xf>
    <xf numFmtId="0" fontId="7" fillId="0" borderId="1" xfId="65" applyFont="1" applyBorder="1" applyAlignment="1">
      <alignment horizontal="center" vertical="center" shrinkToFit="1"/>
    </xf>
    <xf numFmtId="0" fontId="1" fillId="0" borderId="40" xfId="0" applyFont="1" applyFill="1" applyBorder="1" applyAlignment="1"/>
    <xf numFmtId="0" fontId="17" fillId="0" borderId="41" xfId="65" applyFont="1" applyBorder="1" applyAlignment="1">
      <alignment horizontal="center" vertical="center" wrapText="1" shrinkToFit="1"/>
    </xf>
    <xf numFmtId="0" fontId="17" fillId="0" borderId="1" xfId="65" applyFont="1" applyBorder="1" applyAlignment="1">
      <alignment horizontal="left" vertical="center" wrapText="1" shrinkToFit="1"/>
    </xf>
    <xf numFmtId="181" fontId="6" fillId="0" borderId="42" xfId="65" applyNumberFormat="1" applyFont="1" applyBorder="1" applyAlignment="1" applyProtection="1">
      <alignment horizontal="center" vertical="center"/>
      <protection locked="0"/>
    </xf>
    <xf numFmtId="182" fontId="6" fillId="0" borderId="42" xfId="65" applyNumberFormat="1" applyFont="1" applyBorder="1" applyAlignment="1" applyProtection="1">
      <alignment horizontal="center" vertical="center"/>
      <protection locked="0"/>
    </xf>
    <xf numFmtId="0" fontId="1" fillId="0" borderId="43" xfId="65" applyFont="1" applyBorder="1" applyAlignment="1" applyProtection="1">
      <alignment horizontal="center" vertical="center"/>
      <protection locked="0"/>
    </xf>
    <xf numFmtId="0" fontId="1" fillId="0" borderId="44" xfId="65" applyFont="1" applyBorder="1" applyAlignment="1" applyProtection="1">
      <alignment horizontal="center" vertical="center"/>
      <protection locked="0"/>
    </xf>
    <xf numFmtId="0" fontId="1" fillId="0" borderId="42" xfId="0" applyFont="1" applyFill="1" applyBorder="1" applyAlignment="1" applyProtection="1">
      <protection locked="0"/>
    </xf>
    <xf numFmtId="0" fontId="7" fillId="0" borderId="44" xfId="65" applyFont="1" applyBorder="1" applyAlignment="1" applyProtection="1">
      <alignment horizontal="center" vertical="center" shrinkToFit="1"/>
      <protection locked="0"/>
    </xf>
    <xf numFmtId="0" fontId="7" fillId="0" borderId="44" xfId="65" applyFont="1" applyBorder="1" applyAlignment="1">
      <alignment horizontal="center" vertical="center" shrinkToFit="1"/>
    </xf>
    <xf numFmtId="0" fontId="7" fillId="0" borderId="44" xfId="65" applyFont="1" applyBorder="1" applyAlignment="1">
      <alignment horizontal="center" vertical="center"/>
    </xf>
    <xf numFmtId="0" fontId="1" fillId="0" borderId="43" xfId="65" applyFont="1" applyBorder="1" applyAlignment="1">
      <alignment horizontal="center" vertical="center"/>
    </xf>
    <xf numFmtId="0" fontId="8" fillId="0" borderId="41" xfId="65" applyBorder="1" applyAlignment="1">
      <alignment horizontal="center" vertical="center" wrapText="1" shrinkToFit="1"/>
    </xf>
    <xf numFmtId="0" fontId="8" fillId="0" borderId="1" xfId="65" applyBorder="1" applyAlignment="1">
      <alignment horizontal="center" vertical="center" wrapText="1" shrinkToFit="1"/>
    </xf>
    <xf numFmtId="0" fontId="7" fillId="0" borderId="1" xfId="65" applyFont="1" applyBorder="1" applyAlignment="1">
      <alignment horizontal="center" vertical="center"/>
    </xf>
    <xf numFmtId="0" fontId="8" fillId="0" borderId="42" xfId="65" applyBorder="1" applyAlignment="1">
      <alignment horizontal="left" vertical="center" wrapText="1" shrinkToFit="1"/>
    </xf>
    <xf numFmtId="0" fontId="1" fillId="0" borderId="41" xfId="0" applyFont="1" applyFill="1" applyBorder="1" applyAlignment="1"/>
    <xf numFmtId="0" fontId="1" fillId="0" borderId="42" xfId="0" applyFont="1" applyFill="1" applyBorder="1" applyAlignment="1"/>
    <xf numFmtId="181" fontId="6" fillId="0" borderId="44" xfId="65" applyNumberFormat="1" applyFont="1" applyBorder="1" applyAlignment="1" applyProtection="1">
      <alignment horizontal="right" vertical="center"/>
      <protection locked="0"/>
    </xf>
    <xf numFmtId="183" fontId="7" fillId="0" borderId="44" xfId="65" applyNumberFormat="1" applyFont="1" applyBorder="1" applyAlignment="1" applyProtection="1">
      <alignment horizontal="center" vertical="center" shrinkToFit="1"/>
      <protection locked="0"/>
    </xf>
    <xf numFmtId="183" fontId="7" fillId="0" borderId="44" xfId="65" applyNumberFormat="1" applyFont="1" applyBorder="1" applyAlignment="1">
      <alignment vertical="center" shrinkToFit="1"/>
    </xf>
    <xf numFmtId="0" fontId="7" fillId="0" borderId="44" xfId="65" applyFont="1" applyBorder="1" applyAlignment="1">
      <alignment horizontal="left" vertical="center"/>
    </xf>
    <xf numFmtId="0" fontId="1" fillId="0" borderId="43" xfId="65" applyFont="1" applyBorder="1" applyAlignment="1">
      <alignment horizontal="left" vertical="center"/>
    </xf>
    <xf numFmtId="0" fontId="18" fillId="0" borderId="23" xfId="65" applyFont="1" applyBorder="1" applyAlignment="1" applyProtection="1">
      <alignment horizontal="left" vertical="top"/>
      <protection locked="0"/>
    </xf>
    <xf numFmtId="0" fontId="19" fillId="0" borderId="18" xfId="65" applyFont="1" applyBorder="1" applyAlignment="1" applyProtection="1">
      <alignment horizontal="left" vertical="top"/>
      <protection locked="0"/>
    </xf>
    <xf numFmtId="181" fontId="19" fillId="0" borderId="18" xfId="65" applyNumberFormat="1" applyFont="1" applyBorder="1" applyAlignment="1" applyProtection="1">
      <alignment horizontal="left" vertical="top"/>
      <protection locked="0"/>
    </xf>
    <xf numFmtId="0" fontId="19" fillId="0" borderId="18" xfId="65" applyFont="1" applyBorder="1" applyAlignment="1" applyProtection="1">
      <alignment horizontal="center" vertical="top"/>
      <protection locked="0"/>
    </xf>
    <xf numFmtId="0" fontId="1" fillId="0" borderId="18" xfId="0" applyFont="1" applyFill="1" applyBorder="1" applyAlignment="1" applyProtection="1">
      <protection locked="0"/>
    </xf>
    <xf numFmtId="183" fontId="19" fillId="0" borderId="18" xfId="65" applyNumberFormat="1" applyFont="1" applyBorder="1" applyAlignment="1" applyProtection="1">
      <alignment horizontal="center" vertical="top"/>
      <protection locked="0"/>
    </xf>
    <xf numFmtId="0" fontId="19" fillId="0" borderId="19" xfId="65" applyFont="1" applyBorder="1" applyAlignment="1" applyProtection="1">
      <alignment horizontal="left" vertical="top"/>
      <protection locked="0"/>
    </xf>
    <xf numFmtId="0" fontId="18" fillId="0" borderId="45" xfId="65" applyFont="1" applyBorder="1" applyAlignment="1" applyProtection="1">
      <alignment horizontal="left" vertical="top"/>
      <protection locked="0"/>
    </xf>
    <xf numFmtId="0" fontId="19" fillId="0" borderId="0" xfId="65" applyFont="1" applyAlignment="1" applyProtection="1">
      <alignment horizontal="left" vertical="top"/>
      <protection locked="0"/>
    </xf>
    <xf numFmtId="181" fontId="19" fillId="0" borderId="0" xfId="65" applyNumberFormat="1" applyFont="1" applyAlignment="1" applyProtection="1">
      <alignment horizontal="left" vertical="top"/>
      <protection locked="0"/>
    </xf>
    <xf numFmtId="0" fontId="19" fillId="0" borderId="46" xfId="65" applyFont="1" applyBorder="1" applyAlignment="1" applyProtection="1">
      <alignment horizontal="left" vertical="top"/>
      <protection locked="0"/>
    </xf>
    <xf numFmtId="0" fontId="19" fillId="0" borderId="13" xfId="65" applyFont="1" applyBorder="1" applyAlignment="1" applyProtection="1">
      <alignment horizontal="left" vertical="top"/>
      <protection locked="0"/>
    </xf>
    <xf numFmtId="0" fontId="19" fillId="0" borderId="11" xfId="65" applyFont="1" applyBorder="1" applyAlignment="1" applyProtection="1">
      <alignment horizontal="left" vertical="top"/>
      <protection locked="0"/>
    </xf>
    <xf numFmtId="181" fontId="19" fillId="0" borderId="11" xfId="65" applyNumberFormat="1" applyFont="1" applyBorder="1" applyAlignment="1" applyProtection="1">
      <alignment horizontal="left" vertical="top"/>
      <protection locked="0"/>
    </xf>
    <xf numFmtId="0" fontId="19" fillId="0" borderId="12" xfId="65" applyFont="1" applyBorder="1" applyAlignment="1" applyProtection="1">
      <alignment horizontal="left" vertical="top"/>
      <protection locked="0"/>
    </xf>
    <xf numFmtId="0" fontId="18" fillId="0" borderId="23" xfId="65" applyFont="1" applyBorder="1" applyAlignment="1">
      <alignment horizontal="left" vertical="center"/>
    </xf>
    <xf numFmtId="0" fontId="18" fillId="0" borderId="18" xfId="65" applyFont="1" applyBorder="1" applyAlignment="1">
      <alignment horizontal="left" vertical="center"/>
    </xf>
    <xf numFmtId="0" fontId="18" fillId="0" borderId="19" xfId="65" applyFont="1" applyBorder="1" applyAlignment="1">
      <alignment horizontal="left" vertical="center"/>
    </xf>
    <xf numFmtId="0" fontId="18" fillId="0" borderId="20" xfId="65" applyFont="1" applyBorder="1" applyAlignment="1">
      <alignment horizontal="center" vertical="center" wrapText="1"/>
    </xf>
    <xf numFmtId="0" fontId="19" fillId="0" borderId="13" xfId="65" applyFont="1" applyBorder="1" applyAlignment="1" applyProtection="1">
      <alignment horizontal="center" vertical="center"/>
      <protection locked="0"/>
    </xf>
    <xf numFmtId="0" fontId="19" fillId="0" borderId="11" xfId="65" applyFont="1" applyBorder="1" applyAlignment="1">
      <alignment horizontal="center" vertical="center"/>
    </xf>
    <xf numFmtId="184" fontId="19" fillId="0" borderId="11" xfId="65" applyNumberFormat="1" applyFont="1" applyBorder="1" applyAlignment="1">
      <alignment horizontal="center" vertical="center" wrapText="1"/>
    </xf>
    <xf numFmtId="184" fontId="19" fillId="0" borderId="12" xfId="65" applyNumberFormat="1" applyFont="1" applyBorder="1" applyAlignment="1">
      <alignment horizontal="center" vertical="center" wrapText="1"/>
    </xf>
    <xf numFmtId="184" fontId="19" fillId="0" borderId="0" xfId="65" applyNumberFormat="1" applyFont="1" applyAlignment="1">
      <alignment horizontal="center" vertical="center" wrapText="1"/>
    </xf>
    <xf numFmtId="181" fontId="19" fillId="0" borderId="0" xfId="65" applyNumberFormat="1" applyFont="1" applyAlignment="1" applyProtection="1">
      <alignment horizontal="right" vertical="center"/>
      <protection locked="0"/>
    </xf>
    <xf numFmtId="0" fontId="19" fillId="0" borderId="0" xfId="65" applyFont="1" applyAlignment="1" applyProtection="1">
      <alignment horizontal="center" vertical="center" wrapText="1"/>
      <protection locked="0"/>
    </xf>
    <xf numFmtId="0" fontId="19" fillId="0" borderId="46" xfId="65" applyFont="1" applyBorder="1" applyAlignment="1" applyProtection="1">
      <alignment horizontal="center" vertical="center" wrapText="1"/>
      <protection locked="0"/>
    </xf>
    <xf numFmtId="0" fontId="18" fillId="0" borderId="0" xfId="65" applyFont="1" applyAlignment="1">
      <alignment horizontal="center" vertical="center"/>
    </xf>
    <xf numFmtId="0" fontId="18" fillId="0" borderId="0" xfId="65" applyFont="1" applyAlignment="1">
      <alignment horizontal="left" vertical="center"/>
    </xf>
    <xf numFmtId="2" fontId="18" fillId="0" borderId="46" xfId="65" applyNumberFormat="1" applyFont="1" applyBorder="1" applyAlignment="1">
      <alignment vertical="center"/>
    </xf>
    <xf numFmtId="0" fontId="18" fillId="0" borderId="45" xfId="65" applyFont="1" applyBorder="1" applyAlignment="1" applyProtection="1">
      <alignment vertical="center"/>
      <protection locked="0"/>
    </xf>
    <xf numFmtId="0" fontId="19" fillId="0" borderId="0" xfId="65" applyFont="1" applyAlignment="1">
      <alignment horizontal="center" vertical="center"/>
    </xf>
    <xf numFmtId="0" fontId="18" fillId="0" borderId="45" xfId="65" applyFont="1" applyBorder="1" applyAlignment="1" applyProtection="1">
      <alignment horizontal="center" vertical="center" wrapText="1"/>
      <protection locked="0"/>
    </xf>
    <xf numFmtId="0" fontId="18" fillId="0" borderId="0" xfId="0" applyFont="1" applyFill="1" applyAlignment="1">
      <alignment horizontal="center" vertical="center"/>
    </xf>
    <xf numFmtId="0" fontId="18" fillId="0" borderId="46" xfId="65" applyFont="1" applyBorder="1" applyAlignment="1">
      <alignment horizontal="left" vertical="center"/>
    </xf>
    <xf numFmtId="0" fontId="19" fillId="0" borderId="45" xfId="65" applyFont="1" applyBorder="1" applyAlignment="1" applyProtection="1">
      <alignment horizontal="center" vertical="center"/>
      <protection locked="0"/>
    </xf>
    <xf numFmtId="184" fontId="18" fillId="0" borderId="0" xfId="65" applyNumberFormat="1" applyFont="1" applyAlignment="1">
      <alignment horizontal="center" vertical="center" wrapText="1"/>
    </xf>
    <xf numFmtId="0" fontId="18" fillId="0" borderId="13" xfId="65" applyFont="1" applyBorder="1" applyAlignment="1">
      <alignment horizontal="center" vertical="center"/>
    </xf>
    <xf numFmtId="0" fontId="18" fillId="0" borderId="11" xfId="65" applyFont="1" applyBorder="1" applyAlignment="1">
      <alignment horizontal="center" vertical="center"/>
    </xf>
    <xf numFmtId="0" fontId="18" fillId="0" borderId="11" xfId="65" applyFont="1" applyBorder="1" applyAlignment="1">
      <alignment horizontal="left" vertical="center"/>
    </xf>
    <xf numFmtId="0" fontId="18" fillId="0" borderId="12" xfId="65" applyFont="1" applyBorder="1" applyAlignment="1" applyProtection="1">
      <alignment vertical="center"/>
      <protection locked="0"/>
    </xf>
    <xf numFmtId="181" fontId="19" fillId="0" borderId="0" xfId="65" applyNumberFormat="1" applyFont="1" applyAlignment="1" applyProtection="1">
      <alignment horizontal="center" vertical="center" wrapText="1"/>
      <protection locked="0"/>
    </xf>
    <xf numFmtId="0" fontId="18" fillId="0" borderId="23" xfId="65" applyFont="1" applyBorder="1" applyAlignment="1" applyProtection="1">
      <alignment horizontal="center" vertical="center" wrapText="1"/>
      <protection locked="0"/>
    </xf>
    <xf numFmtId="0" fontId="18" fillId="0" borderId="46" xfId="65" applyFont="1" applyBorder="1" applyAlignment="1">
      <alignment horizontal="center" vertical="center"/>
    </xf>
    <xf numFmtId="0" fontId="18" fillId="0" borderId="13" xfId="65" applyFont="1" applyBorder="1" applyAlignment="1" applyProtection="1">
      <alignment horizontal="center" vertical="center"/>
      <protection locked="0"/>
    </xf>
    <xf numFmtId="184" fontId="18" fillId="0" borderId="11" xfId="65" applyNumberFormat="1" applyFont="1" applyBorder="1" applyAlignment="1">
      <alignment horizontal="center" vertical="center" wrapText="1"/>
    </xf>
    <xf numFmtId="181" fontId="18" fillId="0" borderId="11" xfId="65" applyNumberFormat="1" applyFont="1" applyBorder="1" applyAlignment="1" applyProtection="1">
      <alignment horizontal="center" vertical="center" wrapText="1"/>
      <protection locked="0"/>
    </xf>
    <xf numFmtId="0" fontId="19" fillId="0" borderId="11" xfId="65" applyFont="1" applyBorder="1" applyAlignment="1" applyProtection="1">
      <alignment horizontal="center" vertical="center" wrapText="1"/>
      <protection locked="0"/>
    </xf>
    <xf numFmtId="0" fontId="19" fillId="0" borderId="12" xfId="65" applyFont="1" applyBorder="1" applyAlignment="1" applyProtection="1">
      <alignment horizontal="center" vertical="center" wrapText="1"/>
      <protection locked="0"/>
    </xf>
    <xf numFmtId="0" fontId="18" fillId="0" borderId="11" xfId="65" applyFont="1" applyBorder="1" applyAlignment="1">
      <alignment vertical="center"/>
    </xf>
    <xf numFmtId="0" fontId="18" fillId="0" borderId="12" xfId="65" applyFont="1" applyBorder="1" applyAlignment="1">
      <alignment vertical="center"/>
    </xf>
    <xf numFmtId="0" fontId="20" fillId="0" borderId="0" xfId="64" applyFont="1" applyAlignment="1">
      <alignment horizontal="center" vertical="center"/>
    </xf>
    <xf numFmtId="0" fontId="20" fillId="0" borderId="0" xfId="64" applyFont="1"/>
    <xf numFmtId="0" fontId="1" fillId="0" borderId="0" xfId="64"/>
    <xf numFmtId="0" fontId="21" fillId="0" borderId="0" xfId="64" applyFont="1" applyAlignment="1">
      <alignment horizontal="center"/>
    </xf>
    <xf numFmtId="0" fontId="22" fillId="0" borderId="0" xfId="64" applyFont="1" applyAlignment="1">
      <alignment horizontal="center"/>
    </xf>
    <xf numFmtId="14" fontId="1" fillId="0" borderId="0" xfId="64" applyNumberFormat="1" applyAlignment="1">
      <alignment horizontal="center"/>
    </xf>
    <xf numFmtId="0" fontId="20" fillId="0" borderId="0" xfId="64" applyFont="1" applyAlignment="1">
      <alignment horizontal="left"/>
    </xf>
    <xf numFmtId="0" fontId="1" fillId="0" borderId="0" xfId="64" applyAlignment="1">
      <alignment horizontal="left"/>
    </xf>
    <xf numFmtId="0" fontId="1" fillId="0" borderId="20" xfId="64" applyBorder="1" applyAlignment="1">
      <alignment horizontal="center"/>
    </xf>
    <xf numFmtId="0" fontId="1" fillId="0" borderId="23" xfId="64" applyBorder="1" applyAlignment="1">
      <alignment horizontal="center"/>
    </xf>
    <xf numFmtId="0" fontId="1" fillId="0" borderId="14" xfId="64" applyBorder="1" applyAlignment="1">
      <alignment horizontal="center"/>
    </xf>
    <xf numFmtId="0" fontId="1" fillId="0" borderId="13" xfId="64" applyBorder="1" applyAlignment="1">
      <alignment horizontal="center"/>
    </xf>
    <xf numFmtId="0" fontId="1" fillId="0" borderId="1" xfId="64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 wrapText="1"/>
    </xf>
    <xf numFmtId="0" fontId="20" fillId="0" borderId="1" xfId="64" applyFont="1" applyBorder="1" applyAlignment="1">
      <alignment horizontal="left" vertical="center" wrapText="1"/>
    </xf>
    <xf numFmtId="0" fontId="20" fillId="0" borderId="23" xfId="64" applyFont="1" applyBorder="1" applyAlignment="1">
      <alignment horizontal="center" vertical="center"/>
    </xf>
    <xf numFmtId="0" fontId="20" fillId="0" borderId="40" xfId="64" applyFont="1" applyBorder="1" applyAlignment="1">
      <alignment horizontal="center" vertical="center" wrapText="1"/>
    </xf>
    <xf numFmtId="0" fontId="20" fillId="0" borderId="1" xfId="64" applyFont="1" applyBorder="1" applyAlignment="1">
      <alignment horizontal="center" vertical="center"/>
    </xf>
    <xf numFmtId="185" fontId="20" fillId="0" borderId="47" xfId="64" applyNumberFormat="1" applyFont="1" applyBorder="1" applyAlignment="1">
      <alignment horizontal="center" vertical="center"/>
    </xf>
    <xf numFmtId="185" fontId="20" fillId="0" borderId="1" xfId="64" applyNumberFormat="1" applyFont="1" applyBorder="1" applyAlignment="1">
      <alignment horizontal="center" vertical="center"/>
    </xf>
    <xf numFmtId="0" fontId="20" fillId="0" borderId="1" xfId="64" applyFont="1" applyBorder="1" applyAlignment="1">
      <alignment horizontal="center" vertical="center" wrapText="1"/>
    </xf>
    <xf numFmtId="0" fontId="20" fillId="0" borderId="23" xfId="64" applyFont="1" applyBorder="1" applyAlignment="1">
      <alignment vertical="center" wrapText="1"/>
    </xf>
    <xf numFmtId="0" fontId="20" fillId="0" borderId="18" xfId="64" applyFont="1" applyBorder="1" applyAlignment="1">
      <alignment horizontal="center" vertical="center"/>
    </xf>
    <xf numFmtId="0" fontId="20" fillId="0" borderId="19" xfId="64" applyFont="1" applyBorder="1" applyAlignment="1">
      <alignment vertical="center"/>
    </xf>
    <xf numFmtId="0" fontId="20" fillId="0" borderId="23" xfId="64" applyFont="1" applyBorder="1" applyAlignment="1">
      <alignment vertical="center"/>
    </xf>
    <xf numFmtId="185" fontId="20" fillId="0" borderId="23" xfId="64" applyNumberFormat="1" applyFont="1" applyBorder="1" applyAlignment="1">
      <alignment vertical="center"/>
    </xf>
    <xf numFmtId="185" fontId="20" fillId="0" borderId="20" xfId="64" applyNumberFormat="1" applyFont="1" applyBorder="1" applyAlignment="1">
      <alignment vertical="center"/>
    </xf>
    <xf numFmtId="0" fontId="1" fillId="0" borderId="23" xfId="64" applyBorder="1"/>
    <xf numFmtId="0" fontId="1" fillId="0" borderId="18" xfId="64" applyBorder="1"/>
    <xf numFmtId="0" fontId="1" fillId="0" borderId="19" xfId="64" applyBorder="1"/>
    <xf numFmtId="182" fontId="1" fillId="0" borderId="23" xfId="64" applyNumberFormat="1" applyBorder="1"/>
    <xf numFmtId="185" fontId="1" fillId="0" borderId="23" xfId="64" applyNumberFormat="1" applyBorder="1"/>
    <xf numFmtId="185" fontId="1" fillId="0" borderId="20" xfId="64" applyNumberFormat="1" applyBorder="1"/>
    <xf numFmtId="0" fontId="1" fillId="0" borderId="13" xfId="64" applyBorder="1"/>
    <xf numFmtId="0" fontId="1" fillId="0" borderId="11" xfId="64" applyBorder="1"/>
    <xf numFmtId="0" fontId="1" fillId="0" borderId="12" xfId="64" applyBorder="1"/>
    <xf numFmtId="0" fontId="1" fillId="0" borderId="14" xfId="64" applyBorder="1"/>
    <xf numFmtId="0" fontId="24" fillId="0" borderId="0" xfId="58" applyFont="1" applyAlignment="1">
      <alignment vertical="center" wrapText="1"/>
    </xf>
    <xf numFmtId="0" fontId="24" fillId="0" borderId="0" xfId="58" applyFont="1" applyAlignment="1">
      <alignment vertical="center"/>
    </xf>
    <xf numFmtId="0" fontId="24" fillId="0" borderId="0" xfId="58" applyNumberFormat="1" applyFont="1" applyAlignment="1">
      <alignment vertical="center"/>
    </xf>
    <xf numFmtId="0" fontId="25" fillId="0" borderId="0" xfId="58" applyFont="1" applyAlignment="1">
      <alignment horizontal="center"/>
    </xf>
    <xf numFmtId="0" fontId="25" fillId="0" borderId="0" xfId="58" applyNumberFormat="1" applyFont="1" applyAlignment="1">
      <alignment horizontal="center"/>
    </xf>
    <xf numFmtId="0" fontId="26" fillId="0" borderId="0" xfId="58" applyFont="1" applyAlignment="1">
      <alignment horizontal="center" vertical="top"/>
    </xf>
    <xf numFmtId="0" fontId="26" fillId="0" borderId="0" xfId="58" applyNumberFormat="1" applyFont="1" applyAlignment="1">
      <alignment horizontal="center" vertical="top"/>
    </xf>
    <xf numFmtId="0" fontId="27" fillId="0" borderId="0" xfId="58" applyFont="1" applyAlignment="1">
      <alignment horizontal="center" vertical="center"/>
    </xf>
    <xf numFmtId="0" fontId="27" fillId="0" borderId="0" xfId="58" applyNumberFormat="1" applyFont="1" applyAlignment="1">
      <alignment horizontal="center" vertical="center"/>
    </xf>
    <xf numFmtId="0" fontId="24" fillId="0" borderId="48" xfId="58" applyFont="1" applyBorder="1" applyAlignment="1">
      <alignment horizontal="right" vertical="center"/>
    </xf>
    <xf numFmtId="0" fontId="24" fillId="0" borderId="49" xfId="58" applyFont="1" applyBorder="1" applyAlignment="1">
      <alignment horizontal="left" vertical="center" wrapText="1"/>
    </xf>
    <xf numFmtId="0" fontId="23" fillId="0" borderId="4" xfId="0" applyFont="1" applyFill="1" applyBorder="1" applyAlignment="1"/>
    <xf numFmtId="0" fontId="23" fillId="0" borderId="9" xfId="0" applyFont="1" applyFill="1" applyBorder="1" applyAlignment="1"/>
    <xf numFmtId="0" fontId="24" fillId="0" borderId="50" xfId="58" applyFont="1" applyBorder="1" applyAlignment="1">
      <alignment horizontal="center" vertical="center"/>
    </xf>
    <xf numFmtId="0" fontId="23" fillId="0" borderId="51" xfId="0" applyFont="1" applyFill="1" applyBorder="1" applyAlignment="1"/>
    <xf numFmtId="0" fontId="24" fillId="0" borderId="52" xfId="58" applyNumberFormat="1" applyFont="1" applyBorder="1" applyAlignment="1">
      <alignment horizontal="center" vertical="center"/>
    </xf>
    <xf numFmtId="0" fontId="24" fillId="0" borderId="53" xfId="58" applyFont="1" applyBorder="1" applyAlignment="1">
      <alignment horizontal="right" vertical="center"/>
    </xf>
    <xf numFmtId="0" fontId="24" fillId="0" borderId="54" xfId="58" applyFont="1" applyBorder="1" applyAlignment="1">
      <alignment horizontal="left" vertical="center" wrapText="1"/>
    </xf>
    <xf numFmtId="0" fontId="23" fillId="0" borderId="31" xfId="0" applyFont="1" applyFill="1" applyBorder="1" applyAlignment="1"/>
    <xf numFmtId="0" fontId="23" fillId="0" borderId="55" xfId="0" applyFont="1" applyFill="1" applyBorder="1" applyAlignment="1"/>
    <xf numFmtId="0" fontId="23" fillId="0" borderId="56" xfId="0" applyFont="1" applyFill="1" applyBorder="1" applyAlignment="1"/>
    <xf numFmtId="0" fontId="23" fillId="0" borderId="57" xfId="0" applyNumberFormat="1" applyFont="1" applyFill="1" applyBorder="1" applyAlignment="1"/>
    <xf numFmtId="0" fontId="24" fillId="0" borderId="58" xfId="58" applyFont="1" applyBorder="1" applyAlignment="1">
      <alignment horizontal="center" vertical="center"/>
    </xf>
    <xf numFmtId="0" fontId="23" fillId="0" borderId="59" xfId="0" applyFont="1" applyFill="1" applyBorder="1" applyAlignment="1"/>
    <xf numFmtId="0" fontId="24" fillId="0" borderId="60" xfId="58" applyNumberFormat="1" applyFont="1" applyBorder="1" applyAlignment="1">
      <alignment horizontal="center" vertical="center"/>
    </xf>
    <xf numFmtId="0" fontId="24" fillId="0" borderId="61" xfId="58" applyFont="1" applyBorder="1" applyAlignment="1">
      <alignment horizontal="right" vertical="center"/>
    </xf>
    <xf numFmtId="0" fontId="24" fillId="0" borderId="62" xfId="58" applyFont="1" applyBorder="1" applyAlignment="1">
      <alignment horizontal="left" vertical="center" wrapText="1"/>
    </xf>
    <xf numFmtId="0" fontId="23" fillId="0" borderId="2" xfId="0" applyFont="1" applyFill="1" applyBorder="1" applyAlignment="1"/>
    <xf numFmtId="0" fontId="23" fillId="0" borderId="26" xfId="0" applyFont="1" applyFill="1" applyBorder="1" applyAlignment="1"/>
    <xf numFmtId="0" fontId="24" fillId="0" borderId="49" xfId="58" applyFont="1" applyBorder="1" applyAlignment="1">
      <alignment horizontal="left" vertical="center"/>
    </xf>
    <xf numFmtId="0" fontId="24" fillId="0" borderId="63" xfId="58" applyFont="1" applyBorder="1" applyAlignment="1">
      <alignment horizontal="center" vertical="center"/>
    </xf>
    <xf numFmtId="0" fontId="23" fillId="0" borderId="4" xfId="0" applyNumberFormat="1" applyFont="1" applyFill="1" applyBorder="1" applyAlignment="1"/>
    <xf numFmtId="0" fontId="23" fillId="0" borderId="25" xfId="0" applyFont="1" applyFill="1" applyBorder="1" applyAlignment="1"/>
    <xf numFmtId="0" fontId="23" fillId="0" borderId="2" xfId="0" applyNumberFormat="1" applyFont="1" applyFill="1" applyBorder="1" applyAlignment="1"/>
    <xf numFmtId="0" fontId="24" fillId="0" borderId="0" xfId="58" applyFont="1" applyAlignment="1">
      <alignment horizontal="left" vertical="center"/>
    </xf>
    <xf numFmtId="0" fontId="24" fillId="0" borderId="0" xfId="58" applyNumberFormat="1" applyFont="1" applyAlignment="1">
      <alignment horizontal="left" vertical="center"/>
    </xf>
    <xf numFmtId="0" fontId="24" fillId="0" borderId="64" xfId="58" applyFont="1" applyBorder="1" applyAlignment="1">
      <alignment horizontal="left" vertical="center"/>
    </xf>
    <xf numFmtId="0" fontId="24" fillId="0" borderId="65" xfId="58" applyFont="1" applyBorder="1" applyAlignment="1">
      <alignment horizontal="left" vertical="center"/>
    </xf>
    <xf numFmtId="0" fontId="24" fillId="0" borderId="1" xfId="58" applyFont="1" applyBorder="1" applyAlignment="1">
      <alignment vertical="center" wrapText="1"/>
    </xf>
    <xf numFmtId="0" fontId="24" fillId="0" borderId="1" xfId="58" applyFont="1" applyBorder="1" applyAlignment="1">
      <alignment horizontal="center" vertical="center" wrapText="1"/>
    </xf>
    <xf numFmtId="0" fontId="23" fillId="0" borderId="1" xfId="0" applyFont="1" applyFill="1" applyBorder="1" applyAlignment="1"/>
    <xf numFmtId="0" fontId="24" fillId="0" borderId="1" xfId="58" applyNumberFormat="1" applyFont="1" applyBorder="1" applyAlignment="1">
      <alignment horizontal="center" vertical="center" wrapText="1"/>
    </xf>
    <xf numFmtId="0" fontId="24" fillId="0" borderId="1" xfId="58" applyFont="1" applyBorder="1" applyAlignment="1">
      <alignment horizontal="center" vertical="center"/>
    </xf>
    <xf numFmtId="0" fontId="24" fillId="0" borderId="1" xfId="58" applyNumberFormat="1" applyFont="1" applyBorder="1" applyAlignment="1">
      <alignment horizontal="center" vertical="center"/>
    </xf>
    <xf numFmtId="0" fontId="23" fillId="0" borderId="0" xfId="58" applyFont="1" applyAlignment="1">
      <alignment horizontal="center" vertical="center" wrapText="1"/>
    </xf>
    <xf numFmtId="0" fontId="23" fillId="0" borderId="0" xfId="0" applyFont="1" applyFill="1" applyAlignment="1">
      <alignment vertical="center"/>
    </xf>
    <xf numFmtId="0" fontId="24" fillId="0" borderId="1" xfId="58" applyFont="1" applyBorder="1" applyAlignment="1">
      <alignment horizontal="left" vertical="center" wrapText="1"/>
    </xf>
    <xf numFmtId="1" fontId="24" fillId="0" borderId="1" xfId="58" applyNumberFormat="1" applyFont="1" applyBorder="1" applyAlignment="1">
      <alignment horizontal="center" vertical="center"/>
    </xf>
    <xf numFmtId="0" fontId="24" fillId="0" borderId="25" xfId="58" applyFont="1" applyBorder="1" applyAlignment="1">
      <alignment horizontal="center" vertical="center"/>
    </xf>
    <xf numFmtId="0" fontId="24" fillId="0" borderId="65" xfId="58" applyFont="1" applyBorder="1" applyAlignment="1">
      <alignment horizontal="center" vertical="center"/>
    </xf>
    <xf numFmtId="0" fontId="24" fillId="0" borderId="25" xfId="58" applyFont="1" applyBorder="1" applyAlignment="1">
      <alignment horizontal="left" vertical="center" wrapText="1"/>
    </xf>
    <xf numFmtId="0" fontId="24" fillId="0" borderId="65" xfId="58" applyFont="1" applyBorder="1" applyAlignment="1">
      <alignment horizontal="left" vertical="center" wrapText="1"/>
    </xf>
    <xf numFmtId="1" fontId="24" fillId="0" borderId="26" xfId="58" applyNumberFormat="1" applyFont="1" applyBorder="1" applyAlignment="1">
      <alignment horizontal="center" vertical="center"/>
    </xf>
    <xf numFmtId="0" fontId="23" fillId="0" borderId="14" xfId="0" applyFont="1" applyFill="1" applyBorder="1" applyAlignment="1">
      <alignment horizontal="center" vertical="center" wrapText="1"/>
    </xf>
    <xf numFmtId="0" fontId="24" fillId="0" borderId="65" xfId="58" applyNumberFormat="1" applyFont="1" applyBorder="1" applyAlignment="1">
      <alignment horizontal="center" vertical="center"/>
    </xf>
    <xf numFmtId="0" fontId="24" fillId="0" borderId="66" xfId="58" applyFont="1" applyBorder="1" applyAlignment="1">
      <alignment horizontal="center" vertical="center"/>
    </xf>
    <xf numFmtId="0" fontId="24" fillId="0" borderId="66" xfId="58" applyFont="1" applyBorder="1" applyAlignment="1">
      <alignment horizontal="left" vertical="center" wrapText="1"/>
    </xf>
    <xf numFmtId="0" fontId="24" fillId="0" borderId="63" xfId="58" applyFont="1" applyBorder="1" applyAlignment="1">
      <alignment horizontal="left" vertical="center" wrapText="1"/>
    </xf>
    <xf numFmtId="1" fontId="24" fillId="0" borderId="67" xfId="58" applyNumberFormat="1" applyFont="1" applyBorder="1" applyAlignment="1">
      <alignment horizontal="center" vertical="center"/>
    </xf>
    <xf numFmtId="0" fontId="23" fillId="0" borderId="67" xfId="0" applyFont="1" applyFill="1" applyBorder="1" applyAlignment="1"/>
    <xf numFmtId="0" fontId="24" fillId="0" borderId="63" xfId="58" applyNumberFormat="1" applyFont="1" applyBorder="1" applyAlignment="1">
      <alignment horizontal="center" vertical="center"/>
    </xf>
    <xf numFmtId="0" fontId="24" fillId="0" borderId="63" xfId="58" applyFont="1" applyBorder="1" applyAlignment="1">
      <alignment horizontal="center" vertical="center" wrapText="1"/>
    </xf>
    <xf numFmtId="1" fontId="24" fillId="0" borderId="68" xfId="58" applyNumberFormat="1" applyFont="1" applyBorder="1" applyAlignment="1">
      <alignment vertical="center"/>
    </xf>
    <xf numFmtId="1" fontId="24" fillId="0" borderId="67" xfId="58" applyNumberFormat="1" applyFont="1" applyBorder="1" applyAlignment="1">
      <alignment vertical="center"/>
    </xf>
    <xf numFmtId="0" fontId="28" fillId="0" borderId="30" xfId="58" applyFont="1" applyBorder="1" applyAlignment="1">
      <alignment horizontal="left" vertical="center" wrapText="1"/>
    </xf>
    <xf numFmtId="0" fontId="28" fillId="0" borderId="69" xfId="58" applyFont="1" applyBorder="1" applyAlignment="1">
      <alignment vertical="center" wrapText="1"/>
    </xf>
    <xf numFmtId="1" fontId="28" fillId="0" borderId="69" xfId="58" applyNumberFormat="1" applyFont="1" applyBorder="1" applyAlignment="1">
      <alignment vertical="center" wrapText="1"/>
    </xf>
    <xf numFmtId="0" fontId="28" fillId="0" borderId="0" xfId="58" applyFont="1" applyAlignment="1">
      <alignment vertical="center" wrapText="1"/>
    </xf>
    <xf numFmtId="0" fontId="28" fillId="0" borderId="70" xfId="58" applyNumberFormat="1" applyFont="1" applyBorder="1" applyAlignment="1">
      <alignment horizontal="center" vertical="center" wrapText="1"/>
    </xf>
    <xf numFmtId="0" fontId="23" fillId="0" borderId="70" xfId="0" applyFont="1" applyFill="1" applyBorder="1" applyAlignment="1"/>
    <xf numFmtId="0" fontId="28" fillId="0" borderId="71" xfId="58" applyFont="1" applyBorder="1" applyAlignment="1">
      <alignment horizontal="left" vertical="center" wrapText="1"/>
    </xf>
    <xf numFmtId="0" fontId="23" fillId="0" borderId="72" xfId="0" applyFont="1" applyFill="1" applyBorder="1" applyAlignment="1"/>
    <xf numFmtId="0" fontId="28" fillId="0" borderId="73" xfId="58" applyFont="1" applyBorder="1" applyAlignment="1">
      <alignment horizontal="left" vertical="center" wrapText="1"/>
    </xf>
    <xf numFmtId="0" fontId="23" fillId="0" borderId="72" xfId="0" applyNumberFormat="1" applyFont="1" applyFill="1" applyBorder="1" applyAlignment="1"/>
    <xf numFmtId="0" fontId="23" fillId="0" borderId="73" xfId="0" applyFont="1" applyFill="1" applyBorder="1" applyAlignment="1"/>
    <xf numFmtId="0" fontId="28" fillId="0" borderId="71" xfId="58" applyFont="1" applyBorder="1" applyAlignment="1">
      <alignment horizontal="justify" vertical="center" wrapText="1"/>
    </xf>
    <xf numFmtId="0" fontId="28" fillId="0" borderId="74" xfId="58" applyFont="1" applyBorder="1" applyAlignment="1">
      <alignment vertical="center" wrapText="1"/>
    </xf>
    <xf numFmtId="0" fontId="28" fillId="0" borderId="74" xfId="58" applyNumberFormat="1" applyFont="1" applyBorder="1" applyAlignment="1">
      <alignment vertical="center" wrapText="1"/>
    </xf>
    <xf numFmtId="0" fontId="28" fillId="0" borderId="75" xfId="58" applyFont="1" applyBorder="1" applyAlignment="1">
      <alignment vertical="center" wrapText="1"/>
    </xf>
    <xf numFmtId="0" fontId="28" fillId="0" borderId="73" xfId="58" applyFont="1" applyBorder="1" applyAlignment="1">
      <alignment horizontal="left" vertical="center"/>
    </xf>
    <xf numFmtId="0" fontId="28" fillId="0" borderId="31" xfId="58" applyFont="1" applyBorder="1" applyAlignment="1">
      <alignment horizontal="left" vertical="center" wrapText="1"/>
    </xf>
    <xf numFmtId="0" fontId="28" fillId="0" borderId="31" xfId="58" applyNumberFormat="1" applyFont="1" applyBorder="1" applyAlignment="1">
      <alignment horizontal="left" vertical="center" wrapText="1"/>
    </xf>
    <xf numFmtId="0" fontId="28" fillId="0" borderId="25" xfId="58" applyFont="1" applyBorder="1" applyAlignment="1">
      <alignment horizontal="left" vertical="center" wrapText="1"/>
    </xf>
    <xf numFmtId="0" fontId="28" fillId="0" borderId="26" xfId="58" applyFont="1" applyBorder="1" applyAlignment="1">
      <alignment horizontal="left" vertical="center" wrapText="1"/>
    </xf>
    <xf numFmtId="0" fontId="29" fillId="0" borderId="4" xfId="58" applyFont="1" applyBorder="1" applyAlignment="1">
      <alignment horizontal="center" vertical="center"/>
    </xf>
    <xf numFmtId="0" fontId="28" fillId="0" borderId="76" xfId="58" applyFont="1" applyBorder="1" applyAlignment="1">
      <alignment horizontal="center" vertical="center" wrapText="1"/>
    </xf>
    <xf numFmtId="0" fontId="23" fillId="0" borderId="69" xfId="0" applyFont="1" applyFill="1" applyBorder="1" applyAlignment="1"/>
    <xf numFmtId="0" fontId="23" fillId="0" borderId="69" xfId="0" applyNumberFormat="1" applyFont="1" applyFill="1" applyBorder="1" applyAlignment="1"/>
    <xf numFmtId="0" fontId="30" fillId="0" borderId="77" xfId="58" applyFont="1" applyBorder="1" applyAlignment="1">
      <alignment horizontal="center" vertical="center" wrapText="1"/>
    </xf>
    <xf numFmtId="0" fontId="30" fillId="0" borderId="78" xfId="58" applyFont="1" applyBorder="1" applyAlignment="1">
      <alignment horizontal="center" vertical="center" wrapText="1"/>
    </xf>
    <xf numFmtId="0" fontId="30" fillId="0" borderId="78" xfId="58" applyNumberFormat="1" applyFont="1" applyBorder="1" applyAlignment="1">
      <alignment horizontal="center" vertical="center" wrapText="1"/>
    </xf>
    <xf numFmtId="0" fontId="31" fillId="0" borderId="30" xfId="58" applyFont="1" applyBorder="1" applyAlignment="1">
      <alignment horizontal="center" vertical="center"/>
    </xf>
    <xf numFmtId="0" fontId="24" fillId="0" borderId="79" xfId="58" applyFont="1" applyBorder="1" applyAlignment="1">
      <alignment horizontal="center" vertical="center"/>
    </xf>
    <xf numFmtId="0" fontId="23" fillId="0" borderId="80" xfId="0" applyNumberFormat="1" applyFont="1" applyFill="1" applyBorder="1" applyAlignment="1"/>
    <xf numFmtId="0" fontId="23" fillId="0" borderId="79" xfId="0" applyFont="1" applyFill="1" applyBorder="1" applyAlignment="1"/>
    <xf numFmtId="0" fontId="24" fillId="0" borderId="25" xfId="58" applyFont="1" applyBorder="1" applyAlignment="1">
      <alignment vertical="center"/>
    </xf>
    <xf numFmtId="0" fontId="24" fillId="0" borderId="2" xfId="58" applyFont="1" applyBorder="1" applyAlignment="1">
      <alignment vertical="center"/>
    </xf>
    <xf numFmtId="0" fontId="24" fillId="0" borderId="2" xfId="58" applyNumberFormat="1" applyFont="1" applyBorder="1" applyAlignment="1">
      <alignment vertical="center"/>
    </xf>
    <xf numFmtId="0" fontId="24" fillId="0" borderId="26" xfId="58" applyFont="1" applyBorder="1" applyAlignment="1">
      <alignment vertical="center"/>
    </xf>
    <xf numFmtId="0" fontId="32" fillId="0" borderId="0" xfId="58" applyFont="1" applyAlignment="1">
      <alignment horizontal="center" vertical="center"/>
    </xf>
    <xf numFmtId="0" fontId="32" fillId="0" borderId="0" xfId="58" applyFont="1" applyAlignment="1">
      <alignment horizontal="center" vertical="center" wrapText="1"/>
    </xf>
    <xf numFmtId="0" fontId="32" fillId="0" borderId="0" xfId="58" applyFont="1" applyFill="1" applyAlignment="1">
      <alignment horizontal="center" vertical="center" wrapText="1"/>
    </xf>
    <xf numFmtId="0" fontId="32" fillId="3" borderId="0" xfId="58" applyFont="1" applyFill="1" applyAlignment="1">
      <alignment horizontal="center" vertical="center" wrapText="1"/>
    </xf>
    <xf numFmtId="184" fontId="32" fillId="0" borderId="0" xfId="58" applyNumberFormat="1" applyFont="1" applyAlignment="1">
      <alignment horizontal="center" vertical="center"/>
    </xf>
    <xf numFmtId="0" fontId="11" fillId="0" borderId="0" xfId="58" applyFont="1" applyAlignment="1">
      <alignment horizontal="center" vertical="center" wrapText="1"/>
    </xf>
    <xf numFmtId="0" fontId="32" fillId="2" borderId="0" xfId="58" applyFont="1" applyFill="1" applyAlignment="1">
      <alignment horizontal="center" vertical="center"/>
    </xf>
    <xf numFmtId="183" fontId="32" fillId="2" borderId="0" xfId="58" applyNumberFormat="1" applyFont="1" applyFill="1" applyAlignment="1">
      <alignment horizontal="center" vertical="center"/>
    </xf>
    <xf numFmtId="0" fontId="32" fillId="0" borderId="0" xfId="58" applyFont="1" applyFill="1" applyAlignment="1">
      <alignment horizontal="center" vertical="center"/>
    </xf>
    <xf numFmtId="0" fontId="33" fillId="0" borderId="0" xfId="58" applyFont="1" applyFill="1" applyAlignment="1">
      <alignment horizontal="center" vertical="center"/>
    </xf>
    <xf numFmtId="183" fontId="33" fillId="2" borderId="0" xfId="58" applyNumberFormat="1" applyFont="1" applyFill="1" applyAlignment="1">
      <alignment horizontal="center" vertical="center"/>
    </xf>
    <xf numFmtId="186" fontId="32" fillId="2" borderId="0" xfId="58" applyNumberFormat="1" applyFont="1" applyFill="1" applyAlignment="1">
      <alignment horizontal="center" vertical="center"/>
    </xf>
    <xf numFmtId="0" fontId="32" fillId="0" borderId="1" xfId="61" applyFont="1" applyBorder="1" applyAlignment="1">
      <alignment horizontal="center" vertical="center"/>
    </xf>
    <xf numFmtId="184" fontId="32" fillId="0" borderId="1" xfId="58" applyNumberFormat="1" applyFont="1" applyBorder="1" applyAlignment="1">
      <alignment horizontal="center" vertical="center"/>
    </xf>
    <xf numFmtId="0" fontId="32" fillId="0" borderId="1" xfId="58" applyFont="1" applyBorder="1" applyAlignment="1">
      <alignment horizontal="center" vertical="center"/>
    </xf>
    <xf numFmtId="0" fontId="11" fillId="0" borderId="1" xfId="61" applyFont="1" applyBorder="1" applyAlignment="1">
      <alignment horizontal="center" vertical="center" wrapText="1"/>
    </xf>
    <xf numFmtId="0" fontId="32" fillId="2" borderId="1" xfId="58" applyFont="1" applyFill="1" applyBorder="1" applyAlignment="1">
      <alignment horizontal="center" vertical="center"/>
    </xf>
    <xf numFmtId="0" fontId="32" fillId="2" borderId="1" xfId="58" applyFont="1" applyFill="1" applyBorder="1" applyAlignment="1">
      <alignment horizontal="center" vertical="center" wrapText="1"/>
    </xf>
    <xf numFmtId="183" fontId="32" fillId="2" borderId="1" xfId="58" applyNumberFormat="1" applyFont="1" applyFill="1" applyBorder="1" applyAlignment="1">
      <alignment horizontal="center" vertical="center"/>
    </xf>
    <xf numFmtId="0" fontId="32" fillId="0" borderId="1" xfId="58" applyFont="1" applyFill="1" applyBorder="1" applyAlignment="1">
      <alignment horizontal="center" vertical="center"/>
    </xf>
    <xf numFmtId="0" fontId="32" fillId="0" borderId="14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/>
    </xf>
    <xf numFmtId="0" fontId="32" fillId="0" borderId="1" xfId="58" applyFont="1" applyBorder="1" applyAlignment="1">
      <alignment horizontal="center" vertical="center" wrapText="1"/>
    </xf>
    <xf numFmtId="184" fontId="34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4" fontId="35" fillId="2" borderId="1" xfId="62" applyNumberFormat="1" applyFont="1" applyFill="1" applyBorder="1" applyAlignment="1">
      <alignment horizontal="center" vertical="center"/>
    </xf>
    <xf numFmtId="187" fontId="35" fillId="2" borderId="1" xfId="0" applyNumberFormat="1" applyFont="1" applyFill="1" applyBorder="1" applyAlignment="1">
      <alignment horizontal="center" vertical="center" wrapText="1"/>
    </xf>
    <xf numFmtId="187" fontId="32" fillId="2" borderId="1" xfId="0" applyNumberFormat="1" applyFont="1" applyFill="1" applyBorder="1" applyAlignment="1">
      <alignment horizontal="center" vertical="center"/>
    </xf>
    <xf numFmtId="183" fontId="35" fillId="2" borderId="1" xfId="0" applyNumberFormat="1" applyFont="1" applyFill="1" applyBorder="1" applyAlignment="1">
      <alignment horizontal="center" vertical="center" wrapText="1"/>
    </xf>
    <xf numFmtId="183" fontId="35" fillId="2" borderId="40" xfId="0" applyNumberFormat="1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/>
    </xf>
    <xf numFmtId="183" fontId="35" fillId="2" borderId="0" xfId="0" applyNumberFormat="1" applyFont="1" applyFill="1" applyAlignment="1">
      <alignment horizontal="center" vertical="center" wrapText="1"/>
    </xf>
    <xf numFmtId="1" fontId="32" fillId="0" borderId="0" xfId="58" applyNumberFormat="1" applyFont="1" applyAlignment="1">
      <alignment horizontal="center" vertical="center"/>
    </xf>
    <xf numFmtId="0" fontId="32" fillId="0" borderId="0" xfId="0" applyFont="1" applyFill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184" fontId="37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wrapText="1"/>
    </xf>
    <xf numFmtId="183" fontId="33" fillId="2" borderId="1" xfId="0" applyNumberFormat="1" applyFont="1" applyFill="1" applyBorder="1" applyAlignment="1">
      <alignment horizontal="center" vertical="center"/>
    </xf>
    <xf numFmtId="188" fontId="32" fillId="2" borderId="1" xfId="63" applyNumberFormat="1" applyFont="1" applyFill="1" applyBorder="1" applyAlignment="1" applyProtection="1">
      <alignment horizontal="center" vertical="center"/>
      <protection locked="0"/>
    </xf>
    <xf numFmtId="183" fontId="33" fillId="0" borderId="1" xfId="0" applyNumberFormat="1" applyFont="1" applyFill="1" applyBorder="1" applyAlignment="1">
      <alignment horizontal="center" vertical="center"/>
    </xf>
    <xf numFmtId="183" fontId="33" fillId="2" borderId="0" xfId="0" applyNumberFormat="1" applyFont="1" applyFill="1" applyAlignment="1">
      <alignment horizontal="center" vertical="center"/>
    </xf>
    <xf numFmtId="184" fontId="38" fillId="0" borderId="1" xfId="0" applyNumberFormat="1" applyFont="1" applyFill="1" applyBorder="1" applyAlignment="1">
      <alignment horizontal="center" vertical="center"/>
    </xf>
    <xf numFmtId="184" fontId="34" fillId="2" borderId="1" xfId="0" applyNumberFormat="1" applyFont="1" applyFill="1" applyBorder="1" applyAlignment="1">
      <alignment horizontal="center" vertical="center"/>
    </xf>
    <xf numFmtId="0" fontId="32" fillId="0" borderId="1" xfId="58" applyFont="1" applyFill="1" applyBorder="1" applyAlignment="1">
      <alignment horizontal="center" vertical="center" wrapText="1"/>
    </xf>
    <xf numFmtId="1" fontId="32" fillId="0" borderId="0" xfId="58" applyNumberFormat="1" applyFont="1" applyFill="1" applyAlignment="1">
      <alignment horizontal="center" vertical="center"/>
    </xf>
    <xf numFmtId="0" fontId="32" fillId="3" borderId="0" xfId="58" applyFont="1" applyFill="1" applyAlignment="1">
      <alignment horizontal="center" vertical="center"/>
    </xf>
    <xf numFmtId="0" fontId="32" fillId="3" borderId="1" xfId="58" applyFont="1" applyFill="1" applyBorder="1" applyAlignment="1">
      <alignment horizontal="center" vertical="center" wrapText="1"/>
    </xf>
    <xf numFmtId="184" fontId="38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4" fontId="35" fillId="3" borderId="1" xfId="62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vertical="center"/>
    </xf>
    <xf numFmtId="187" fontId="35" fillId="3" borderId="1" xfId="0" applyNumberFormat="1" applyFont="1" applyFill="1" applyBorder="1" applyAlignment="1">
      <alignment horizontal="center" vertical="center" wrapText="1"/>
    </xf>
    <xf numFmtId="187" fontId="32" fillId="3" borderId="1" xfId="0" applyNumberFormat="1" applyFont="1" applyFill="1" applyBorder="1" applyAlignment="1">
      <alignment horizontal="center" vertical="center"/>
    </xf>
    <xf numFmtId="183" fontId="35" fillId="3" borderId="1" xfId="0" applyNumberFormat="1" applyFont="1" applyFill="1" applyBorder="1" applyAlignment="1">
      <alignment horizontal="center" vertical="center" wrapText="1"/>
    </xf>
    <xf numFmtId="183" fontId="35" fillId="3" borderId="40" xfId="0" applyNumberFormat="1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/>
    </xf>
    <xf numFmtId="183" fontId="35" fillId="3" borderId="0" xfId="0" applyNumberFormat="1" applyFont="1" applyFill="1" applyAlignment="1">
      <alignment horizontal="center" vertical="center" wrapText="1"/>
    </xf>
    <xf numFmtId="1" fontId="32" fillId="3" borderId="0" xfId="58" applyNumberFormat="1" applyFont="1" applyFill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183" fontId="33" fillId="2" borderId="40" xfId="0" applyNumberFormat="1" applyFont="1" applyFill="1" applyBorder="1" applyAlignment="1">
      <alignment horizontal="center" vertical="center"/>
    </xf>
    <xf numFmtId="0" fontId="33" fillId="2" borderId="1" xfId="58" applyFont="1" applyFill="1" applyBorder="1" applyAlignment="1">
      <alignment horizontal="center" vertical="center" wrapText="1"/>
    </xf>
    <xf numFmtId="184" fontId="39" fillId="2" borderId="1" xfId="0" applyNumberFormat="1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/>
    </xf>
    <xf numFmtId="0" fontId="40" fillId="2" borderId="1" xfId="0" applyFont="1" applyFill="1" applyBorder="1" applyAlignment="1">
      <alignment horizontal="center" vertical="center" wrapText="1"/>
    </xf>
    <xf numFmtId="188" fontId="33" fillId="2" borderId="1" xfId="63" applyNumberFormat="1" applyFont="1" applyFill="1" applyBorder="1" applyAlignment="1" applyProtection="1">
      <alignment horizontal="center" vertical="center"/>
      <protection locked="0"/>
    </xf>
    <xf numFmtId="0" fontId="41" fillId="2" borderId="81" xfId="58" applyFont="1" applyFill="1" applyBorder="1" applyAlignment="1">
      <alignment horizontal="center" vertical="center"/>
    </xf>
    <xf numFmtId="0" fontId="32" fillId="2" borderId="81" xfId="0" applyFont="1" applyFill="1" applyBorder="1" applyAlignment="1">
      <alignment horizontal="center" vertical="center"/>
    </xf>
    <xf numFmtId="0" fontId="32" fillId="2" borderId="81" xfId="58" applyFont="1" applyFill="1" applyBorder="1" applyAlignment="1">
      <alignment horizontal="center" vertical="center"/>
    </xf>
    <xf numFmtId="0" fontId="42" fillId="0" borderId="0" xfId="0" applyFont="1" applyFill="1" applyAlignment="1">
      <alignment horizontal="center" vertical="center"/>
    </xf>
    <xf numFmtId="0" fontId="42" fillId="0" borderId="0" xfId="0" applyFont="1" applyFill="1" applyAlignment="1">
      <alignment horizontal="left" vertical="center"/>
    </xf>
    <xf numFmtId="0" fontId="43" fillId="0" borderId="0" xfId="0" applyFont="1" applyFill="1" applyBorder="1" applyAlignment="1">
      <alignment horizontal="center" vertical="center"/>
    </xf>
    <xf numFmtId="0" fontId="43" fillId="0" borderId="0" xfId="0" applyFont="1" applyFill="1" applyBorder="1" applyAlignment="1">
      <alignment horizontal="center" vertical="center" wrapText="1"/>
    </xf>
    <xf numFmtId="0" fontId="43" fillId="0" borderId="0" xfId="0" applyFont="1" applyFill="1" applyBorder="1" applyAlignment="1">
      <alignment horizontal="left" vertical="center" wrapText="1"/>
    </xf>
    <xf numFmtId="0" fontId="44" fillId="0" borderId="0" xfId="0" applyFont="1" applyFill="1" applyBorder="1" applyAlignment="1">
      <alignment horizontal="left" vertical="center" wrapText="1"/>
    </xf>
    <xf numFmtId="183" fontId="43" fillId="0" borderId="0" xfId="0" applyNumberFormat="1" applyFont="1" applyFill="1" applyBorder="1" applyAlignment="1">
      <alignment horizontal="left" vertical="center" wrapText="1"/>
    </xf>
    <xf numFmtId="0" fontId="43" fillId="0" borderId="0" xfId="58" applyFont="1" applyFill="1" applyBorder="1" applyAlignment="1">
      <alignment horizontal="left" vertical="center" wrapText="1"/>
    </xf>
    <xf numFmtId="0" fontId="43" fillId="0" borderId="0" xfId="58" applyFont="1" applyFill="1" applyBorder="1" applyAlignment="1">
      <alignment horizontal="center" vertical="center" wrapText="1"/>
    </xf>
    <xf numFmtId="0" fontId="39" fillId="0" borderId="0" xfId="0" applyFont="1" applyFill="1" applyBorder="1" applyAlignment="1">
      <alignment horizontal="left" vertical="center" wrapText="1"/>
    </xf>
    <xf numFmtId="0" fontId="42" fillId="0" borderId="0" xfId="0" applyFont="1" applyFill="1" applyBorder="1" applyAlignment="1">
      <alignment horizontal="center" vertical="center"/>
    </xf>
    <xf numFmtId="0" fontId="42" fillId="0" borderId="0" xfId="0" applyFont="1" applyFill="1" applyBorder="1" applyAlignment="1">
      <alignment horizontal="center" vertical="center" wrapText="1"/>
    </xf>
    <xf numFmtId="0" fontId="39" fillId="0" borderId="0" xfId="67" applyNumberFormat="1" applyFont="1" applyFill="1" applyBorder="1" applyAlignment="1" applyProtection="1">
      <alignment horizontal="left" vertical="center" wrapText="1"/>
      <protection locked="0"/>
    </xf>
    <xf numFmtId="0" fontId="43" fillId="0" borderId="0" xfId="67" applyNumberFormat="1" applyFont="1" applyFill="1" applyBorder="1" applyAlignment="1" applyProtection="1">
      <alignment horizontal="left" vertical="center" wrapText="1"/>
      <protection locked="0"/>
    </xf>
    <xf numFmtId="0" fontId="39" fillId="0" borderId="0" xfId="0" applyFont="1" applyFill="1" applyBorder="1" applyAlignment="1">
      <alignment horizontal="center" vertical="center"/>
    </xf>
    <xf numFmtId="0" fontId="39" fillId="0" borderId="0" xfId="0" applyFont="1" applyFill="1" applyBorder="1" applyAlignment="1">
      <alignment horizontal="center" vertical="center" wrapText="1"/>
    </xf>
    <xf numFmtId="0" fontId="43" fillId="0" borderId="0" xfId="0" applyNumberFormat="1" applyFont="1" applyFill="1" applyBorder="1" applyAlignment="1">
      <alignment horizontal="center" vertical="center"/>
    </xf>
    <xf numFmtId="0" fontId="43" fillId="0" borderId="0" xfId="0" applyFont="1" applyFill="1" applyAlignment="1">
      <alignment horizontal="center" vertical="center" wrapText="1"/>
    </xf>
    <xf numFmtId="0" fontId="45" fillId="0" borderId="0" xfId="0" applyFont="1" applyFill="1" applyBorder="1">
      <alignment vertical="center"/>
    </xf>
    <xf numFmtId="0" fontId="46" fillId="0" borderId="0" xfId="0" applyFont="1" applyFill="1" applyBorder="1">
      <alignment vertical="center"/>
    </xf>
    <xf numFmtId="0" fontId="46" fillId="0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7" fillId="4" borderId="0" xfId="0" applyFont="1" applyFill="1" applyAlignment="1">
      <alignment horizontal="center" vertical="center"/>
    </xf>
    <xf numFmtId="0" fontId="46" fillId="0" borderId="0" xfId="0" applyFont="1">
      <alignment vertical="center"/>
    </xf>
    <xf numFmtId="183" fontId="35" fillId="0" borderId="0" xfId="0" applyNumberFormat="1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48" fillId="0" borderId="47" xfId="0" applyFont="1" applyFill="1" applyBorder="1" applyAlignment="1">
      <alignment horizontal="center" vertical="center" wrapText="1"/>
    </xf>
    <xf numFmtId="0" fontId="48" fillId="0" borderId="1" xfId="0" applyFont="1" applyFill="1" applyBorder="1" applyAlignment="1">
      <alignment horizontal="center" vertical="center" wrapText="1"/>
    </xf>
    <xf numFmtId="189" fontId="35" fillId="2" borderId="40" xfId="0" applyNumberFormat="1" applyFont="1" applyFill="1" applyBorder="1" applyAlignment="1">
      <alignment horizontal="center" vertical="center" wrapText="1"/>
    </xf>
    <xf numFmtId="49" fontId="35" fillId="6" borderId="1" xfId="0" applyNumberFormat="1" applyFont="1" applyFill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 vertical="center" wrapText="1"/>
    </xf>
    <xf numFmtId="183" fontId="35" fillId="0" borderId="1" xfId="0" applyNumberFormat="1" applyFont="1" applyFill="1" applyBorder="1" applyAlignment="1">
      <alignment horizontal="center" vertical="center" wrapText="1"/>
    </xf>
    <xf numFmtId="189" fontId="35" fillId="0" borderId="1" xfId="0" applyNumberFormat="1" applyFont="1" applyFill="1" applyBorder="1" applyAlignment="1">
      <alignment horizontal="center" vertical="center" wrapText="1"/>
    </xf>
    <xf numFmtId="190" fontId="35" fillId="0" borderId="1" xfId="0" applyNumberFormat="1" applyFont="1" applyFill="1" applyBorder="1" applyAlignment="1">
      <alignment horizontal="center" vertical="center" wrapText="1"/>
    </xf>
    <xf numFmtId="181" fontId="35" fillId="0" borderId="1" xfId="0" applyNumberFormat="1" applyFont="1" applyFill="1" applyBorder="1" applyAlignment="1">
      <alignment horizontal="center" vertical="center" wrapText="1"/>
    </xf>
    <xf numFmtId="191" fontId="35" fillId="0" borderId="1" xfId="0" applyNumberFormat="1" applyFont="1" applyFill="1" applyBorder="1" applyAlignment="1">
      <alignment horizontal="center" vertical="center" wrapText="1"/>
    </xf>
    <xf numFmtId="192" fontId="35" fillId="0" borderId="1" xfId="0" applyNumberFormat="1" applyFont="1" applyFill="1" applyBorder="1" applyAlignment="1">
      <alignment horizontal="center" vertical="center" wrapText="1"/>
    </xf>
    <xf numFmtId="0" fontId="48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48" fillId="2" borderId="1" xfId="0" applyFont="1" applyFill="1" applyBorder="1" applyAlignment="1">
      <alignment horizontal="center" vertical="center"/>
    </xf>
    <xf numFmtId="49" fontId="35" fillId="0" borderId="1" xfId="0" applyNumberFormat="1" applyFont="1" applyFill="1" applyBorder="1" applyAlignment="1">
      <alignment horizontal="center" vertical="center" wrapText="1"/>
    </xf>
    <xf numFmtId="0" fontId="49" fillId="0" borderId="1" xfId="0" applyFont="1" applyFill="1" applyBorder="1" applyAlignment="1">
      <alignment horizontal="center" vertical="center" wrapText="1"/>
    </xf>
    <xf numFmtId="0" fontId="50" fillId="0" borderId="1" xfId="0" applyFont="1" applyFill="1" applyBorder="1" applyAlignment="1">
      <alignment horizontal="center" vertical="center" wrapText="1"/>
    </xf>
    <xf numFmtId="184" fontId="34" fillId="0" borderId="1" xfId="0" applyNumberFormat="1" applyFont="1" applyFill="1" applyBorder="1" applyAlignment="1">
      <alignment horizontal="center" vertical="center" wrapText="1"/>
    </xf>
    <xf numFmtId="0" fontId="35" fillId="0" borderId="1" xfId="0" applyNumberFormat="1" applyFont="1" applyFill="1" applyBorder="1" applyAlignment="1">
      <alignment horizontal="center" vertical="center" wrapText="1"/>
    </xf>
    <xf numFmtId="0" fontId="35" fillId="0" borderId="82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5" fillId="0" borderId="83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/>
    </xf>
    <xf numFmtId="183" fontId="35" fillId="0" borderId="12" xfId="0" applyNumberFormat="1" applyFont="1" applyFill="1" applyBorder="1" applyAlignment="1">
      <alignment horizontal="center" vertical="center" wrapText="1"/>
    </xf>
    <xf numFmtId="193" fontId="35" fillId="0" borderId="14" xfId="0" applyNumberFormat="1" applyFont="1" applyFill="1" applyBorder="1" applyAlignment="1">
      <alignment horizontal="center" vertical="center" wrapText="1"/>
    </xf>
    <xf numFmtId="194" fontId="35" fillId="0" borderId="14" xfId="0" applyNumberFormat="1" applyFont="1" applyFill="1" applyBorder="1" applyAlignment="1">
      <alignment horizontal="center" vertical="center"/>
    </xf>
    <xf numFmtId="183" fontId="35" fillId="0" borderId="14" xfId="0" applyNumberFormat="1" applyFont="1" applyFill="1" applyBorder="1" applyAlignment="1">
      <alignment horizontal="center" vertical="center"/>
    </xf>
    <xf numFmtId="183" fontId="35" fillId="0" borderId="84" xfId="0" applyNumberFormat="1" applyFont="1" applyFill="1" applyBorder="1" applyAlignment="1">
      <alignment horizontal="center" vertical="center"/>
    </xf>
    <xf numFmtId="181" fontId="35" fillId="0" borderId="85" xfId="0" applyNumberFormat="1" applyFont="1" applyFill="1" applyBorder="1" applyAlignment="1">
      <alignment horizontal="center" vertical="center"/>
    </xf>
    <xf numFmtId="0" fontId="51" fillId="0" borderId="1" xfId="54" applyFont="1" applyFill="1" applyBorder="1" applyAlignment="1">
      <alignment horizontal="center" vertical="center" wrapText="1"/>
    </xf>
    <xf numFmtId="191" fontId="35" fillId="0" borderId="1" xfId="0" applyNumberFormat="1" applyFont="1" applyFill="1" applyBorder="1" applyAlignment="1">
      <alignment horizontal="center" vertical="center"/>
    </xf>
    <xf numFmtId="195" fontId="35" fillId="0" borderId="1" xfId="0" applyNumberFormat="1" applyFont="1" applyFill="1" applyBorder="1" applyAlignment="1">
      <alignment horizontal="center" vertical="center" wrapText="1"/>
    </xf>
    <xf numFmtId="196" fontId="48" fillId="0" borderId="1" xfId="0" applyNumberFormat="1" applyFont="1" applyFill="1" applyBorder="1" applyAlignment="1">
      <alignment horizontal="center" vertical="center"/>
    </xf>
    <xf numFmtId="195" fontId="48" fillId="0" borderId="1" xfId="0" applyNumberFormat="1" applyFont="1" applyFill="1" applyBorder="1" applyAlignment="1">
      <alignment horizontal="center" vertical="center"/>
    </xf>
    <xf numFmtId="0" fontId="48" fillId="0" borderId="1" xfId="0" applyFont="1" applyFill="1" applyBorder="1" applyAlignment="1">
      <alignment vertical="center"/>
    </xf>
    <xf numFmtId="197" fontId="48" fillId="0" borderId="1" xfId="0" applyNumberFormat="1" applyFont="1" applyFill="1" applyBorder="1" applyAlignment="1">
      <alignment vertical="center"/>
    </xf>
    <xf numFmtId="0" fontId="52" fillId="0" borderId="1" xfId="0" applyFont="1" applyFill="1" applyBorder="1" applyAlignment="1">
      <alignment vertical="center"/>
    </xf>
    <xf numFmtId="198" fontId="34" fillId="0" borderId="1" xfId="0" applyNumberFormat="1" applyFont="1" applyFill="1" applyBorder="1" applyAlignment="1">
      <alignment vertical="center"/>
    </xf>
    <xf numFmtId="0" fontId="53" fillId="0" borderId="1" xfId="0" applyFont="1" applyFill="1" applyBorder="1" applyAlignment="1">
      <alignment vertical="center"/>
    </xf>
    <xf numFmtId="199" fontId="35" fillId="0" borderId="1" xfId="0" applyNumberFormat="1" applyFont="1" applyFill="1" applyBorder="1" applyAlignment="1">
      <alignment horizontal="center" vertical="center" wrapText="1"/>
    </xf>
    <xf numFmtId="195" fontId="34" fillId="0" borderId="1" xfId="0" applyNumberFormat="1" applyFont="1" applyFill="1" applyBorder="1" applyAlignment="1">
      <alignment horizontal="center" vertical="center"/>
    </xf>
    <xf numFmtId="0" fontId="54" fillId="0" borderId="20" xfId="0" applyFont="1" applyFill="1" applyBorder="1" applyAlignment="1">
      <alignment horizontal="center" vertical="center" wrapText="1"/>
    </xf>
    <xf numFmtId="0" fontId="34" fillId="0" borderId="14" xfId="0" applyFont="1" applyFill="1" applyBorder="1" applyAlignment="1">
      <alignment horizontal="center" vertical="center" wrapText="1" shrinkToFit="1"/>
    </xf>
    <xf numFmtId="0" fontId="34" fillId="0" borderId="14" xfId="0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center" vertical="center"/>
    </xf>
    <xf numFmtId="0" fontId="45" fillId="0" borderId="1" xfId="0" applyFont="1" applyFill="1" applyBorder="1">
      <alignment vertical="center"/>
    </xf>
    <xf numFmtId="0" fontId="45" fillId="0" borderId="1" xfId="0" applyFont="1" applyFill="1" applyBorder="1" applyAlignment="1">
      <alignment vertical="center" wrapText="1"/>
    </xf>
    <xf numFmtId="0" fontId="42" fillId="0" borderId="1" xfId="0" applyFont="1" applyFill="1" applyBorder="1" applyAlignment="1">
      <alignment horizontal="center" vertical="center"/>
    </xf>
    <xf numFmtId="188" fontId="34" fillId="0" borderId="1" xfId="52" applyNumberFormat="1" applyFont="1" applyFill="1" applyBorder="1" applyAlignment="1">
      <alignment horizontal="center" vertical="center"/>
    </xf>
    <xf numFmtId="200" fontId="34" fillId="0" borderId="1" xfId="52" applyNumberFormat="1" applyFont="1" applyFill="1" applyBorder="1" applyAlignment="1">
      <alignment horizontal="center" vertical="center"/>
    </xf>
    <xf numFmtId="193" fontId="48" fillId="0" borderId="1" xfId="0" applyNumberFormat="1" applyFont="1" applyFill="1" applyBorder="1" applyAlignment="1">
      <alignment horizontal="center" vertical="center" wrapText="1"/>
    </xf>
    <xf numFmtId="194" fontId="48" fillId="0" borderId="1" xfId="0" applyNumberFormat="1" applyFont="1" applyFill="1" applyBorder="1" applyAlignment="1">
      <alignment horizontal="center" vertical="center"/>
    </xf>
    <xf numFmtId="201" fontId="18" fillId="0" borderId="1" xfId="0" applyNumberFormat="1" applyFont="1" applyFill="1" applyBorder="1" applyAlignment="1">
      <alignment horizontal="center" vertical="center"/>
    </xf>
    <xf numFmtId="181" fontId="35" fillId="0" borderId="1" xfId="0" applyNumberFormat="1" applyFont="1" applyFill="1" applyBorder="1" applyAlignment="1">
      <alignment horizontal="center" vertical="center"/>
    </xf>
    <xf numFmtId="195" fontId="48" fillId="0" borderId="86" xfId="0" applyNumberFormat="1" applyFont="1" applyFill="1" applyBorder="1" applyAlignment="1">
      <alignment horizontal="center" vertical="center"/>
    </xf>
    <xf numFmtId="191" fontId="35" fillId="0" borderId="20" xfId="0" applyNumberFormat="1" applyFont="1" applyFill="1" applyBorder="1" applyAlignment="1">
      <alignment horizontal="center" vertical="center" wrapText="1"/>
    </xf>
    <xf numFmtId="195" fontId="34" fillId="0" borderId="86" xfId="0" applyNumberFormat="1" applyFont="1" applyFill="1" applyBorder="1" applyAlignment="1">
      <alignment horizontal="center" vertical="center"/>
    </xf>
    <xf numFmtId="0" fontId="49" fillId="0" borderId="86" xfId="0" applyFont="1" applyFill="1" applyBorder="1" applyAlignment="1">
      <alignment horizontal="center" vertical="center" wrapText="1"/>
    </xf>
    <xf numFmtId="0" fontId="54" fillId="0" borderId="86" xfId="0" applyFont="1" applyFill="1" applyBorder="1" applyAlignment="1">
      <alignment horizontal="center" vertical="center" wrapText="1"/>
    </xf>
    <xf numFmtId="183" fontId="35" fillId="0" borderId="47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194" fontId="48" fillId="0" borderId="40" xfId="0" applyNumberFormat="1" applyFont="1" applyFill="1" applyBorder="1" applyAlignment="1">
      <alignment horizontal="center" vertical="center"/>
    </xf>
    <xf numFmtId="183" fontId="34" fillId="0" borderId="1" xfId="0" applyNumberFormat="1" applyFont="1" applyFill="1" applyBorder="1" applyAlignment="1">
      <alignment horizontal="center" vertical="center"/>
    </xf>
    <xf numFmtId="187" fontId="48" fillId="0" borderId="86" xfId="0" applyNumberFormat="1" applyFont="1" applyFill="1" applyBorder="1" applyAlignment="1">
      <alignment horizontal="center" vertical="center"/>
    </xf>
    <xf numFmtId="0" fontId="48" fillId="0" borderId="1" xfId="0" applyFont="1" applyFill="1" applyBorder="1" applyAlignment="1">
      <alignment horizontal="center" vertical="center"/>
    </xf>
    <xf numFmtId="197" fontId="48" fillId="0" borderId="1" xfId="0" applyNumberFormat="1" applyFont="1" applyFill="1" applyBorder="1" applyAlignment="1">
      <alignment horizontal="center" vertical="center"/>
    </xf>
    <xf numFmtId="0" fontId="55" fillId="0" borderId="1" xfId="0" applyFont="1" applyFill="1" applyBorder="1" applyAlignment="1">
      <alignment horizontal="center" vertical="center"/>
    </xf>
    <xf numFmtId="198" fontId="56" fillId="0" borderId="1" xfId="0" applyNumberFormat="1" applyFont="1" applyFill="1" applyBorder="1" applyAlignment="1">
      <alignment horizontal="center" vertical="center"/>
    </xf>
    <xf numFmtId="0" fontId="57" fillId="0" borderId="1" xfId="0" applyFont="1" applyFill="1" applyBorder="1" applyAlignment="1">
      <alignment horizontal="center" vertical="center"/>
    </xf>
    <xf numFmtId="191" fontId="48" fillId="0" borderId="20" xfId="0" applyNumberFormat="1" applyFont="1" applyFill="1" applyBorder="1" applyAlignment="1">
      <alignment horizontal="center" vertical="center" wrapText="1"/>
    </xf>
    <xf numFmtId="0" fontId="48" fillId="0" borderId="20" xfId="0" applyFont="1" applyFill="1" applyBorder="1" applyAlignment="1">
      <alignment horizontal="center" vertical="center" wrapText="1"/>
    </xf>
    <xf numFmtId="195" fontId="35" fillId="0" borderId="1" xfId="0" applyNumberFormat="1" applyFont="1" applyFill="1" applyBorder="1" applyAlignment="1">
      <alignment horizontal="center" vertical="center"/>
    </xf>
    <xf numFmtId="195" fontId="35" fillId="0" borderId="86" xfId="0" applyNumberFormat="1" applyFont="1" applyFill="1" applyBorder="1" applyAlignment="1">
      <alignment horizontal="center" vertical="center"/>
    </xf>
    <xf numFmtId="0" fontId="34" fillId="0" borderId="1" xfId="0" applyNumberFormat="1" applyFont="1" applyFill="1" applyBorder="1" applyAlignment="1">
      <alignment horizontal="center" vertical="center"/>
    </xf>
    <xf numFmtId="0" fontId="36" fillId="0" borderId="1" xfId="0" applyFont="1" applyFill="1" applyBorder="1" applyAlignment="1">
      <alignment horizontal="center" vertical="center"/>
    </xf>
    <xf numFmtId="0" fontId="58" fillId="0" borderId="0" xfId="0" applyFont="1" applyFill="1">
      <alignment vertical="center"/>
    </xf>
    <xf numFmtId="0" fontId="0" fillId="0" borderId="1" xfId="0" applyBorder="1" applyAlignment="1">
      <alignment horizontal="center" vertical="center" wrapText="1"/>
    </xf>
    <xf numFmtId="0" fontId="59" fillId="0" borderId="0" xfId="0" applyFont="1">
      <alignment vertical="center"/>
    </xf>
    <xf numFmtId="0" fontId="34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34" fillId="0" borderId="0" xfId="0" applyFont="1">
      <alignment vertical="center"/>
    </xf>
    <xf numFmtId="0" fontId="3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89" fontId="35" fillId="2" borderId="1" xfId="0" applyNumberFormat="1" applyFont="1" applyFill="1" applyBorder="1" applyAlignment="1">
      <alignment horizontal="center" vertical="center" wrapText="1"/>
    </xf>
    <xf numFmtId="0" fontId="0" fillId="7" borderId="0" xfId="0" applyFill="1">
      <alignment vertical="center"/>
    </xf>
    <xf numFmtId="0" fontId="60" fillId="8" borderId="87" xfId="0" applyNumberFormat="1" applyFont="1" applyFill="1" applyBorder="1" applyAlignment="1" applyProtection="1">
      <alignment horizontal="center"/>
      <protection hidden="1"/>
    </xf>
    <xf numFmtId="0" fontId="60" fillId="8" borderId="4" xfId="0" applyNumberFormat="1" applyFont="1" applyFill="1" applyBorder="1" applyAlignment="1" applyProtection="1">
      <alignment horizontal="center"/>
      <protection hidden="1"/>
    </xf>
    <xf numFmtId="0" fontId="60" fillId="8" borderId="9" xfId="0" applyNumberFormat="1" applyFont="1" applyFill="1" applyBorder="1" applyAlignment="1" applyProtection="1">
      <alignment horizontal="center"/>
      <protection hidden="1"/>
    </xf>
    <xf numFmtId="0" fontId="35" fillId="8" borderId="30" xfId="0" applyFont="1" applyFill="1" applyBorder="1" applyAlignment="1" applyProtection="1">
      <alignment horizontal="center" wrapText="1"/>
      <protection hidden="1"/>
    </xf>
    <xf numFmtId="0" fontId="35" fillId="8" borderId="0" xfId="0" applyFont="1" applyFill="1" applyAlignment="1" applyProtection="1">
      <alignment horizontal="center" wrapText="1"/>
      <protection hidden="1"/>
    </xf>
    <xf numFmtId="0" fontId="35" fillId="8" borderId="31" xfId="0" applyFont="1" applyFill="1" applyBorder="1" applyAlignment="1" applyProtection="1">
      <alignment horizontal="center" wrapText="1"/>
      <protection hidden="1"/>
    </xf>
    <xf numFmtId="0" fontId="61" fillId="8" borderId="30" xfId="0" applyNumberFormat="1" applyFont="1" applyFill="1" applyBorder="1" applyAlignment="1" applyProtection="1">
      <alignment vertical="center"/>
      <protection hidden="1"/>
    </xf>
    <xf numFmtId="0" fontId="61" fillId="8" borderId="0" xfId="0" applyNumberFormat="1" applyFont="1" applyFill="1" applyBorder="1" applyAlignment="1" applyProtection="1">
      <alignment vertical="center"/>
      <protection hidden="1"/>
    </xf>
    <xf numFmtId="0" fontId="61" fillId="8" borderId="31" xfId="0" applyNumberFormat="1" applyFont="1" applyFill="1" applyBorder="1" applyAlignment="1" applyProtection="1">
      <alignment horizontal="center" vertical="center"/>
      <protection hidden="1"/>
    </xf>
    <xf numFmtId="0" fontId="62" fillId="8" borderId="30" xfId="0" applyNumberFormat="1" applyFont="1" applyFill="1" applyBorder="1" applyAlignment="1">
      <alignment horizontal="center" vertical="center"/>
    </xf>
    <xf numFmtId="0" fontId="62" fillId="8" borderId="0" xfId="0" applyNumberFormat="1" applyFont="1" applyFill="1" applyAlignment="1">
      <alignment horizontal="center" vertical="center"/>
    </xf>
    <xf numFmtId="0" fontId="62" fillId="8" borderId="31" xfId="0" applyNumberFormat="1" applyFont="1" applyFill="1" applyBorder="1" applyAlignment="1">
      <alignment horizontal="center" vertical="center"/>
    </xf>
    <xf numFmtId="0" fontId="63" fillId="8" borderId="87" xfId="0" applyNumberFormat="1" applyFont="1" applyFill="1" applyBorder="1" applyAlignment="1" applyProtection="1">
      <alignment vertical="center"/>
      <protection hidden="1"/>
    </xf>
    <xf numFmtId="0" fontId="63" fillId="8" borderId="4" xfId="0" applyNumberFormat="1" applyFont="1" applyFill="1" applyBorder="1" applyAlignment="1" applyProtection="1">
      <alignment vertical="center"/>
      <protection hidden="1"/>
    </xf>
    <xf numFmtId="0" fontId="64" fillId="8" borderId="6" xfId="0" applyFont="1" applyFill="1" applyBorder="1" applyAlignment="1" applyProtection="1">
      <protection hidden="1"/>
    </xf>
    <xf numFmtId="0" fontId="64" fillId="8" borderId="4" xfId="0" applyFont="1" applyFill="1" applyBorder="1" applyAlignment="1" applyProtection="1">
      <protection hidden="1"/>
    </xf>
    <xf numFmtId="0" fontId="64" fillId="8" borderId="4" xfId="0" applyNumberFormat="1" applyFont="1" applyFill="1" applyBorder="1" applyAlignment="1" applyProtection="1">
      <protection hidden="1"/>
    </xf>
    <xf numFmtId="183" fontId="64" fillId="8" borderId="9" xfId="0" applyNumberFormat="1" applyFont="1" applyFill="1" applyBorder="1" applyAlignment="1" applyProtection="1">
      <alignment horizontal="center" vertical="center"/>
      <protection hidden="1"/>
    </xf>
    <xf numFmtId="0" fontId="63" fillId="0" borderId="30" xfId="0" applyNumberFormat="1" applyFont="1" applyFill="1" applyBorder="1" applyAlignment="1" applyProtection="1">
      <alignment horizontal="left" vertical="top" wrapText="1"/>
      <protection locked="0"/>
    </xf>
    <xf numFmtId="0" fontId="63" fillId="0" borderId="0" xfId="0" applyNumberFormat="1" applyFont="1" applyFill="1" applyAlignment="1" applyProtection="1">
      <alignment horizontal="left" vertical="top" wrapText="1"/>
      <protection locked="0"/>
    </xf>
    <xf numFmtId="0" fontId="63" fillId="0" borderId="13" xfId="0" applyNumberFormat="1" applyFont="1" applyFill="1" applyBorder="1" applyAlignment="1" applyProtection="1">
      <alignment horizontal="left"/>
      <protection locked="0"/>
    </xf>
    <xf numFmtId="0" fontId="63" fillId="0" borderId="11" xfId="0" applyNumberFormat="1" applyFont="1" applyFill="1" applyBorder="1" applyAlignment="1" applyProtection="1">
      <alignment horizontal="left"/>
      <protection locked="0"/>
    </xf>
    <xf numFmtId="0" fontId="64" fillId="0" borderId="47" xfId="0" applyNumberFormat="1" applyFont="1" applyFill="1" applyBorder="1" applyAlignment="1" applyProtection="1">
      <alignment horizontal="left"/>
      <protection locked="0"/>
    </xf>
    <xf numFmtId="0" fontId="64" fillId="0" borderId="41" xfId="0" applyNumberFormat="1" applyFont="1" applyFill="1" applyBorder="1" applyAlignment="1" applyProtection="1">
      <alignment horizontal="left"/>
      <protection locked="0"/>
    </xf>
    <xf numFmtId="183" fontId="64" fillId="0" borderId="88" xfId="0" applyNumberFormat="1" applyFont="1" applyFill="1" applyBorder="1" applyAlignment="1" applyProtection="1">
      <alignment horizontal="center" vertical="center"/>
      <protection locked="0"/>
    </xf>
    <xf numFmtId="0" fontId="64" fillId="8" borderId="23" xfId="0" applyFont="1" applyFill="1" applyBorder="1" applyAlignment="1" applyProtection="1">
      <alignment horizontal="left"/>
      <protection hidden="1"/>
    </xf>
    <xf numFmtId="0" fontId="64" fillId="8" borderId="18" xfId="0" applyNumberFormat="1" applyFont="1" applyFill="1" applyBorder="1" applyAlignment="1" applyProtection="1">
      <alignment horizontal="left"/>
      <protection hidden="1"/>
    </xf>
    <xf numFmtId="0" fontId="64" fillId="8" borderId="19" xfId="0" applyNumberFormat="1" applyFont="1" applyFill="1" applyBorder="1" applyAlignment="1" applyProtection="1">
      <protection hidden="1"/>
    </xf>
    <xf numFmtId="0" fontId="64" fillId="8" borderId="18" xfId="0" applyNumberFormat="1" applyFont="1" applyFill="1" applyBorder="1" applyAlignment="1" applyProtection="1">
      <protection hidden="1"/>
    </xf>
    <xf numFmtId="183" fontId="64" fillId="8" borderId="22" xfId="0" applyNumberFormat="1" applyFont="1" applyFill="1" applyBorder="1" applyAlignment="1" applyProtection="1">
      <alignment horizontal="center" vertical="center"/>
      <protection hidden="1"/>
    </xf>
    <xf numFmtId="191" fontId="63" fillId="9" borderId="13" xfId="0" applyNumberFormat="1" applyFont="1" applyFill="1" applyBorder="1" applyAlignment="1" applyProtection="1">
      <alignment horizontal="left" vertical="top"/>
      <protection locked="0"/>
    </xf>
    <xf numFmtId="191" fontId="63" fillId="9" borderId="11" xfId="0" applyNumberFormat="1" applyFont="1" applyFill="1" applyBorder="1" applyAlignment="1" applyProtection="1">
      <alignment horizontal="left" vertical="top"/>
      <protection locked="0"/>
    </xf>
    <xf numFmtId="191" fontId="63" fillId="9" borderId="12" xfId="0" applyNumberFormat="1" applyFont="1" applyFill="1" applyBorder="1" applyAlignment="1" applyProtection="1">
      <alignment horizontal="left" vertical="top"/>
      <protection locked="0"/>
    </xf>
    <xf numFmtId="0" fontId="64" fillId="0" borderId="11" xfId="0" applyNumberFormat="1" applyFont="1" applyFill="1" applyBorder="1" applyAlignment="1" applyProtection="1">
      <alignment horizontal="left"/>
      <protection locked="0"/>
    </xf>
    <xf numFmtId="0" fontId="65" fillId="0" borderId="11" xfId="0" applyNumberFormat="1" applyFont="1" applyFill="1" applyBorder="1" applyAlignment="1" applyProtection="1">
      <alignment horizontal="left"/>
      <protection locked="0"/>
    </xf>
    <xf numFmtId="183" fontId="66" fillId="0" borderId="16" xfId="0" applyNumberFormat="1" applyFont="1" applyFill="1" applyBorder="1" applyAlignment="1">
      <alignment horizontal="center" vertical="center"/>
    </xf>
    <xf numFmtId="0" fontId="63" fillId="0" borderId="30" xfId="0" applyNumberFormat="1" applyFont="1" applyFill="1" applyBorder="1" applyAlignment="1" applyProtection="1">
      <alignment vertical="center"/>
      <protection locked="0"/>
    </xf>
    <xf numFmtId="0" fontId="63" fillId="0" borderId="0" xfId="0" applyNumberFormat="1" applyFont="1" applyFill="1" applyAlignment="1" applyProtection="1">
      <alignment vertical="center"/>
      <protection locked="0"/>
    </xf>
    <xf numFmtId="0" fontId="63" fillId="0" borderId="0" xfId="0" applyNumberFormat="1" applyFont="1" applyFill="1" applyBorder="1" applyAlignment="1" applyProtection="1">
      <protection locked="0"/>
    </xf>
    <xf numFmtId="0" fontId="64" fillId="8" borderId="23" xfId="0" applyNumberFormat="1" applyFont="1" applyFill="1" applyBorder="1" applyAlignment="1" applyProtection="1">
      <alignment horizontal="left"/>
      <protection hidden="1"/>
    </xf>
    <xf numFmtId="0" fontId="64" fillId="8" borderId="18" xfId="0" applyNumberFormat="1" applyFont="1" applyFill="1" applyBorder="1" applyAlignment="1" applyProtection="1">
      <alignment horizontal="center"/>
      <protection hidden="1"/>
    </xf>
    <xf numFmtId="0" fontId="64" fillId="8" borderId="23" xfId="0" applyNumberFormat="1" applyFont="1" applyFill="1" applyBorder="1" applyAlignment="1" applyProtection="1">
      <protection hidden="1"/>
    </xf>
    <xf numFmtId="0" fontId="64" fillId="8" borderId="0" xfId="0" applyNumberFormat="1" applyFont="1" applyFill="1" applyBorder="1" applyAlignment="1" applyProtection="1">
      <protection hidden="1"/>
    </xf>
    <xf numFmtId="183" fontId="64" fillId="8" borderId="31" xfId="0" applyNumberFormat="1" applyFont="1" applyFill="1" applyBorder="1" applyAlignment="1" applyProtection="1">
      <alignment horizontal="center" vertical="center"/>
      <protection hidden="1"/>
    </xf>
    <xf numFmtId="0" fontId="63" fillId="0" borderId="14" xfId="0" applyNumberFormat="1" applyFont="1" applyFill="1" applyBorder="1" applyAlignment="1" applyProtection="1">
      <alignment horizontal="left" vertical="top"/>
      <protection locked="0"/>
    </xf>
    <xf numFmtId="0" fontId="64" fillId="0" borderId="0" xfId="0" applyNumberFormat="1" applyFont="1" applyFill="1" applyAlignment="1" applyProtection="1">
      <alignment horizontal="center"/>
      <protection locked="0"/>
    </xf>
    <xf numFmtId="183" fontId="64" fillId="0" borderId="31" xfId="0" applyNumberFormat="1" applyFont="1" applyFill="1" applyBorder="1" applyAlignment="1" applyProtection="1">
      <alignment horizontal="center" vertical="center"/>
      <protection locked="0"/>
    </xf>
    <xf numFmtId="0" fontId="63" fillId="0" borderId="89" xfId="0" applyNumberFormat="1" applyFont="1" applyFill="1" applyBorder="1" applyAlignment="1" applyProtection="1">
      <protection locked="0"/>
    </xf>
    <xf numFmtId="0" fontId="63" fillId="0" borderId="11" xfId="0" applyNumberFormat="1" applyFont="1" applyFill="1" applyBorder="1" applyAlignment="1" applyProtection="1">
      <protection locked="0"/>
    </xf>
    <xf numFmtId="0" fontId="63" fillId="0" borderId="1" xfId="0" applyNumberFormat="1" applyFont="1" applyFill="1" applyBorder="1" applyAlignment="1" applyProtection="1">
      <alignment horizontal="left" vertical="top"/>
      <protection locked="0"/>
    </xf>
    <xf numFmtId="0" fontId="63" fillId="8" borderId="30" xfId="0" applyNumberFormat="1" applyFont="1" applyFill="1" applyBorder="1" applyAlignment="1" applyProtection="1">
      <protection hidden="1"/>
    </xf>
    <xf numFmtId="0" fontId="63" fillId="8" borderId="0" xfId="0" applyNumberFormat="1" applyFont="1" applyFill="1" applyAlignment="1" applyProtection="1">
      <protection hidden="1"/>
    </xf>
    <xf numFmtId="0" fontId="63" fillId="8" borderId="0" xfId="0" applyNumberFormat="1" applyFont="1" applyFill="1" applyBorder="1" applyAlignment="1" applyProtection="1">
      <protection hidden="1"/>
    </xf>
    <xf numFmtId="0" fontId="64" fillId="0" borderId="11" xfId="0" applyNumberFormat="1" applyFont="1" applyFill="1" applyBorder="1" applyAlignment="1" applyProtection="1">
      <alignment horizontal="center"/>
      <protection locked="0"/>
    </xf>
    <xf numFmtId="183" fontId="64" fillId="0" borderId="16" xfId="0" applyNumberFormat="1" applyFont="1" applyFill="1" applyBorder="1" applyAlignment="1" applyProtection="1">
      <alignment horizontal="center" vertical="center"/>
      <protection locked="0"/>
    </xf>
    <xf numFmtId="0" fontId="63" fillId="0" borderId="30" xfId="0" applyNumberFormat="1" applyFont="1" applyFill="1" applyBorder="1" applyAlignment="1" applyProtection="1">
      <protection locked="0"/>
    </xf>
    <xf numFmtId="0" fontId="63" fillId="0" borderId="0" xfId="0" applyNumberFormat="1" applyFont="1" applyFill="1" applyAlignment="1" applyProtection="1">
      <protection locked="0"/>
    </xf>
    <xf numFmtId="0" fontId="63" fillId="0" borderId="0" xfId="0" applyNumberFormat="1" applyFont="1" applyFill="1" applyBorder="1" applyAlignment="1" applyProtection="1"/>
    <xf numFmtId="0" fontId="63" fillId="0" borderId="45" xfId="0" applyNumberFormat="1" applyFont="1" applyFill="1" applyBorder="1" applyAlignment="1" applyProtection="1">
      <alignment horizontal="left" vertical="top"/>
      <protection locked="0"/>
    </xf>
    <xf numFmtId="0" fontId="63" fillId="0" borderId="0" xfId="0" applyNumberFormat="1" applyFont="1" applyFill="1" applyAlignment="1" applyProtection="1">
      <alignment horizontal="left" vertical="top"/>
      <protection locked="0"/>
    </xf>
    <xf numFmtId="0" fontId="63" fillId="0" borderId="46" xfId="0" applyNumberFormat="1" applyFont="1" applyFill="1" applyBorder="1" applyAlignment="1" applyProtection="1">
      <alignment horizontal="left" vertical="top"/>
      <protection locked="0"/>
    </xf>
    <xf numFmtId="183" fontId="63" fillId="0" borderId="31" xfId="0" applyNumberFormat="1" applyFont="1" applyFill="1" applyBorder="1" applyAlignment="1" applyProtection="1">
      <alignment horizontal="center" vertical="center"/>
      <protection locked="0"/>
    </xf>
    <xf numFmtId="0" fontId="63" fillId="0" borderId="30" xfId="0" applyNumberFormat="1" applyFont="1" applyFill="1" applyBorder="1" applyAlignment="1" applyProtection="1"/>
    <xf numFmtId="0" fontId="63" fillId="0" borderId="0" xfId="0" applyNumberFormat="1" applyFont="1" applyFill="1" applyAlignment="1" applyProtection="1"/>
    <xf numFmtId="0" fontId="63" fillId="0" borderId="0" xfId="0" applyNumberFormat="1" applyFont="1" applyFill="1" applyAlignment="1" applyProtection="1">
      <alignment wrapText="1"/>
    </xf>
    <xf numFmtId="0" fontId="63" fillId="0" borderId="30" xfId="0" applyFont="1" applyBorder="1" applyAlignment="1">
      <alignment vertical="center"/>
    </xf>
    <xf numFmtId="0" fontId="63" fillId="0" borderId="0" xfId="0" applyFont="1" applyAlignment="1">
      <alignment vertical="center"/>
    </xf>
    <xf numFmtId="0" fontId="63" fillId="0" borderId="13" xfId="0" applyNumberFormat="1" applyFont="1" applyFill="1" applyBorder="1" applyAlignment="1" applyProtection="1">
      <alignment horizontal="left" vertical="top"/>
      <protection locked="0"/>
    </xf>
    <xf numFmtId="0" fontId="63" fillId="0" borderId="11" xfId="0" applyNumberFormat="1" applyFont="1" applyFill="1" applyBorder="1" applyAlignment="1" applyProtection="1">
      <alignment horizontal="left" vertical="top"/>
      <protection locked="0"/>
    </xf>
    <xf numFmtId="0" fontId="63" fillId="0" borderId="12" xfId="0" applyNumberFormat="1" applyFont="1" applyFill="1" applyBorder="1" applyAlignment="1" applyProtection="1">
      <alignment horizontal="left" vertical="top"/>
      <protection locked="0"/>
    </xf>
    <xf numFmtId="183" fontId="63" fillId="0" borderId="16" xfId="0" applyNumberFormat="1" applyFont="1" applyFill="1" applyBorder="1" applyAlignment="1" applyProtection="1">
      <alignment horizontal="center" vertical="center"/>
      <protection locked="0"/>
    </xf>
    <xf numFmtId="0" fontId="66" fillId="8" borderId="18" xfId="0" applyNumberFormat="1" applyFont="1" applyFill="1" applyBorder="1" applyAlignment="1"/>
    <xf numFmtId="183" fontId="66" fillId="8" borderId="22" xfId="0" applyNumberFormat="1" applyFont="1" applyFill="1" applyBorder="1" applyAlignment="1" applyProtection="1">
      <alignment horizontal="center" vertical="center"/>
      <protection hidden="1"/>
    </xf>
    <xf numFmtId="0" fontId="35" fillId="0" borderId="30" xfId="0" applyNumberFormat="1" applyFont="1" applyFill="1" applyBorder="1" applyAlignment="1" applyProtection="1">
      <alignment vertical="top"/>
    </xf>
    <xf numFmtId="0" fontId="35" fillId="0" borderId="0" xfId="0" applyNumberFormat="1" applyFont="1" applyFill="1" applyBorder="1" applyAlignment="1" applyProtection="1">
      <alignment vertical="top"/>
    </xf>
    <xf numFmtId="0" fontId="35" fillId="0" borderId="0" xfId="0" applyNumberFormat="1" applyFont="1" applyFill="1" applyBorder="1" applyAlignment="1" applyProtection="1"/>
    <xf numFmtId="11" fontId="67" fillId="0" borderId="45" xfId="0" applyNumberFormat="1" applyFont="1" applyFill="1" applyBorder="1" applyAlignment="1" applyProtection="1">
      <alignment horizontal="left"/>
      <protection locked="0"/>
    </xf>
    <xf numFmtId="0" fontId="67" fillId="0" borderId="0" xfId="0" applyNumberFormat="1" applyFont="1" applyFill="1" applyBorder="1" applyAlignment="1" applyProtection="1">
      <alignment horizontal="left"/>
      <protection locked="0"/>
    </xf>
    <xf numFmtId="183" fontId="67" fillId="0" borderId="31" xfId="0" applyNumberFormat="1" applyFont="1" applyFill="1" applyBorder="1" applyAlignment="1" applyProtection="1">
      <alignment horizontal="center" vertical="center"/>
      <protection locked="0"/>
    </xf>
    <xf numFmtId="0" fontId="68" fillId="8" borderId="3" xfId="0" applyNumberFormat="1" applyFont="1" applyFill="1" applyBorder="1" applyAlignment="1" applyProtection="1">
      <alignment horizontal="center" vertical="center" wrapText="1"/>
      <protection hidden="1"/>
    </xf>
    <xf numFmtId="0" fontId="68" fillId="8" borderId="4" xfId="0" applyNumberFormat="1" applyFont="1" applyFill="1" applyBorder="1" applyAlignment="1" applyProtection="1">
      <alignment horizontal="center" vertical="center" wrapText="1"/>
      <protection hidden="1"/>
    </xf>
    <xf numFmtId="0" fontId="68" fillId="8" borderId="7" xfId="0" applyNumberFormat="1" applyFont="1" applyFill="1" applyBorder="1" applyAlignment="1" applyProtection="1">
      <alignment horizontal="center" vertical="center" wrapText="1"/>
      <protection hidden="1"/>
    </xf>
    <xf numFmtId="0" fontId="68" fillId="8" borderId="5" xfId="0" applyNumberFormat="1" applyFont="1" applyFill="1" applyBorder="1" applyAlignment="1" applyProtection="1">
      <alignment horizontal="center" vertical="center" wrapText="1"/>
      <protection hidden="1"/>
    </xf>
    <xf numFmtId="183" fontId="68" fillId="8" borderId="7" xfId="0" applyNumberFormat="1" applyFont="1" applyFill="1" applyBorder="1" applyAlignment="1" applyProtection="1">
      <alignment horizontal="center" vertical="center" wrapText="1"/>
      <protection hidden="1"/>
    </xf>
    <xf numFmtId="183" fontId="68" fillId="8" borderId="6" xfId="0" applyNumberFormat="1" applyFont="1" applyFill="1" applyBorder="1" applyAlignment="1" applyProtection="1">
      <alignment horizontal="center" vertical="center" wrapText="1"/>
      <protection hidden="1"/>
    </xf>
    <xf numFmtId="183" fontId="68" fillId="8" borderId="8" xfId="0" applyNumberFormat="1" applyFont="1" applyFill="1" applyBorder="1" applyAlignment="1" applyProtection="1">
      <alignment horizontal="center" vertical="center" wrapText="1"/>
      <protection hidden="1"/>
    </xf>
    <xf numFmtId="0" fontId="69" fillId="0" borderId="90" xfId="0" applyFont="1" applyBorder="1" applyAlignment="1">
      <alignment horizontal="center" vertical="center"/>
    </xf>
    <xf numFmtId="0" fontId="61" fillId="0" borderId="0" xfId="0" applyNumberFormat="1" applyFont="1" applyFill="1" applyBorder="1" applyAlignment="1">
      <alignment horizontal="center" vertical="center" wrapText="1"/>
    </xf>
    <xf numFmtId="0" fontId="69" fillId="0" borderId="86" xfId="0" applyFont="1" applyFill="1" applyBorder="1" applyAlignment="1">
      <alignment horizontal="center" vertical="center" wrapText="1"/>
    </xf>
    <xf numFmtId="0" fontId="61" fillId="0" borderId="86" xfId="0" applyNumberFormat="1" applyFont="1" applyFill="1" applyBorder="1" applyAlignment="1">
      <alignment horizontal="center" vertical="center"/>
    </xf>
    <xf numFmtId="183" fontId="61" fillId="0" borderId="86" xfId="0" applyNumberFormat="1" applyFont="1" applyFill="1" applyBorder="1" applyAlignment="1" applyProtection="1">
      <alignment horizontal="center" vertical="center"/>
    </xf>
    <xf numFmtId="183" fontId="61" fillId="0" borderId="45" xfId="0" applyNumberFormat="1" applyFont="1" applyFill="1" applyBorder="1" applyAlignment="1">
      <alignment horizontal="center" vertical="center"/>
    </xf>
    <xf numFmtId="183" fontId="61" fillId="0" borderId="91" xfId="0" applyNumberFormat="1" applyFont="1" applyFill="1" applyBorder="1" applyAlignment="1">
      <alignment horizontal="center" vertical="center"/>
    </xf>
    <xf numFmtId="0" fontId="69" fillId="0" borderId="90" xfId="0" applyFont="1" applyBorder="1">
      <alignment vertical="center"/>
    </xf>
    <xf numFmtId="0" fontId="61" fillId="0" borderId="0" xfId="0" applyNumberFormat="1" applyFont="1" applyFill="1" applyBorder="1" applyAlignment="1" applyProtection="1">
      <alignment horizontal="center"/>
      <protection locked="0"/>
    </xf>
    <xf numFmtId="0" fontId="61" fillId="8" borderId="45" xfId="0" applyNumberFormat="1" applyFont="1" applyFill="1" applyBorder="1" applyAlignment="1" applyProtection="1">
      <alignment horizontal="center"/>
      <protection hidden="1"/>
    </xf>
    <xf numFmtId="0" fontId="61" fillId="8" borderId="86" xfId="0" applyNumberFormat="1" applyFont="1" applyFill="1" applyBorder="1" applyAlignment="1" applyProtection="1">
      <alignment horizontal="center"/>
      <protection hidden="1"/>
    </xf>
    <xf numFmtId="183" fontId="61" fillId="8" borderId="45" xfId="0" applyNumberFormat="1" applyFont="1" applyFill="1" applyBorder="1" applyAlignment="1" applyProtection="1">
      <alignment horizontal="center"/>
      <protection hidden="1"/>
    </xf>
    <xf numFmtId="183" fontId="61" fillId="8" borderId="91" xfId="0" applyNumberFormat="1" applyFont="1" applyFill="1" applyBorder="1" applyAlignment="1" applyProtection="1">
      <alignment horizontal="center"/>
      <protection hidden="1"/>
    </xf>
    <xf numFmtId="0" fontId="69" fillId="0" borderId="92" xfId="0" applyFont="1" applyBorder="1">
      <alignment vertical="center"/>
    </xf>
    <xf numFmtId="0" fontId="61" fillId="0" borderId="2" xfId="0" applyNumberFormat="1" applyFont="1" applyFill="1" applyBorder="1" applyAlignment="1" applyProtection="1">
      <alignment horizontal="center"/>
      <protection locked="0"/>
    </xf>
    <xf numFmtId="0" fontId="61" fillId="0" borderId="93" xfId="0" applyNumberFormat="1" applyFont="1" applyFill="1" applyBorder="1" applyAlignment="1" applyProtection="1">
      <alignment horizontal="center"/>
      <protection locked="0"/>
    </xf>
    <xf numFmtId="0" fontId="61" fillId="8" borderId="93" xfId="0" applyNumberFormat="1" applyFont="1" applyFill="1" applyBorder="1" applyAlignment="1" applyProtection="1">
      <alignment horizontal="left"/>
      <protection hidden="1"/>
    </xf>
    <xf numFmtId="0" fontId="61" fillId="8" borderId="94" xfId="0" applyNumberFormat="1" applyFont="1" applyFill="1" applyBorder="1" applyAlignment="1" applyProtection="1">
      <alignment horizontal="center"/>
      <protection hidden="1"/>
    </xf>
    <xf numFmtId="0" fontId="60" fillId="7" borderId="30" xfId="0" applyNumberFormat="1" applyFont="1" applyFill="1" applyBorder="1" applyAlignment="1" applyProtection="1">
      <alignment horizontal="center"/>
      <protection hidden="1"/>
    </xf>
    <xf numFmtId="0" fontId="60" fillId="7" borderId="0" xfId="0" applyNumberFormat="1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left" vertical="top"/>
    </xf>
    <xf numFmtId="0" fontId="70" fillId="0" borderId="0" xfId="0" applyFont="1">
      <alignment vertical="center"/>
    </xf>
    <xf numFmtId="0" fontId="0" fillId="0" borderId="0" xfId="0" applyAlignment="1">
      <alignment vertical="center"/>
    </xf>
    <xf numFmtId="0" fontId="71" fillId="0" borderId="0" xfId="0" applyFont="1" applyFill="1" applyAlignment="1">
      <alignment vertical="center" wrapText="1"/>
    </xf>
    <xf numFmtId="0" fontId="71" fillId="0" borderId="0" xfId="0" applyFont="1" applyFill="1" applyAlignment="1">
      <alignment horizontal="center" vertical="center" wrapText="1"/>
    </xf>
    <xf numFmtId="202" fontId="72" fillId="0" borderId="0" xfId="0" applyNumberFormat="1" applyFont="1" applyFill="1" applyAlignment="1">
      <alignment vertical="top" wrapText="1"/>
    </xf>
    <xf numFmtId="202" fontId="72" fillId="0" borderId="0" xfId="0" applyNumberFormat="1" applyFont="1" applyFill="1" applyAlignment="1">
      <alignment horizontal="center" vertical="top" wrapText="1"/>
    </xf>
    <xf numFmtId="202" fontId="73" fillId="0" borderId="0" xfId="0" applyNumberFormat="1" applyFont="1" applyFill="1" applyAlignment="1">
      <alignment vertical="top" wrapText="1"/>
    </xf>
    <xf numFmtId="202" fontId="73" fillId="0" borderId="0" xfId="0" applyNumberFormat="1" applyFont="1" applyFill="1" applyAlignment="1">
      <alignment horizontal="center" vertical="top" wrapText="1"/>
    </xf>
    <xf numFmtId="0" fontId="74" fillId="0" borderId="0" xfId="0" applyFont="1" applyFill="1" applyAlignment="1">
      <alignment vertical="center" wrapText="1"/>
    </xf>
    <xf numFmtId="0" fontId="74" fillId="0" borderId="0" xfId="0" applyFont="1" applyFill="1" applyAlignment="1">
      <alignment horizontal="center" vertical="center" wrapText="1"/>
    </xf>
    <xf numFmtId="0" fontId="75" fillId="0" borderId="0" xfId="0" applyFont="1" applyFill="1" applyAlignment="1">
      <alignment vertical="center" wrapText="1"/>
    </xf>
    <xf numFmtId="0" fontId="75" fillId="0" borderId="0" xfId="0" applyFont="1" applyFill="1" applyAlignment="1">
      <alignment horizontal="center" vertical="center" wrapText="1"/>
    </xf>
    <xf numFmtId="0" fontId="76" fillId="0" borderId="0" xfId="0" applyFont="1" applyFill="1" applyAlignment="1">
      <alignment vertical="center" wrapText="1"/>
    </xf>
    <xf numFmtId="0" fontId="76" fillId="0" borderId="0" xfId="0" applyFont="1" applyFill="1" applyAlignment="1">
      <alignment horizontal="center" vertical="center" wrapText="1"/>
    </xf>
    <xf numFmtId="0" fontId="73" fillId="0" borderId="0" xfId="0" applyFont="1" applyFill="1" applyAlignment="1">
      <alignment vertical="top" wrapText="1"/>
    </xf>
    <xf numFmtId="0" fontId="73" fillId="0" borderId="0" xfId="0" applyFont="1" applyFill="1" applyAlignment="1">
      <alignment horizontal="left" vertical="top" wrapText="1"/>
    </xf>
    <xf numFmtId="203" fontId="43" fillId="0" borderId="0" xfId="0" applyNumberFormat="1" applyFont="1" applyFill="1" applyBorder="1" applyAlignment="1">
      <alignment horizontal="left" vertical="top" wrapText="1" indent="1"/>
    </xf>
    <xf numFmtId="0" fontId="73" fillId="0" borderId="0" xfId="0" applyFont="1" applyFill="1" applyAlignment="1">
      <alignment vertical="center" wrapText="1"/>
    </xf>
    <xf numFmtId="0" fontId="73" fillId="0" borderId="0" xfId="0" applyFont="1" applyFill="1" applyAlignment="1">
      <alignment horizontal="left" vertical="center" wrapText="1"/>
    </xf>
    <xf numFmtId="204" fontId="63" fillId="0" borderId="0" xfId="0" applyNumberFormat="1" applyFont="1" applyFill="1" applyAlignment="1">
      <alignment horizontal="center" vertical="center" wrapText="1"/>
    </xf>
    <xf numFmtId="0" fontId="73" fillId="0" borderId="0" xfId="0" applyFont="1" applyFill="1" applyAlignment="1">
      <alignment horizontal="center" vertical="center"/>
    </xf>
    <xf numFmtId="0" fontId="73" fillId="0" borderId="0" xfId="0" applyFont="1" applyFill="1" applyAlignment="1">
      <alignment wrapText="1"/>
    </xf>
    <xf numFmtId="0" fontId="73" fillId="0" borderId="0" xfId="0" applyFont="1" applyFill="1" applyAlignment="1">
      <alignment horizontal="left" wrapText="1"/>
    </xf>
    <xf numFmtId="0" fontId="73" fillId="0" borderId="11" xfId="0" applyFont="1" applyFill="1" applyBorder="1" applyAlignment="1">
      <alignment vertical="center"/>
    </xf>
    <xf numFmtId="0" fontId="63" fillId="0" borderId="0" xfId="0" applyFont="1" applyFill="1" applyAlignment="1">
      <alignment horizontal="center" vertical="center" wrapText="1"/>
    </xf>
    <xf numFmtId="191" fontId="77" fillId="0" borderId="11" xfId="0" applyNumberFormat="1" applyFont="1" applyFill="1" applyBorder="1" applyAlignment="1">
      <alignment horizontal="center" vertical="center" wrapText="1"/>
    </xf>
    <xf numFmtId="58" fontId="77" fillId="0" borderId="0" xfId="0" applyNumberFormat="1" applyFont="1" applyFill="1" applyBorder="1" applyAlignment="1">
      <alignment horizontal="center" vertical="center" wrapText="1"/>
    </xf>
    <xf numFmtId="0" fontId="63" fillId="0" borderId="0" xfId="0" applyFont="1" applyFill="1" applyAlignment="1">
      <alignment horizontal="center" wrapText="1"/>
    </xf>
    <xf numFmtId="0" fontId="78" fillId="0" borderId="0" xfId="0" applyFont="1" applyAlignment="1">
      <alignment horizontal="center" vertical="center"/>
    </xf>
    <xf numFmtId="0" fontId="79" fillId="0" borderId="0" xfId="0" applyFont="1">
      <alignment vertical="center"/>
    </xf>
    <xf numFmtId="0" fontId="73" fillId="0" borderId="0" xfId="0" applyFont="1" applyFill="1" applyAlignment="1">
      <alignment horizontal="center" vertical="center" wrapText="1"/>
    </xf>
    <xf numFmtId="0" fontId="73" fillId="0" borderId="0" xfId="0" applyFont="1" applyFill="1" applyAlignment="1">
      <alignment vertical="center"/>
    </xf>
    <xf numFmtId="0" fontId="73" fillId="0" borderId="0" xfId="0" applyFont="1" applyFill="1" applyBorder="1" applyAlignment="1">
      <alignment vertical="center"/>
    </xf>
    <xf numFmtId="0" fontId="77" fillId="0" borderId="0" xfId="0" applyFont="1" applyFill="1" applyBorder="1" applyAlignment="1">
      <alignment horizontal="left" vertical="top" wrapText="1"/>
    </xf>
    <xf numFmtId="184" fontId="77" fillId="0" borderId="0" xfId="0" applyNumberFormat="1" applyFont="1" applyFill="1" applyBorder="1" applyAlignment="1">
      <alignment horizontal="left" vertical="top" wrapText="1"/>
    </xf>
    <xf numFmtId="0" fontId="73" fillId="0" borderId="11" xfId="0" applyFont="1" applyFill="1" applyBorder="1" applyAlignment="1">
      <alignment horizontal="center" vertical="center" wrapText="1"/>
    </xf>
    <xf numFmtId="0" fontId="73" fillId="0" borderId="0" xfId="0" applyFont="1" applyFill="1" applyBorder="1" applyAlignment="1">
      <alignment vertical="top" wrapText="1"/>
    </xf>
    <xf numFmtId="0" fontId="43" fillId="0" borderId="0" xfId="0" applyFont="1" applyFill="1" applyBorder="1" applyAlignment="1">
      <alignment horizontal="center" wrapText="1"/>
    </xf>
    <xf numFmtId="0" fontId="43" fillId="0" borderId="0" xfId="0" applyFont="1" applyFill="1" applyBorder="1" applyAlignment="1">
      <alignment horizontal="left" wrapText="1"/>
    </xf>
    <xf numFmtId="0" fontId="69" fillId="0" borderId="0" xfId="0" applyFont="1" applyAlignment="1">
      <alignment vertical="center"/>
    </xf>
    <xf numFmtId="0" fontId="73" fillId="0" borderId="0" xfId="0" applyFont="1" applyFill="1" applyBorder="1" applyAlignment="1">
      <alignment horizontal="left" vertical="top" wrapText="1"/>
    </xf>
    <xf numFmtId="184" fontId="73" fillId="0" borderId="0" xfId="0" applyNumberFormat="1" applyFont="1" applyFill="1" applyBorder="1" applyAlignment="1">
      <alignment horizontal="left" vertical="top" wrapText="1"/>
    </xf>
    <xf numFmtId="0" fontId="43" fillId="0" borderId="0" xfId="0" applyFont="1" applyFill="1" applyBorder="1" applyAlignment="1">
      <alignment horizontal="left" vertical="top" wrapText="1"/>
    </xf>
    <xf numFmtId="0" fontId="80" fillId="0" borderId="0" xfId="0" applyFont="1" applyFill="1" applyBorder="1" applyAlignment="1">
      <alignment horizontal="left" vertical="top" wrapText="1"/>
    </xf>
    <xf numFmtId="0" fontId="80" fillId="0" borderId="0" xfId="0" applyFont="1" applyFill="1" applyBorder="1" applyAlignment="1">
      <alignment vertical="top" wrapText="1"/>
    </xf>
    <xf numFmtId="184" fontId="80" fillId="0" borderId="0" xfId="0" applyNumberFormat="1" applyFont="1" applyFill="1" applyBorder="1" applyAlignment="1">
      <alignment horizontal="left" vertical="top" wrapText="1"/>
    </xf>
    <xf numFmtId="0" fontId="35" fillId="0" borderId="1" xfId="0" applyFont="1" applyFill="1" applyBorder="1" applyAlignment="1">
      <alignment horizontal="center" wrapText="1"/>
    </xf>
    <xf numFmtId="0" fontId="43" fillId="0" borderId="47" xfId="0" applyFont="1" applyFill="1" applyBorder="1" applyAlignment="1">
      <alignment horizontal="center" vertical="center" wrapText="1"/>
    </xf>
    <xf numFmtId="0" fontId="43" fillId="0" borderId="41" xfId="0" applyFont="1" applyFill="1" applyBorder="1" applyAlignment="1">
      <alignment horizontal="center" vertical="center" wrapText="1"/>
    </xf>
    <xf numFmtId="0" fontId="43" fillId="0" borderId="40" xfId="0" applyFont="1" applyFill="1" applyBorder="1" applyAlignment="1">
      <alignment horizontal="center" vertical="center" wrapText="1"/>
    </xf>
    <xf numFmtId="184" fontId="35" fillId="0" borderId="1" xfId="0" applyNumberFormat="1" applyFont="1" applyFill="1" applyBorder="1" applyAlignment="1">
      <alignment horizontal="center" wrapText="1"/>
    </xf>
    <xf numFmtId="0" fontId="35" fillId="0" borderId="47" xfId="0" applyFont="1" applyFill="1" applyBorder="1" applyAlignment="1">
      <alignment horizontal="center" vertical="center" wrapText="1"/>
    </xf>
    <xf numFmtId="0" fontId="35" fillId="0" borderId="40" xfId="0" applyFont="1" applyFill="1" applyBorder="1" applyAlignment="1">
      <alignment horizontal="center" vertical="center" wrapText="1"/>
    </xf>
    <xf numFmtId="0" fontId="81" fillId="0" borderId="1" xfId="0" applyFont="1" applyFill="1" applyBorder="1" applyAlignment="1">
      <alignment horizontal="left" vertical="top" wrapText="1"/>
    </xf>
    <xf numFmtId="0" fontId="81" fillId="0" borderId="1" xfId="0" applyFont="1" applyFill="1" applyBorder="1" applyAlignment="1">
      <alignment vertical="top" wrapText="1"/>
    </xf>
    <xf numFmtId="205" fontId="82" fillId="0" borderId="47" xfId="0" applyNumberFormat="1" applyFont="1" applyFill="1" applyBorder="1" applyAlignment="1">
      <alignment horizontal="center" vertical="center" wrapText="1"/>
    </xf>
    <xf numFmtId="205" fontId="82" fillId="0" borderId="40" xfId="0" applyNumberFormat="1" applyFont="1" applyFill="1" applyBorder="1" applyAlignment="1">
      <alignment horizontal="center" vertical="center" wrapText="1"/>
    </xf>
    <xf numFmtId="0" fontId="76" fillId="0" borderId="1" xfId="0" applyFont="1" applyFill="1" applyBorder="1" applyAlignment="1">
      <alignment horizontal="center" vertical="center" wrapText="1"/>
    </xf>
    <xf numFmtId="188" fontId="73" fillId="0" borderId="1" xfId="57" applyNumberFormat="1" applyFont="1" applyFill="1" applyBorder="1" applyAlignment="1">
      <alignment horizontal="center" vertical="center" wrapText="1"/>
    </xf>
    <xf numFmtId="200" fontId="73" fillId="0" borderId="1" xfId="57" applyNumberFormat="1" applyFont="1" applyFill="1" applyBorder="1" applyAlignment="1">
      <alignment horizontal="center" vertical="center" wrapText="1"/>
    </xf>
    <xf numFmtId="0" fontId="73" fillId="0" borderId="1" xfId="57" applyNumberFormat="1" applyFont="1" applyFill="1" applyBorder="1" applyAlignment="1">
      <alignment horizontal="center" vertical="center" wrapText="1"/>
    </xf>
    <xf numFmtId="195" fontId="73" fillId="0" borderId="1" xfId="57" applyNumberFormat="1" applyFont="1" applyFill="1" applyBorder="1" applyAlignment="1">
      <alignment horizontal="center" vertical="center" wrapText="1"/>
    </xf>
    <xf numFmtId="195" fontId="76" fillId="0" borderId="1" xfId="0" applyNumberFormat="1" applyFont="1" applyFill="1" applyBorder="1" applyAlignment="1">
      <alignment horizontal="center" vertical="center" wrapText="1"/>
    </xf>
    <xf numFmtId="206" fontId="73" fillId="0" borderId="1" xfId="57" applyNumberFormat="1" applyFont="1" applyFill="1" applyBorder="1" applyAlignment="1">
      <alignment horizontal="center" vertical="center" wrapText="1"/>
    </xf>
    <xf numFmtId="207" fontId="73" fillId="0" borderId="1" xfId="57" applyNumberFormat="1" applyFont="1" applyFill="1" applyBorder="1" applyAlignment="1">
      <alignment horizontal="center" vertical="center" wrapText="1"/>
    </xf>
    <xf numFmtId="0" fontId="76" fillId="0" borderId="1" xfId="0" applyFont="1" applyFill="1" applyBorder="1" applyAlignment="1">
      <alignment horizontal="left" vertical="top" wrapText="1"/>
    </xf>
    <xf numFmtId="0" fontId="76" fillId="0" borderId="1" xfId="0" applyFont="1" applyFill="1" applyBorder="1" applyAlignment="1">
      <alignment vertical="top" wrapText="1"/>
    </xf>
    <xf numFmtId="195" fontId="73" fillId="0" borderId="47" xfId="0" applyNumberFormat="1" applyFont="1" applyFill="1" applyBorder="1" applyAlignment="1">
      <alignment horizontal="center" vertical="center" wrapText="1"/>
    </xf>
    <xf numFmtId="195" fontId="73" fillId="0" borderId="40" xfId="0" applyNumberFormat="1" applyFont="1" applyFill="1" applyBorder="1" applyAlignment="1">
      <alignment horizontal="center" vertical="center" wrapText="1"/>
    </xf>
    <xf numFmtId="0" fontId="73" fillId="0" borderId="1" xfId="0" applyFont="1" applyFill="1" applyBorder="1" applyAlignment="1">
      <alignment horizontal="center" vertical="center" wrapText="1"/>
    </xf>
    <xf numFmtId="208" fontId="77" fillId="0" borderId="47" xfId="0" applyNumberFormat="1" applyFont="1" applyFill="1" applyBorder="1" applyAlignment="1">
      <alignment horizontal="center" vertical="center" wrapText="1"/>
    </xf>
    <xf numFmtId="208" fontId="77" fillId="0" borderId="41" xfId="0" applyNumberFormat="1" applyFont="1" applyFill="1" applyBorder="1" applyAlignment="1">
      <alignment horizontal="center" vertical="center" wrapText="1"/>
    </xf>
    <xf numFmtId="208" fontId="77" fillId="0" borderId="40" xfId="0" applyNumberFormat="1" applyFont="1" applyFill="1" applyBorder="1" applyAlignment="1">
      <alignment horizontal="center" vertical="center" wrapText="1"/>
    </xf>
    <xf numFmtId="208" fontId="77" fillId="0" borderId="1" xfId="0" applyNumberFormat="1" applyFont="1" applyFill="1" applyBorder="1" applyAlignment="1">
      <alignment horizontal="left" vertical="center" wrapText="1"/>
    </xf>
    <xf numFmtId="0" fontId="63" fillId="0" borderId="0" xfId="0" applyFont="1" applyFill="1" applyAlignment="1">
      <alignment vertical="center" wrapText="1"/>
    </xf>
    <xf numFmtId="0" fontId="63" fillId="0" borderId="0" xfId="0" applyFont="1" applyFill="1" applyAlignment="1">
      <alignment horizontal="left" vertical="center" wrapText="1"/>
    </xf>
    <xf numFmtId="0" fontId="83" fillId="0" borderId="0" xfId="0" applyFont="1" applyFill="1" applyAlignment="1">
      <alignment horizontal="left" vertical="center" wrapText="1"/>
    </xf>
    <xf numFmtId="203" fontId="83" fillId="0" borderId="0" xfId="0" applyNumberFormat="1" applyFont="1" applyFill="1" applyAlignment="1">
      <alignment horizontal="left" vertical="top" wrapText="1"/>
    </xf>
    <xf numFmtId="195" fontId="77" fillId="0" borderId="1" xfId="0" applyNumberFormat="1" applyFont="1" applyFill="1" applyBorder="1" applyAlignment="1">
      <alignment horizontal="left" vertical="center" wrapText="1"/>
    </xf>
    <xf numFmtId="0" fontId="84" fillId="0" borderId="0" xfId="57" applyFont="1" applyFill="1" applyBorder="1" applyAlignment="1">
      <alignment horizontal="center"/>
    </xf>
    <xf numFmtId="0" fontId="73" fillId="0" borderId="0" xfId="57" applyFont="1" applyFill="1" applyBorder="1" applyAlignment="1">
      <alignment horizontal="center" vertical="center"/>
    </xf>
    <xf numFmtId="0" fontId="50" fillId="0" borderId="0" xfId="57" applyFont="1" applyFill="1" applyAlignment="1">
      <alignment horizontal="center" vertical="center" wrapText="1"/>
    </xf>
    <xf numFmtId="0" fontId="85" fillId="0" borderId="0" xfId="57" applyFont="1" applyFill="1" applyBorder="1" applyAlignment="1">
      <alignment horizontal="right"/>
    </xf>
    <xf numFmtId="0" fontId="35" fillId="0" borderId="0" xfId="57" applyFont="1" applyFill="1" applyBorder="1" applyAlignment="1">
      <alignment horizontal="center"/>
    </xf>
    <xf numFmtId="0" fontId="35" fillId="0" borderId="0" xfId="0" applyFont="1" applyFill="1" applyBorder="1" applyAlignment="1">
      <alignment vertical="center"/>
    </xf>
    <xf numFmtId="0" fontId="35" fillId="0" borderId="0" xfId="57" applyFont="1" applyFill="1" applyBorder="1" applyAlignment="1">
      <alignment horizontal="right"/>
    </xf>
    <xf numFmtId="209" fontId="35" fillId="0" borderId="0" xfId="57" applyNumberFormat="1" applyFont="1" applyFill="1" applyBorder="1" applyAlignment="1">
      <alignment horizontal="center"/>
    </xf>
    <xf numFmtId="0" fontId="69" fillId="0" borderId="0" xfId="0" applyFont="1" applyFill="1" applyAlignment="1">
      <alignment horizontal="center" vertical="center" wrapText="1"/>
    </xf>
    <xf numFmtId="0" fontId="69" fillId="0" borderId="0" xfId="0" applyFont="1" applyFill="1" applyBorder="1" applyAlignment="1">
      <alignment vertical="center"/>
    </xf>
    <xf numFmtId="0" fontId="86" fillId="0" borderId="0" xfId="0" applyFont="1" applyFill="1">
      <alignment vertical="center"/>
    </xf>
    <xf numFmtId="0" fontId="35" fillId="0" borderId="0" xfId="57" applyFont="1" applyFill="1" applyAlignment="1">
      <alignment horizontal="center" vertical="center" wrapText="1"/>
    </xf>
    <xf numFmtId="0" fontId="69" fillId="0" borderId="0" xfId="0" applyFont="1" applyFill="1" applyBorder="1" applyAlignment="1">
      <alignment horizontal="center" vertical="center" wrapText="1"/>
    </xf>
    <xf numFmtId="0" fontId="69" fillId="0" borderId="0" xfId="0" applyFont="1" applyFill="1" applyAlignment="1">
      <alignment vertical="center"/>
    </xf>
    <xf numFmtId="0" fontId="35" fillId="0" borderId="0" xfId="57" applyFont="1" applyFill="1" applyBorder="1" applyAlignment="1">
      <alignment horizontal="center" vertical="center" wrapText="1"/>
    </xf>
    <xf numFmtId="0" fontId="73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86" fillId="0" borderId="0" xfId="0" applyFont="1" applyFill="1" applyAlignment="1">
      <alignment horizontal="center" vertical="center"/>
    </xf>
    <xf numFmtId="0" fontId="85" fillId="0" borderId="0" xfId="57" applyFont="1" applyFill="1" applyAlignment="1">
      <alignment horizontal="center" vertical="center" wrapText="1"/>
    </xf>
    <xf numFmtId="191" fontId="73" fillId="0" borderId="0" xfId="0" applyNumberFormat="1" applyFont="1" applyFill="1" applyAlignment="1">
      <alignment horizontal="center" vertical="center"/>
    </xf>
    <xf numFmtId="191" fontId="73" fillId="0" borderId="11" xfId="0" applyNumberFormat="1" applyFont="1" applyFill="1" applyBorder="1" applyAlignment="1">
      <alignment horizontal="center" vertical="center"/>
    </xf>
    <xf numFmtId="0" fontId="85" fillId="0" borderId="0" xfId="57" applyFont="1" applyFill="1" applyBorder="1" applyAlignment="1">
      <alignment horizontal="center" vertical="center" wrapText="1"/>
    </xf>
    <xf numFmtId="0" fontId="87" fillId="0" borderId="0" xfId="0" applyFont="1" applyFill="1">
      <alignment vertical="center"/>
    </xf>
    <xf numFmtId="0" fontId="73" fillId="0" borderId="11" xfId="0" applyFont="1" applyFill="1" applyBorder="1" applyAlignment="1">
      <alignment horizontal="center" vertical="center"/>
    </xf>
    <xf numFmtId="0" fontId="73" fillId="0" borderId="0" xfId="0" applyFont="1" applyFill="1" applyBorder="1" applyAlignment="1">
      <alignment horizontal="center" vertical="center" wrapText="1"/>
    </xf>
    <xf numFmtId="0" fontId="61" fillId="0" borderId="0" xfId="57" applyFont="1" applyFill="1" applyBorder="1" applyAlignment="1">
      <alignment horizontal="right" wrapText="1"/>
    </xf>
    <xf numFmtId="0" fontId="35" fillId="0" borderId="0" xfId="0" applyFont="1" applyFill="1" applyBorder="1" applyAlignment="1">
      <alignment horizontal="center" vertical="center"/>
    </xf>
    <xf numFmtId="0" fontId="88" fillId="0" borderId="0" xfId="0" applyFont="1" applyFill="1" applyAlignment="1">
      <alignment vertical="center"/>
    </xf>
    <xf numFmtId="0" fontId="34" fillId="0" borderId="0" xfId="0" applyFont="1" applyFill="1" applyBorder="1" applyAlignment="1">
      <alignment horizontal="left" vertical="center"/>
    </xf>
    <xf numFmtId="0" fontId="89" fillId="0" borderId="0" xfId="0" applyFont="1" applyFill="1" applyAlignment="1">
      <alignment horizontal="left" vertical="center" wrapText="1"/>
    </xf>
    <xf numFmtId="0" fontId="89" fillId="0" borderId="0" xfId="0" applyFont="1" applyFill="1" applyAlignment="1">
      <alignment vertical="center"/>
    </xf>
    <xf numFmtId="0" fontId="35" fillId="0" borderId="0" xfId="57" applyFont="1" applyFill="1" applyBorder="1" applyAlignment="1"/>
    <xf numFmtId="188" fontId="35" fillId="0" borderId="0" xfId="57" applyNumberFormat="1" applyFont="1" applyFill="1" applyBorder="1" applyAlignment="1"/>
    <xf numFmtId="0" fontId="73" fillId="0" borderId="1" xfId="57" applyFont="1" applyFill="1" applyBorder="1" applyAlignment="1">
      <alignment horizontal="center" wrapText="1"/>
    </xf>
    <xf numFmtId="188" fontId="73" fillId="0" borderId="1" xfId="57" applyNumberFormat="1" applyFont="1" applyFill="1" applyBorder="1" applyAlignment="1">
      <alignment horizontal="center" wrapText="1"/>
    </xf>
    <xf numFmtId="210" fontId="73" fillId="0" borderId="1" xfId="57" applyNumberFormat="1" applyFont="1" applyFill="1" applyBorder="1" applyAlignment="1">
      <alignment horizontal="center" wrapText="1"/>
    </xf>
    <xf numFmtId="210" fontId="73" fillId="0" borderId="1" xfId="57" applyNumberFormat="1" applyFont="1" applyFill="1" applyBorder="1" applyAlignment="1">
      <alignment horizontal="center" vertical="center" wrapText="1"/>
    </xf>
    <xf numFmtId="0" fontId="73" fillId="0" borderId="1" xfId="57" applyFont="1" applyFill="1" applyBorder="1" applyAlignment="1">
      <alignment horizontal="center" vertical="center" wrapText="1"/>
    </xf>
    <xf numFmtId="0" fontId="73" fillId="0" borderId="1" xfId="57" applyFont="1" applyFill="1" applyBorder="1" applyAlignment="1">
      <alignment horizontal="center"/>
    </xf>
    <xf numFmtId="0" fontId="73" fillId="0" borderId="1" xfId="57" applyFont="1" applyFill="1" applyBorder="1" applyAlignment="1"/>
    <xf numFmtId="0" fontId="73" fillId="0" borderId="1" xfId="0" applyFont="1" applyFill="1" applyBorder="1" applyAlignment="1">
      <alignment vertical="center"/>
    </xf>
    <xf numFmtId="195" fontId="90" fillId="0" borderId="1" xfId="57" applyNumberFormat="1" applyFont="1" applyFill="1" applyBorder="1" applyAlignment="1">
      <alignment horizontal="center" vertical="center"/>
    </xf>
    <xf numFmtId="0" fontId="35" fillId="0" borderId="0" xfId="57" applyFont="1" applyFill="1" applyAlignment="1"/>
    <xf numFmtId="211" fontId="35" fillId="0" borderId="0" xfId="57" applyNumberFormat="1" applyFont="1" applyFill="1" applyBorder="1" applyAlignment="1"/>
    <xf numFmtId="211" fontId="91" fillId="0" borderId="0" xfId="57" applyNumberFormat="1" applyFont="1" applyFill="1" applyBorder="1" applyAlignment="1">
      <alignment horizontal="center" vertical="center"/>
    </xf>
    <xf numFmtId="0" fontId="63" fillId="0" borderId="0" xfId="57" applyFont="1" applyFill="1" applyBorder="1" applyAlignment="1">
      <alignment vertical="center"/>
    </xf>
    <xf numFmtId="209" fontId="63" fillId="0" borderId="0" xfId="57" applyNumberFormat="1" applyFont="1" applyFill="1" applyAlignment="1">
      <alignment horizontal="left"/>
    </xf>
    <xf numFmtId="209" fontId="63" fillId="0" borderId="0" xfId="57" applyNumberFormat="1" applyFont="1" applyFill="1" applyBorder="1" applyAlignment="1"/>
    <xf numFmtId="183" fontId="63" fillId="0" borderId="0" xfId="57" applyNumberFormat="1" applyFont="1" applyFill="1" applyBorder="1" applyAlignment="1"/>
    <xf numFmtId="0" fontId="63" fillId="0" borderId="0" xfId="57" applyFont="1" applyFill="1" applyAlignment="1">
      <alignment vertical="center" wrapText="1"/>
    </xf>
    <xf numFmtId="0" fontId="63" fillId="0" borderId="0" xfId="57" applyFont="1" applyFill="1" applyAlignment="1">
      <alignment horizontal="left" vertical="center"/>
    </xf>
    <xf numFmtId="0" fontId="63" fillId="0" borderId="0" xfId="57" applyFont="1" applyFill="1" applyAlignment="1"/>
    <xf numFmtId="0" fontId="63" fillId="0" borderId="0" xfId="57" applyFont="1" applyFill="1" applyAlignment="1">
      <alignment vertical="center"/>
    </xf>
    <xf numFmtId="0" fontId="63" fillId="0" borderId="0" xfId="57" applyFont="1" applyFill="1" applyAlignment="1">
      <alignment horizontal="left"/>
    </xf>
    <xf numFmtId="0" fontId="35" fillId="0" borderId="0" xfId="57" applyFont="1" applyFill="1" applyAlignment="1">
      <alignment horizontal="left"/>
    </xf>
    <xf numFmtId="0" fontId="63" fillId="0" borderId="0" xfId="57" applyFont="1" applyFill="1" applyAlignment="1">
      <alignment horizontal="center" vertical="center" wrapText="1"/>
    </xf>
    <xf numFmtId="0" fontId="63" fillId="0" borderId="0" xfId="57" applyFont="1" applyFill="1" applyAlignment="1">
      <alignment horizontal="center" vertical="center"/>
    </xf>
    <xf numFmtId="0" fontId="63" fillId="0" borderId="0" xfId="57" applyFont="1" applyFill="1" applyAlignment="1">
      <alignment horizontal="left" vertical="center" wrapText="1"/>
    </xf>
    <xf numFmtId="0" fontId="35" fillId="0" borderId="0" xfId="57" applyFont="1" applyFill="1" applyBorder="1" applyAlignment="1">
      <alignment vertical="center"/>
    </xf>
    <xf numFmtId="0" fontId="88" fillId="0" borderId="0" xfId="0" applyFont="1" applyFill="1" applyAlignment="1">
      <alignment vertical="center" wrapText="1"/>
    </xf>
    <xf numFmtId="0" fontId="34" fillId="0" borderId="0" xfId="0" applyFont="1" applyFill="1" applyAlignment="1">
      <alignment vertical="center" wrapText="1"/>
    </xf>
    <xf numFmtId="0" fontId="34" fillId="0" borderId="0" xfId="0" applyFont="1" applyFill="1" applyBorder="1" applyAlignment="1">
      <alignment horizontal="left" vertical="center" wrapText="1"/>
    </xf>
    <xf numFmtId="0" fontId="48" fillId="0" borderId="0" xfId="0" applyFont="1" applyFill="1" applyAlignment="1">
      <alignment horizontal="left" vertical="center" wrapText="1"/>
    </xf>
    <xf numFmtId="0" fontId="48" fillId="0" borderId="0" xfId="0" applyFont="1" applyFill="1" applyAlignment="1">
      <alignment horizontal="left" vertical="center"/>
    </xf>
    <xf numFmtId="0" fontId="35" fillId="0" borderId="0" xfId="0" applyFont="1" applyFill="1" applyBorder="1" applyAlignment="1">
      <alignment vertical="center" wrapText="1"/>
    </xf>
    <xf numFmtId="0" fontId="88" fillId="0" borderId="0" xfId="0" applyFont="1" applyFill="1" applyAlignment="1">
      <alignment horizontal="left" vertical="center" wrapText="1"/>
    </xf>
    <xf numFmtId="0" fontId="92" fillId="0" borderId="0" xfId="0" applyFont="1" applyFill="1">
      <alignment vertical="center"/>
    </xf>
    <xf numFmtId="0" fontId="35" fillId="0" borderId="0" xfId="0" applyFont="1" applyFill="1" applyAlignment="1">
      <alignment horizontal="center" vertical="center" wrapText="1"/>
    </xf>
    <xf numFmtId="0" fontId="93" fillId="0" borderId="0" xfId="0" applyFont="1" applyFill="1" applyAlignment="1">
      <alignment horizontal="left" vertical="center" wrapText="1"/>
    </xf>
    <xf numFmtId="0" fontId="93" fillId="0" borderId="0" xfId="0" applyFont="1" applyFill="1" applyAlignment="1">
      <alignment horizontal="left" vertical="center"/>
    </xf>
    <xf numFmtId="212" fontId="0" fillId="0" borderId="0" xfId="0" applyNumberFormat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49" fontId="35" fillId="10" borderId="1" xfId="0" applyNumberFormat="1" applyFont="1" applyFill="1" applyBorder="1" applyAlignment="1">
      <alignment horizontal="center" vertical="center" wrapText="1"/>
    </xf>
    <xf numFmtId="0" fontId="35" fillId="10" borderId="47" xfId="0" applyFont="1" applyFill="1" applyBorder="1" applyAlignment="1">
      <alignment horizontal="center" vertical="center" wrapText="1"/>
    </xf>
    <xf numFmtId="184" fontId="35" fillId="0" borderId="1" xfId="0" applyNumberFormat="1" applyFont="1" applyFill="1" applyBorder="1" applyAlignment="1">
      <alignment horizontal="center" vertical="center" wrapText="1"/>
    </xf>
    <xf numFmtId="0" fontId="48" fillId="2" borderId="82" xfId="0" applyFont="1" applyFill="1" applyBorder="1" applyAlignment="1">
      <alignment horizontal="center" vertical="center" wrapText="1"/>
    </xf>
    <xf numFmtId="0" fontId="48" fillId="2" borderId="95" xfId="0" applyFont="1" applyFill="1" applyBorder="1" applyAlignment="1">
      <alignment horizontal="center" vertical="center"/>
    </xf>
    <xf numFmtId="0" fontId="34" fillId="2" borderId="95" xfId="0" applyFont="1" applyFill="1" applyBorder="1" applyAlignment="1">
      <alignment horizontal="center" vertical="center" wrapText="1"/>
    </xf>
    <xf numFmtId="0" fontId="48" fillId="2" borderId="0" xfId="0" applyFont="1" applyFill="1" applyAlignment="1">
      <alignment horizontal="center" vertical="center" wrapText="1"/>
    </xf>
    <xf numFmtId="0" fontId="48" fillId="2" borderId="82" xfId="0" applyNumberFormat="1" applyFont="1" applyFill="1" applyBorder="1" applyAlignment="1">
      <alignment horizontal="center" vertical="center"/>
    </xf>
    <xf numFmtId="0" fontId="48" fillId="11" borderId="82" xfId="0" applyFont="1" applyFill="1" applyBorder="1" applyAlignment="1">
      <alignment horizontal="center" vertical="center" wrapText="1"/>
    </xf>
    <xf numFmtId="0" fontId="48" fillId="11" borderId="82" xfId="0" applyFont="1" applyFill="1" applyBorder="1" applyAlignment="1">
      <alignment horizontal="center" vertical="center"/>
    </xf>
    <xf numFmtId="0" fontId="48" fillId="11" borderId="83" xfId="0" applyFont="1" applyFill="1" applyBorder="1" applyAlignment="1">
      <alignment horizontal="center" vertical="center" wrapText="1"/>
    </xf>
    <xf numFmtId="0" fontId="94" fillId="11" borderId="82" xfId="0" applyFont="1" applyFill="1" applyBorder="1">
      <alignment vertical="center"/>
    </xf>
    <xf numFmtId="0" fontId="48" fillId="11" borderId="96" xfId="0" applyFont="1" applyFill="1" applyBorder="1" applyAlignment="1">
      <alignment horizontal="center" vertical="center"/>
    </xf>
    <xf numFmtId="184" fontId="48" fillId="11" borderId="82" xfId="0" applyNumberFormat="1" applyFont="1" applyFill="1" applyBorder="1" applyAlignment="1">
      <alignment horizontal="center" vertical="center"/>
    </xf>
    <xf numFmtId="191" fontId="48" fillId="11" borderId="82" xfId="0" applyNumberFormat="1" applyFont="1" applyFill="1" applyBorder="1" applyAlignment="1">
      <alignment horizontal="center" vertical="center" wrapText="1"/>
    </xf>
    <xf numFmtId="194" fontId="48" fillId="11" borderId="82" xfId="0" applyNumberFormat="1" applyFont="1" applyFill="1" applyBorder="1" applyAlignment="1">
      <alignment horizontal="center" vertical="center" wrapText="1"/>
    </xf>
    <xf numFmtId="194" fontId="48" fillId="11" borderId="82" xfId="0" applyNumberFormat="1" applyFont="1" applyFill="1" applyBorder="1" applyAlignment="1">
      <alignment horizontal="center" vertical="center"/>
    </xf>
    <xf numFmtId="183" fontId="48" fillId="11" borderId="82" xfId="0" applyNumberFormat="1" applyFont="1" applyFill="1" applyBorder="1" applyAlignment="1">
      <alignment horizontal="center" vertical="center"/>
    </xf>
    <xf numFmtId="49" fontId="48" fillId="11" borderId="82" xfId="0" applyNumberFormat="1" applyFont="1" applyFill="1" applyBorder="1" applyAlignment="1">
      <alignment horizontal="center" vertical="center"/>
    </xf>
    <xf numFmtId="49" fontId="48" fillId="11" borderId="84" xfId="0" applyNumberFormat="1" applyFont="1" applyFill="1" applyBorder="1" applyAlignment="1">
      <alignment horizontal="center" vertical="center"/>
    </xf>
    <xf numFmtId="0" fontId="48" fillId="11" borderId="84" xfId="0" applyFont="1" applyFill="1" applyBorder="1" applyAlignment="1">
      <alignment horizontal="center" vertical="center" wrapText="1"/>
    </xf>
    <xf numFmtId="0" fontId="48" fillId="11" borderId="84" xfId="0" applyFont="1" applyFill="1" applyBorder="1" applyAlignment="1">
      <alignment horizontal="center" vertical="center"/>
    </xf>
    <xf numFmtId="192" fontId="48" fillId="11" borderId="82" xfId="0" applyNumberFormat="1" applyFont="1" applyFill="1" applyBorder="1" applyAlignment="1">
      <alignment horizontal="center" vertical="center" wrapText="1"/>
    </xf>
    <xf numFmtId="181" fontId="48" fillId="11" borderId="82" xfId="0" applyNumberFormat="1" applyFont="1" applyFill="1" applyBorder="1" applyAlignment="1">
      <alignment horizontal="center" vertical="center"/>
    </xf>
    <xf numFmtId="0" fontId="48" fillId="11" borderId="82" xfId="0" applyNumberFormat="1" applyFont="1" applyFill="1" applyBorder="1" applyAlignment="1">
      <alignment horizontal="center" vertical="center"/>
    </xf>
    <xf numFmtId="191" fontId="48" fillId="11" borderId="82" xfId="0" applyNumberFormat="1" applyFont="1" applyFill="1" applyBorder="1" applyAlignment="1">
      <alignment horizontal="center" vertical="center"/>
    </xf>
    <xf numFmtId="197" fontId="48" fillId="11" borderId="82" xfId="0" applyNumberFormat="1" applyFont="1" applyFill="1" applyBorder="1" applyAlignment="1">
      <alignment horizontal="center" vertical="center"/>
    </xf>
    <xf numFmtId="8" fontId="95" fillId="11" borderId="83" xfId="0" applyNumberFormat="1" applyFont="1" applyFill="1" applyBorder="1" applyAlignment="1">
      <alignment horizontal="center" vertical="center" wrapText="1"/>
    </xf>
    <xf numFmtId="0" fontId="0" fillId="12" borderId="82" xfId="0" applyFill="1" applyBorder="1">
      <alignment vertical="center"/>
    </xf>
    <xf numFmtId="0" fontId="82" fillId="12" borderId="82" xfId="0" applyNumberFormat="1" applyFont="1" applyFill="1" applyBorder="1" applyAlignment="1">
      <alignment horizontal="center" vertical="center" wrapText="1"/>
    </xf>
    <xf numFmtId="0" fontId="37" fillId="2" borderId="82" xfId="0" applyFont="1" applyFill="1" applyBorder="1" applyAlignment="1">
      <alignment horizontal="center" vertical="center" wrapText="1"/>
    </xf>
    <xf numFmtId="0" fontId="37" fillId="2" borderId="82" xfId="0" applyFont="1" applyFill="1" applyBorder="1" applyAlignment="1">
      <alignment horizontal="center" vertical="center"/>
    </xf>
    <xf numFmtId="0" fontId="37" fillId="2" borderId="83" xfId="0" applyFont="1" applyFill="1" applyBorder="1" applyAlignment="1">
      <alignment horizontal="center" vertical="center" wrapText="1"/>
    </xf>
    <xf numFmtId="0" fontId="94" fillId="2" borderId="82" xfId="0" applyFont="1" applyFill="1" applyBorder="1">
      <alignment vertical="center"/>
    </xf>
    <xf numFmtId="0" fontId="37" fillId="2" borderId="96" xfId="0" applyFont="1" applyFill="1" applyBorder="1" applyAlignment="1">
      <alignment horizontal="center" vertical="center"/>
    </xf>
    <xf numFmtId="183" fontId="37" fillId="2" borderId="84" xfId="0" applyNumberFormat="1" applyFont="1" applyFill="1" applyBorder="1" applyAlignment="1">
      <alignment horizontal="center" vertical="center"/>
    </xf>
    <xf numFmtId="0" fontId="37" fillId="2" borderId="84" xfId="0" applyFont="1" applyFill="1" applyBorder="1" applyAlignment="1">
      <alignment horizontal="center" vertical="center" wrapText="1"/>
    </xf>
    <xf numFmtId="0" fontId="37" fillId="2" borderId="84" xfId="0" applyFont="1" applyFill="1" applyBorder="1" applyAlignment="1">
      <alignment horizontal="center" vertical="center"/>
    </xf>
    <xf numFmtId="191" fontId="37" fillId="2" borderId="84" xfId="0" applyNumberFormat="1" applyFont="1" applyFill="1" applyBorder="1" applyAlignment="1">
      <alignment horizontal="center" vertical="center" wrapText="1"/>
    </xf>
    <xf numFmtId="183" fontId="37" fillId="2" borderId="84" xfId="0" applyNumberFormat="1" applyFont="1" applyFill="1" applyBorder="1" applyAlignment="1">
      <alignment horizontal="center" vertical="center" wrapText="1"/>
    </xf>
    <xf numFmtId="184" fontId="37" fillId="2" borderId="82" xfId="0" applyNumberFormat="1" applyFont="1" applyFill="1" applyBorder="1" applyAlignment="1">
      <alignment horizontal="center" vertical="center" wrapText="1"/>
    </xf>
    <xf numFmtId="0" fontId="37" fillId="2" borderId="97" xfId="0" applyFont="1" applyFill="1" applyBorder="1" applyAlignment="1">
      <alignment horizontal="center" vertical="center" wrapText="1"/>
    </xf>
    <xf numFmtId="181" fontId="37" fillId="2" borderId="84" xfId="0" applyNumberFormat="1" applyFont="1" applyFill="1" applyBorder="1" applyAlignment="1">
      <alignment horizontal="center" vertical="center"/>
    </xf>
    <xf numFmtId="0" fontId="96" fillId="2" borderId="96" xfId="0" applyFont="1" applyFill="1" applyBorder="1" applyAlignment="1">
      <alignment horizontal="center" vertical="center"/>
    </xf>
    <xf numFmtId="0" fontId="94" fillId="2" borderId="82" xfId="0" applyFont="1" applyFill="1" applyBorder="1" applyAlignment="1">
      <alignment horizontal="center" vertical="center"/>
    </xf>
    <xf numFmtId="0" fontId="94" fillId="2" borderId="83" xfId="0" applyFont="1" applyFill="1" applyBorder="1">
      <alignment vertical="center"/>
    </xf>
    <xf numFmtId="0" fontId="0" fillId="2" borderId="82" xfId="0" applyFill="1" applyBorder="1">
      <alignment vertical="center"/>
    </xf>
    <xf numFmtId="0" fontId="0" fillId="2" borderId="82" xfId="0" applyNumberFormat="1" applyFill="1" applyBorder="1">
      <alignment vertical="center"/>
    </xf>
    <xf numFmtId="0" fontId="97" fillId="2" borderId="82" xfId="0" applyFont="1" applyFill="1" applyBorder="1" applyAlignment="1">
      <alignment horizontal="center" vertical="center"/>
    </xf>
    <xf numFmtId="0" fontId="97" fillId="2" borderId="82" xfId="0" applyFont="1" applyFill="1" applyBorder="1" applyAlignment="1">
      <alignment horizontal="center" vertical="center" wrapText="1"/>
    </xf>
    <xf numFmtId="0" fontId="97" fillId="2" borderId="83" xfId="0" applyFont="1" applyFill="1" applyBorder="1" applyAlignment="1">
      <alignment horizontal="center" vertical="center" wrapText="1"/>
    </xf>
    <xf numFmtId="0" fontId="97" fillId="2" borderId="96" xfId="0" applyFont="1" applyFill="1" applyBorder="1" applyAlignment="1">
      <alignment horizontal="center" vertical="center" wrapText="1"/>
    </xf>
    <xf numFmtId="183" fontId="97" fillId="2" borderId="82" xfId="0" applyNumberFormat="1" applyFont="1" applyFill="1" applyBorder="1" applyAlignment="1">
      <alignment horizontal="center" vertical="center" wrapText="1"/>
    </xf>
    <xf numFmtId="191" fontId="97" fillId="2" borderId="82" xfId="0" applyNumberFormat="1" applyFont="1" applyFill="1" applyBorder="1" applyAlignment="1">
      <alignment horizontal="center" vertical="center" wrapText="1"/>
    </xf>
    <xf numFmtId="183" fontId="97" fillId="2" borderId="82" xfId="0" applyNumberFormat="1" applyFont="1" applyFill="1" applyBorder="1" applyAlignment="1">
      <alignment horizontal="center" vertical="center"/>
    </xf>
    <xf numFmtId="184" fontId="97" fillId="2" borderId="82" xfId="0" applyNumberFormat="1" applyFont="1" applyFill="1" applyBorder="1" applyAlignment="1">
      <alignment horizontal="center" vertical="center" wrapText="1"/>
    </xf>
    <xf numFmtId="49" fontId="97" fillId="2" borderId="82" xfId="0" applyNumberFormat="1" applyFont="1" applyFill="1" applyBorder="1" applyAlignment="1">
      <alignment horizontal="center" vertical="center" wrapText="1"/>
    </xf>
    <xf numFmtId="0" fontId="97" fillId="2" borderId="82" xfId="0" applyFont="1" applyFill="1" applyBorder="1" applyAlignment="1">
      <alignment vertical="center" wrapText="1"/>
    </xf>
    <xf numFmtId="191" fontId="97" fillId="2" borderId="82" xfId="0" applyNumberFormat="1" applyFont="1" applyFill="1" applyBorder="1" applyAlignment="1">
      <alignment vertical="center" wrapText="1"/>
    </xf>
    <xf numFmtId="10" fontId="97" fillId="2" borderId="82" xfId="0" applyNumberFormat="1" applyFont="1" applyFill="1" applyBorder="1" applyAlignment="1">
      <alignment horizontal="center" vertical="center"/>
    </xf>
    <xf numFmtId="0" fontId="98" fillId="2" borderId="82" xfId="0" applyFont="1" applyFill="1" applyBorder="1" applyAlignment="1">
      <alignment horizontal="center" vertical="center"/>
    </xf>
    <xf numFmtId="0" fontId="37" fillId="2" borderId="96" xfId="0" applyFont="1" applyFill="1" applyBorder="1" applyAlignment="1">
      <alignment horizontal="center" vertical="center" wrapText="1"/>
    </xf>
    <xf numFmtId="183" fontId="37" fillId="2" borderId="82" xfId="0" applyNumberFormat="1" applyFont="1" applyFill="1" applyBorder="1" applyAlignment="1">
      <alignment horizontal="center" vertical="center" wrapText="1"/>
    </xf>
    <xf numFmtId="184" fontId="37" fillId="2" borderId="96" xfId="0" applyNumberFormat="1" applyFont="1" applyFill="1" applyBorder="1" applyAlignment="1">
      <alignment horizontal="center" vertical="center" wrapText="1"/>
    </xf>
    <xf numFmtId="49" fontId="37" fillId="2" borderId="82" xfId="0" applyNumberFormat="1" applyFont="1" applyFill="1" applyBorder="1" applyAlignment="1">
      <alignment horizontal="center" vertical="center" wrapText="1"/>
    </xf>
    <xf numFmtId="181" fontId="37" fillId="2" borderId="82" xfId="0" applyNumberFormat="1" applyFont="1" applyFill="1" applyBorder="1" applyAlignment="1">
      <alignment horizontal="center" vertical="center" wrapText="1"/>
    </xf>
    <xf numFmtId="0" fontId="37" fillId="2" borderId="82" xfId="0" applyFont="1" applyFill="1" applyBorder="1" applyAlignment="1">
      <alignment vertical="center" wrapText="1"/>
    </xf>
    <xf numFmtId="191" fontId="37" fillId="2" borderId="82" xfId="0" applyNumberFormat="1" applyFont="1" applyFill="1" applyBorder="1" applyAlignment="1">
      <alignment vertical="center" wrapText="1"/>
    </xf>
    <xf numFmtId="0" fontId="48" fillId="11" borderId="97" xfId="0" applyFont="1" applyFill="1" applyBorder="1" applyAlignment="1">
      <alignment horizontal="center" vertical="center"/>
    </xf>
    <xf numFmtId="197" fontId="48" fillId="11" borderId="84" xfId="0" applyNumberFormat="1" applyFont="1" applyFill="1" applyBorder="1" applyAlignment="1">
      <alignment horizontal="center" vertical="center"/>
    </xf>
    <xf numFmtId="183" fontId="48" fillId="11" borderId="84" xfId="0" applyNumberFormat="1" applyFont="1" applyFill="1" applyBorder="1" applyAlignment="1">
      <alignment horizontal="center" vertical="center" wrapText="1"/>
    </xf>
    <xf numFmtId="183" fontId="48" fillId="11" borderId="98" xfId="0" applyNumberFormat="1" applyFont="1" applyFill="1" applyBorder="1" applyAlignment="1">
      <alignment horizontal="center" vertical="center" wrapText="1"/>
    </xf>
    <xf numFmtId="183" fontId="48" fillId="11" borderId="97" xfId="0" applyNumberFormat="1" applyFont="1" applyFill="1" applyBorder="1" applyAlignment="1">
      <alignment horizontal="center" vertical="center" wrapText="1"/>
    </xf>
    <xf numFmtId="0" fontId="44" fillId="11" borderId="84" xfId="0" applyFont="1" applyFill="1" applyBorder="1" applyAlignment="1">
      <alignment horizontal="center" vertical="center"/>
    </xf>
    <xf numFmtId="191" fontId="48" fillId="11" borderId="84" xfId="0" applyNumberFormat="1" applyFont="1" applyFill="1" applyBorder="1" applyAlignment="1">
      <alignment vertical="center" wrapText="1"/>
    </xf>
    <xf numFmtId="0" fontId="48" fillId="11" borderId="84" xfId="0" applyFont="1" applyFill="1" applyBorder="1" applyAlignment="1">
      <alignment vertical="center" wrapText="1"/>
    </xf>
    <xf numFmtId="183" fontId="48" fillId="11" borderId="84" xfId="0" applyNumberFormat="1" applyFont="1" applyFill="1" applyBorder="1" applyAlignment="1">
      <alignment horizontal="center" vertical="center"/>
    </xf>
    <xf numFmtId="0" fontId="44" fillId="11" borderId="82" xfId="0" applyFont="1" applyFill="1" applyBorder="1" applyAlignment="1">
      <alignment horizontal="center" vertical="center" wrapText="1"/>
    </xf>
    <xf numFmtId="0" fontId="44" fillId="11" borderId="82" xfId="0" applyFont="1" applyFill="1" applyBorder="1" applyAlignment="1">
      <alignment horizontal="center" vertical="center"/>
    </xf>
    <xf numFmtId="0" fontId="94" fillId="11" borderId="0" xfId="0" applyFont="1" applyFill="1">
      <alignment vertical="center"/>
    </xf>
    <xf numFmtId="181" fontId="44" fillId="11" borderId="82" xfId="0" applyNumberFormat="1" applyFont="1" applyFill="1" applyBorder="1" applyAlignment="1">
      <alignment horizontal="center" vertical="center"/>
    </xf>
    <xf numFmtId="0" fontId="99" fillId="11" borderId="84" xfId="0" applyFont="1" applyFill="1" applyBorder="1" applyAlignment="1">
      <alignment horizontal="center" vertical="center"/>
    </xf>
    <xf numFmtId="0" fontId="100" fillId="11" borderId="99" xfId="0" applyFont="1" applyFill="1" applyBorder="1" applyAlignment="1">
      <alignment horizontal="center" vertical="center" wrapText="1"/>
    </xf>
    <xf numFmtId="0" fontId="0" fillId="12" borderId="100" xfId="0" applyFill="1" applyBorder="1" applyAlignment="1">
      <alignment horizontal="center" vertical="center"/>
    </xf>
    <xf numFmtId="0" fontId="100" fillId="12" borderId="100" xfId="0" applyNumberFormat="1" applyFont="1" applyFill="1" applyBorder="1" applyAlignment="1">
      <alignment horizontal="center" vertical="center" wrapText="1"/>
    </xf>
    <xf numFmtId="0" fontId="100" fillId="11" borderId="99" xfId="0" applyFont="1" applyFill="1" applyBorder="1" applyAlignment="1">
      <alignment horizontal="center" vertical="center"/>
    </xf>
    <xf numFmtId="0" fontId="0" fillId="12" borderId="101" xfId="0" applyFill="1" applyBorder="1" applyAlignment="1">
      <alignment horizontal="center" vertical="center"/>
    </xf>
    <xf numFmtId="0" fontId="56" fillId="12" borderId="101" xfId="0" applyNumberFormat="1" applyFont="1" applyFill="1" applyBorder="1" applyAlignment="1">
      <alignment horizontal="center" vertical="center"/>
    </xf>
    <xf numFmtId="0" fontId="101" fillId="11" borderId="82" xfId="0" applyFont="1" applyFill="1" applyBorder="1" applyAlignment="1">
      <alignment horizontal="center" vertical="center" wrapText="1"/>
    </xf>
    <xf numFmtId="183" fontId="44" fillId="11" borderId="82" xfId="0" applyNumberFormat="1" applyFont="1" applyFill="1" applyBorder="1" applyAlignment="1">
      <alignment horizontal="center" vertical="center"/>
    </xf>
    <xf numFmtId="184" fontId="44" fillId="11" borderId="82" xfId="0" applyNumberFormat="1" applyFont="1" applyFill="1" applyBorder="1" applyAlignment="1">
      <alignment horizontal="center" vertical="center"/>
    </xf>
    <xf numFmtId="197" fontId="102" fillId="11" borderId="82" xfId="0" applyNumberFormat="1" applyFont="1" applyFill="1" applyBorder="1" applyAlignment="1">
      <alignment horizontal="center" vertical="center"/>
    </xf>
    <xf numFmtId="0" fontId="100" fillId="11" borderId="98" xfId="0" applyFont="1" applyFill="1" applyBorder="1" applyAlignment="1">
      <alignment horizontal="center" vertical="center"/>
    </xf>
    <xf numFmtId="0" fontId="0" fillId="12" borderId="84" xfId="0" applyFill="1" applyBorder="1" applyAlignment="1">
      <alignment horizontal="center" vertical="center"/>
    </xf>
    <xf numFmtId="0" fontId="56" fillId="12" borderId="84" xfId="0" applyNumberFormat="1" applyFont="1" applyFill="1" applyBorder="1" applyAlignment="1">
      <alignment horizontal="center" vertical="center"/>
    </xf>
    <xf numFmtId="0" fontId="48" fillId="2" borderId="82" xfId="0" applyFont="1" applyFill="1" applyBorder="1" applyAlignment="1">
      <alignment horizontal="center" vertical="center"/>
    </xf>
    <xf numFmtId="183" fontId="48" fillId="2" borderId="84" xfId="0" applyNumberFormat="1" applyFont="1" applyFill="1" applyBorder="1" applyAlignment="1">
      <alignment horizontal="center" vertical="center" wrapText="1"/>
    </xf>
    <xf numFmtId="183" fontId="48" fillId="2" borderId="98" xfId="0" applyNumberFormat="1" applyFont="1" applyFill="1" applyBorder="1" applyAlignment="1">
      <alignment horizontal="center" vertical="center" wrapText="1"/>
    </xf>
    <xf numFmtId="183" fontId="48" fillId="2" borderId="97" xfId="0" applyNumberFormat="1" applyFont="1" applyFill="1" applyBorder="1" applyAlignment="1">
      <alignment horizontal="center" vertical="center" wrapText="1"/>
    </xf>
    <xf numFmtId="0" fontId="44" fillId="2" borderId="84" xfId="0" applyFont="1" applyFill="1" applyBorder="1" applyAlignment="1">
      <alignment horizontal="center" vertical="center"/>
    </xf>
    <xf numFmtId="0" fontId="48" fillId="2" borderId="84" xfId="0" applyFont="1" applyFill="1" applyBorder="1" applyAlignment="1">
      <alignment horizontal="center" vertical="center" wrapText="1"/>
    </xf>
    <xf numFmtId="191" fontId="48" fillId="2" borderId="84" xfId="0" applyNumberFormat="1" applyFont="1" applyFill="1" applyBorder="1" applyAlignment="1">
      <alignment vertical="center" wrapText="1"/>
    </xf>
    <xf numFmtId="0" fontId="48" fillId="2" borderId="84" xfId="0" applyFont="1" applyFill="1" applyBorder="1" applyAlignment="1">
      <alignment vertical="center" wrapText="1"/>
    </xf>
    <xf numFmtId="184" fontId="48" fillId="2" borderId="101" xfId="0" applyNumberFormat="1" applyFont="1" applyFill="1" applyBorder="1" applyAlignment="1">
      <alignment horizontal="center" vertical="center" wrapText="1"/>
    </xf>
    <xf numFmtId="0" fontId="48" fillId="2" borderId="84" xfId="0" applyFont="1" applyFill="1" applyBorder="1" applyAlignment="1">
      <alignment horizontal="center" vertical="center"/>
    </xf>
    <xf numFmtId="0" fontId="44" fillId="2" borderId="84" xfId="0" applyFont="1" applyFill="1" applyBorder="1" applyAlignment="1">
      <alignment horizontal="center" vertical="center" wrapText="1"/>
    </xf>
    <xf numFmtId="0" fontId="94" fillId="0" borderId="0" xfId="0" applyFont="1">
      <alignment vertical="center"/>
    </xf>
    <xf numFmtId="181" fontId="44" fillId="2" borderId="84" xfId="0" applyNumberFormat="1" applyFont="1" applyFill="1" applyBorder="1" applyAlignment="1">
      <alignment horizontal="center" vertical="center"/>
    </xf>
    <xf numFmtId="0" fontId="101" fillId="2" borderId="84" xfId="0" applyFont="1" applyFill="1" applyBorder="1" applyAlignment="1">
      <alignment horizontal="center" vertical="center" wrapText="1"/>
    </xf>
    <xf numFmtId="0" fontId="48" fillId="2" borderId="101" xfId="0" applyFont="1" applyFill="1" applyBorder="1">
      <alignment vertical="center"/>
    </xf>
    <xf numFmtId="183" fontId="48" fillId="2" borderId="84" xfId="0" applyNumberFormat="1" applyFont="1" applyFill="1" applyBorder="1" applyAlignment="1">
      <alignment horizontal="center" vertical="center"/>
    </xf>
    <xf numFmtId="0" fontId="48" fillId="2" borderId="96" xfId="0" applyFont="1" applyFill="1" applyBorder="1" applyAlignment="1">
      <alignment horizontal="center" vertical="center"/>
    </xf>
    <xf numFmtId="197" fontId="48" fillId="2" borderId="84" xfId="0" applyNumberFormat="1" applyFont="1" applyFill="1" applyBorder="1" applyAlignment="1">
      <alignment horizontal="center" vertical="center"/>
    </xf>
    <xf numFmtId="197" fontId="48" fillId="2" borderId="82" xfId="0" applyNumberFormat="1" applyFont="1" applyFill="1" applyBorder="1" applyAlignment="1">
      <alignment horizontal="center" vertical="center"/>
    </xf>
    <xf numFmtId="0" fontId="48" fillId="2" borderId="83" xfId="0" applyFont="1" applyFill="1" applyBorder="1" applyAlignment="1">
      <alignment horizontal="center" vertical="center"/>
    </xf>
    <xf numFmtId="0" fontId="48" fillId="11" borderId="100" xfId="0" applyFont="1" applyFill="1" applyBorder="1" applyAlignment="1">
      <alignment horizontal="center" vertical="center" wrapText="1"/>
    </xf>
    <xf numFmtId="191" fontId="48" fillId="11" borderId="82" xfId="0" applyNumberFormat="1" applyFont="1" applyFill="1" applyBorder="1" applyAlignment="1">
      <alignment vertical="center" wrapText="1"/>
    </xf>
    <xf numFmtId="0" fontId="48" fillId="11" borderId="82" xfId="0" applyFont="1" applyFill="1" applyBorder="1" applyAlignment="1">
      <alignment vertical="center" wrapText="1"/>
    </xf>
    <xf numFmtId="213" fontId="44" fillId="11" borderId="82" xfId="0" applyNumberFormat="1" applyFont="1" applyFill="1" applyBorder="1" applyAlignment="1">
      <alignment horizontal="center" vertical="center"/>
    </xf>
    <xf numFmtId="0" fontId="103" fillId="11" borderId="102" xfId="0" applyFont="1" applyFill="1" applyBorder="1" applyAlignment="1">
      <alignment horizontal="center" wrapText="1"/>
    </xf>
    <xf numFmtId="198" fontId="56" fillId="12" borderId="100" xfId="0" applyNumberFormat="1" applyFont="1" applyFill="1" applyBorder="1" applyAlignment="1">
      <alignment horizontal="center" vertical="center"/>
    </xf>
    <xf numFmtId="183" fontId="44" fillId="11" borderId="84" xfId="0" applyNumberFormat="1" applyFont="1" applyFill="1" applyBorder="1" applyAlignment="1">
      <alignment horizontal="center" vertical="center" wrapText="1"/>
    </xf>
    <xf numFmtId="0" fontId="103" fillId="11" borderId="99" xfId="0" applyFont="1" applyFill="1" applyBorder="1" applyAlignment="1">
      <alignment horizontal="center"/>
    </xf>
    <xf numFmtId="198" fontId="56" fillId="12" borderId="101" xfId="0" applyNumberFormat="1" applyFont="1" applyFill="1" applyBorder="1" applyAlignment="1">
      <alignment horizontal="center" vertical="center"/>
    </xf>
    <xf numFmtId="0" fontId="104" fillId="11" borderId="82" xfId="0" applyFont="1" applyFill="1" applyBorder="1" applyAlignment="1">
      <alignment horizontal="center" vertical="center" wrapText="1"/>
    </xf>
    <xf numFmtId="0" fontId="39" fillId="2" borderId="82" xfId="0" applyFont="1" applyFill="1" applyBorder="1" applyAlignment="1">
      <alignment horizontal="center" vertical="center" wrapText="1"/>
    </xf>
    <xf numFmtId="0" fontId="103" fillId="11" borderId="98" xfId="0" applyFont="1" applyFill="1" applyBorder="1" applyAlignment="1">
      <alignment horizontal="center"/>
    </xf>
    <xf numFmtId="198" fontId="56" fillId="12" borderId="84" xfId="0" applyNumberFormat="1" applyFont="1" applyFill="1" applyBorder="1" applyAlignment="1">
      <alignment horizontal="center" vertical="center"/>
    </xf>
    <xf numFmtId="0" fontId="105" fillId="2" borderId="82" xfId="0" applyFont="1" applyFill="1" applyBorder="1" applyAlignment="1">
      <alignment horizontal="center" vertical="center" wrapText="1"/>
    </xf>
    <xf numFmtId="0" fontId="94" fillId="2" borderId="0" xfId="0" applyFont="1" applyFill="1">
      <alignment vertical="center"/>
    </xf>
    <xf numFmtId="213" fontId="37" fillId="2" borderId="84" xfId="0" applyNumberFormat="1" applyFont="1" applyFill="1" applyBorder="1" applyAlignment="1">
      <alignment horizontal="center" vertical="center"/>
    </xf>
    <xf numFmtId="184" fontId="97" fillId="2" borderId="96" xfId="0" applyNumberFormat="1" applyFont="1" applyFill="1" applyBorder="1" applyAlignment="1">
      <alignment horizontal="center" vertical="center" wrapText="1"/>
    </xf>
    <xf numFmtId="213" fontId="97" fillId="2" borderId="82" xfId="0" applyNumberFormat="1" applyFont="1" applyFill="1" applyBorder="1" applyAlignment="1">
      <alignment horizontal="center" vertical="center" wrapText="1"/>
    </xf>
    <xf numFmtId="213" fontId="37" fillId="2" borderId="82" xfId="0" applyNumberFormat="1" applyFont="1" applyFill="1" applyBorder="1" applyAlignment="1">
      <alignment horizontal="center" vertical="center" wrapText="1"/>
    </xf>
    <xf numFmtId="184" fontId="48" fillId="11" borderId="82" xfId="0" applyNumberFormat="1" applyFont="1" applyFill="1" applyBorder="1" applyAlignment="1">
      <alignment horizontal="center" vertical="center" wrapText="1"/>
    </xf>
    <xf numFmtId="181" fontId="48" fillId="11" borderId="84" xfId="0" applyNumberFormat="1" applyFont="1" applyFill="1" applyBorder="1" applyAlignment="1">
      <alignment horizontal="center" vertical="center"/>
    </xf>
    <xf numFmtId="0" fontId="104" fillId="11" borderId="84" xfId="0" applyFont="1" applyFill="1" applyBorder="1" applyAlignment="1">
      <alignment horizontal="center" vertical="center" wrapText="1"/>
    </xf>
    <xf numFmtId="8" fontId="100" fillId="11" borderId="99" xfId="0" applyNumberFormat="1" applyFont="1" applyFill="1" applyBorder="1" applyAlignment="1">
      <alignment horizontal="center" vertical="center"/>
    </xf>
    <xf numFmtId="198" fontId="100" fillId="12" borderId="100" xfId="0" applyNumberFormat="1" applyFont="1" applyFill="1" applyBorder="1" applyAlignment="1">
      <alignment horizontal="center" vertical="center" wrapText="1"/>
    </xf>
    <xf numFmtId="198" fontId="100" fillId="12" borderId="101" xfId="0" applyNumberFormat="1" applyFont="1" applyFill="1" applyBorder="1" applyAlignment="1">
      <alignment horizontal="center" vertical="center" wrapText="1"/>
    </xf>
    <xf numFmtId="183" fontId="37" fillId="2" borderId="82" xfId="0" applyNumberFormat="1" applyFont="1" applyFill="1" applyBorder="1" applyAlignment="1">
      <alignment horizontal="center" vertical="center"/>
    </xf>
    <xf numFmtId="0" fontId="100" fillId="2" borderId="83" xfId="0" applyFont="1" applyFill="1" applyBorder="1" applyAlignment="1">
      <alignment horizontal="center" vertical="center"/>
    </xf>
    <xf numFmtId="191" fontId="48" fillId="11" borderId="84" xfId="0" applyNumberFormat="1" applyFont="1" applyFill="1" applyBorder="1" applyAlignment="1">
      <alignment horizontal="center" vertical="center" wrapText="1"/>
    </xf>
    <xf numFmtId="189" fontId="48" fillId="11" borderId="84" xfId="0" applyNumberFormat="1" applyFont="1" applyFill="1" applyBorder="1" applyAlignment="1">
      <alignment horizontal="center" vertical="center"/>
    </xf>
    <xf numFmtId="49" fontId="48" fillId="11" borderId="82" xfId="0" applyNumberFormat="1" applyFont="1" applyFill="1" applyBorder="1" applyAlignment="1">
      <alignment horizontal="center" vertical="center" wrapText="1"/>
    </xf>
    <xf numFmtId="189" fontId="48" fillId="11" borderId="82" xfId="0" applyNumberFormat="1" applyFont="1" applyFill="1" applyBorder="1" applyAlignment="1">
      <alignment horizontal="center" vertical="center"/>
    </xf>
    <xf numFmtId="8" fontId="100" fillId="11" borderId="102" xfId="0" applyNumberFormat="1" applyFont="1" applyFill="1" applyBorder="1" applyAlignment="1">
      <alignment horizontal="center" vertical="center"/>
    </xf>
    <xf numFmtId="198" fontId="100" fillId="12" borderId="84" xfId="0" applyNumberFormat="1" applyFont="1" applyFill="1" applyBorder="1" applyAlignment="1">
      <alignment horizontal="center" vertical="center" wrapText="1"/>
    </xf>
    <xf numFmtId="189" fontId="37" fillId="2" borderId="84" xfId="0" applyNumberFormat="1" applyFont="1" applyFill="1" applyBorder="1" applyAlignment="1">
      <alignment horizontal="center" vertical="center"/>
    </xf>
    <xf numFmtId="184" fontId="37" fillId="2" borderId="103" xfId="0" applyNumberFormat="1" applyFont="1" applyFill="1" applyBorder="1" applyAlignment="1">
      <alignment horizontal="center" vertical="center" wrapText="1"/>
    </xf>
    <xf numFmtId="0" fontId="37" fillId="2" borderId="84" xfId="0" applyFont="1" applyFill="1" applyBorder="1">
      <alignment vertical="center"/>
    </xf>
    <xf numFmtId="191" fontId="37" fillId="2" borderId="84" xfId="0" applyNumberFormat="1" applyFont="1" applyFill="1" applyBorder="1" applyAlignment="1">
      <alignment vertical="center" wrapText="1"/>
    </xf>
    <xf numFmtId="0" fontId="37" fillId="2" borderId="84" xfId="0" applyFont="1" applyFill="1" applyBorder="1" applyAlignment="1">
      <alignment vertical="center" wrapText="1"/>
    </xf>
    <xf numFmtId="194" fontId="48" fillId="11" borderId="84" xfId="0" applyNumberFormat="1" applyFont="1" applyFill="1" applyBorder="1" applyAlignment="1">
      <alignment horizontal="center" vertical="center" wrapText="1"/>
    </xf>
    <xf numFmtId="194" fontId="48" fillId="11" borderId="84" xfId="0" applyNumberFormat="1" applyFont="1" applyFill="1" applyBorder="1" applyAlignment="1">
      <alignment horizontal="center" vertical="center"/>
    </xf>
    <xf numFmtId="49" fontId="48" fillId="11" borderId="103" xfId="0" applyNumberFormat="1" applyFont="1" applyFill="1" applyBorder="1" applyAlignment="1">
      <alignment horizontal="center" vertical="center" wrapText="1"/>
    </xf>
    <xf numFmtId="184" fontId="48" fillId="11" borderId="84" xfId="0" applyNumberFormat="1" applyFont="1" applyFill="1" applyBorder="1" applyAlignment="1">
      <alignment horizontal="center" vertical="center"/>
    </xf>
    <xf numFmtId="8" fontId="106" fillId="11" borderId="102" xfId="0" applyNumberFormat="1" applyFont="1" applyFill="1" applyBorder="1" applyAlignment="1">
      <alignment horizontal="center" vertical="center" wrapText="1"/>
    </xf>
    <xf numFmtId="198" fontId="100" fillId="12" borderId="82" xfId="0" applyNumberFormat="1" applyFont="1" applyFill="1" applyBorder="1" applyAlignment="1">
      <alignment horizontal="center" vertical="center"/>
    </xf>
    <xf numFmtId="195" fontId="48" fillId="11" borderId="82" xfId="0" applyNumberFormat="1" applyFont="1" applyFill="1" applyBorder="1" applyAlignment="1">
      <alignment horizontal="center" vertical="center"/>
    </xf>
    <xf numFmtId="0" fontId="107" fillId="11" borderId="98" xfId="0" applyFont="1" applyFill="1" applyBorder="1" applyAlignment="1">
      <alignment horizontal="center" vertical="center"/>
    </xf>
    <xf numFmtId="7" fontId="56" fillId="12" borderId="82" xfId="0" applyNumberFormat="1" applyFont="1" applyFill="1" applyBorder="1" applyAlignment="1">
      <alignment horizontal="center" vertical="center"/>
    </xf>
    <xf numFmtId="0" fontId="0" fillId="12" borderId="0" xfId="0" applyFill="1">
      <alignment vertical="center"/>
    </xf>
    <xf numFmtId="0" fontId="48" fillId="12" borderId="82" xfId="0" applyFont="1" applyFill="1" applyBorder="1" applyAlignment="1">
      <alignment horizontal="center" vertical="center" wrapText="1"/>
    </xf>
    <xf numFmtId="0" fontId="48" fillId="12" borderId="82" xfId="0" applyFont="1" applyFill="1" applyBorder="1" applyAlignment="1">
      <alignment horizontal="center" vertical="center"/>
    </xf>
    <xf numFmtId="0" fontId="48" fillId="12" borderId="84" xfId="0" applyFont="1" applyFill="1" applyBorder="1" applyAlignment="1">
      <alignment horizontal="center" vertical="center" wrapText="1"/>
    </xf>
    <xf numFmtId="183" fontId="48" fillId="12" borderId="84" xfId="0" applyNumberFormat="1" applyFont="1" applyFill="1" applyBorder="1" applyAlignment="1">
      <alignment horizontal="center" vertical="center" wrapText="1"/>
    </xf>
    <xf numFmtId="49" fontId="48" fillId="12" borderId="84" xfId="0" applyNumberFormat="1" applyFont="1" applyFill="1" applyBorder="1" applyAlignment="1">
      <alignment horizontal="center" vertical="center" wrapText="1"/>
    </xf>
    <xf numFmtId="191" fontId="48" fillId="12" borderId="84" xfId="0" applyNumberFormat="1" applyFont="1" applyFill="1" applyBorder="1" applyAlignment="1">
      <alignment horizontal="center" vertical="center" wrapText="1"/>
    </xf>
    <xf numFmtId="194" fontId="48" fillId="12" borderId="84" xfId="0" applyNumberFormat="1" applyFont="1" applyFill="1" applyBorder="1" applyAlignment="1">
      <alignment horizontal="center" vertical="center"/>
    </xf>
    <xf numFmtId="194" fontId="48" fillId="12" borderId="82" xfId="0" applyNumberFormat="1" applyFont="1" applyFill="1" applyBorder="1" applyAlignment="1">
      <alignment horizontal="center" vertical="center"/>
    </xf>
    <xf numFmtId="183" fontId="48" fillId="12" borderId="82" xfId="0" applyNumberFormat="1" applyFont="1" applyFill="1" applyBorder="1" applyAlignment="1">
      <alignment horizontal="center" vertical="center"/>
    </xf>
    <xf numFmtId="49" fontId="48" fillId="12" borderId="82" xfId="0" applyNumberFormat="1" applyFont="1" applyFill="1" applyBorder="1" applyAlignment="1">
      <alignment horizontal="center" vertical="center" wrapText="1"/>
    </xf>
    <xf numFmtId="184" fontId="48" fillId="12" borderId="84" xfId="0" applyNumberFormat="1" applyFont="1" applyFill="1" applyBorder="1" applyAlignment="1">
      <alignment horizontal="center" vertical="center" wrapText="1"/>
    </xf>
    <xf numFmtId="213" fontId="44" fillId="12" borderId="82" xfId="0" applyNumberFormat="1" applyFont="1" applyFill="1" applyBorder="1" applyAlignment="1">
      <alignment horizontal="center" vertical="center"/>
    </xf>
    <xf numFmtId="181" fontId="48" fillId="12" borderId="84" xfId="0" applyNumberFormat="1" applyFont="1" applyFill="1" applyBorder="1" applyAlignment="1">
      <alignment horizontal="center" vertical="center" wrapText="1"/>
    </xf>
    <xf numFmtId="191" fontId="48" fillId="12" borderId="82" xfId="0" applyNumberFormat="1" applyFont="1" applyFill="1" applyBorder="1" applyAlignment="1">
      <alignment horizontal="center" vertical="center" wrapText="1"/>
    </xf>
    <xf numFmtId="194" fontId="48" fillId="12" borderId="101" xfId="0" applyNumberFormat="1" applyFont="1" applyFill="1" applyBorder="1" applyAlignment="1">
      <alignment horizontal="center" vertical="center"/>
    </xf>
    <xf numFmtId="0" fontId="34" fillId="12" borderId="0" xfId="0" applyFont="1" applyFill="1" applyAlignment="1">
      <alignment horizontal="center" vertical="center"/>
    </xf>
    <xf numFmtId="0" fontId="48" fillId="12" borderId="0" xfId="0" applyFont="1" applyFill="1" applyAlignment="1">
      <alignment horizontal="center" vertical="center"/>
    </xf>
    <xf numFmtId="0" fontId="34" fillId="12" borderId="82" xfId="0" applyFont="1" applyFill="1" applyBorder="1" applyAlignment="1">
      <alignment horizontal="center" vertical="center"/>
    </xf>
    <xf numFmtId="198" fontId="56" fillId="12" borderId="82" xfId="0" applyNumberFormat="1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37" fillId="2" borderId="82" xfId="0" applyFont="1" applyFill="1" applyBorder="1">
      <alignment vertical="center"/>
    </xf>
    <xf numFmtId="189" fontId="37" fillId="2" borderId="82" xfId="0" applyNumberFormat="1" applyFont="1" applyFill="1" applyBorder="1" applyAlignment="1">
      <alignment horizontal="center" vertical="center"/>
    </xf>
    <xf numFmtId="0" fontId="0" fillId="2" borderId="83" xfId="0" applyFill="1" applyBorder="1">
      <alignment vertical="center"/>
    </xf>
    <xf numFmtId="0" fontId="35" fillId="12" borderId="1" xfId="0" applyFont="1" applyFill="1" applyBorder="1" applyAlignment="1">
      <alignment horizontal="center" vertical="center" wrapText="1"/>
    </xf>
    <xf numFmtId="0" fontId="35" fillId="12" borderId="1" xfId="0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 wrapText="1"/>
    </xf>
    <xf numFmtId="0" fontId="35" fillId="12" borderId="47" xfId="0" applyFont="1" applyFill="1" applyBorder="1" applyAlignment="1">
      <alignment horizontal="center" vertical="center"/>
    </xf>
    <xf numFmtId="0" fontId="35" fillId="12" borderId="40" xfId="0" applyFont="1" applyFill="1" applyBorder="1" applyAlignment="1">
      <alignment horizontal="center" vertical="center"/>
    </xf>
    <xf numFmtId="183" fontId="34" fillId="12" borderId="1" xfId="0" applyNumberFormat="1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/>
    </xf>
    <xf numFmtId="0" fontId="35" fillId="12" borderId="1" xfId="0" applyFont="1" applyFill="1" applyBorder="1" applyAlignment="1">
      <alignment vertical="center" wrapText="1"/>
    </xf>
    <xf numFmtId="191" fontId="35" fillId="12" borderId="1" xfId="0" applyNumberFormat="1" applyFont="1" applyFill="1" applyBorder="1" applyAlignment="1">
      <alignment vertical="center" wrapText="1"/>
    </xf>
    <xf numFmtId="183" fontId="35" fillId="12" borderId="14" xfId="0" applyNumberFormat="1" applyFont="1" applyFill="1" applyBorder="1" applyAlignment="1">
      <alignment horizontal="center" vertical="center" wrapText="1"/>
    </xf>
    <xf numFmtId="183" fontId="34" fillId="12" borderId="14" xfId="52" applyNumberFormat="1" applyFont="1" applyFill="1" applyBorder="1" applyAlignment="1">
      <alignment horizontal="center" vertical="center"/>
    </xf>
    <xf numFmtId="183" fontId="35" fillId="12" borderId="1" xfId="0" applyNumberFormat="1" applyFont="1" applyFill="1" applyBorder="1" applyAlignment="1">
      <alignment horizontal="center" vertical="center"/>
    </xf>
    <xf numFmtId="49" fontId="35" fillId="12" borderId="20" xfId="55" applyNumberFormat="1" applyFont="1" applyFill="1" applyBorder="1" applyAlignment="1">
      <alignment horizontal="center" vertical="center" wrapText="1"/>
    </xf>
    <xf numFmtId="0" fontId="35" fillId="12" borderId="20" xfId="55" applyFont="1" applyFill="1" applyBorder="1" applyAlignment="1">
      <alignment horizontal="center" vertical="center" wrapText="1"/>
    </xf>
    <xf numFmtId="192" fontId="35" fillId="12" borderId="1" xfId="0" applyNumberFormat="1" applyFont="1" applyFill="1" applyBorder="1" applyAlignment="1">
      <alignment horizontal="center" vertical="center" wrapText="1"/>
    </xf>
    <xf numFmtId="181" fontId="35" fillId="12" borderId="1" xfId="0" applyNumberFormat="1" applyFont="1" applyFill="1" applyBorder="1" applyAlignment="1">
      <alignment horizontal="center" vertical="center"/>
    </xf>
    <xf numFmtId="0" fontId="65" fillId="12" borderId="1" xfId="0" applyFont="1" applyFill="1" applyBorder="1" applyAlignment="1">
      <alignment horizontal="center" vertical="center"/>
    </xf>
    <xf numFmtId="0" fontId="35" fillId="12" borderId="86" xfId="0" applyFont="1" applyFill="1" applyBorder="1" applyAlignment="1">
      <alignment horizontal="center" vertical="center"/>
    </xf>
    <xf numFmtId="191" fontId="35" fillId="12" borderId="86" xfId="0" applyNumberFormat="1" applyFont="1" applyFill="1" applyBorder="1" applyAlignment="1">
      <alignment horizontal="center" vertical="center"/>
    </xf>
    <xf numFmtId="183" fontId="35" fillId="12" borderId="20" xfId="0" applyNumberFormat="1" applyFont="1" applyFill="1" applyBorder="1" applyAlignment="1">
      <alignment horizontal="center" vertical="center"/>
    </xf>
    <xf numFmtId="0" fontId="34" fillId="12" borderId="12" xfId="0" applyFont="1" applyFill="1" applyBorder="1" applyAlignment="1">
      <alignment horizontal="center" vertical="center"/>
    </xf>
    <xf numFmtId="58" fontId="34" fillId="12" borderId="14" xfId="0" applyNumberFormat="1" applyFont="1" applyFill="1" applyBorder="1" applyAlignment="1">
      <alignment horizontal="center" vertical="center"/>
    </xf>
    <xf numFmtId="0" fontId="34" fillId="12" borderId="14" xfId="0" applyFont="1" applyFill="1" applyBorder="1" applyAlignment="1">
      <alignment horizontal="center" vertical="center"/>
    </xf>
    <xf numFmtId="0" fontId="48" fillId="12" borderId="14" xfId="0" applyFont="1" applyFill="1" applyBorder="1" applyAlignment="1">
      <alignment horizontal="center" vertical="center"/>
    </xf>
    <xf numFmtId="58" fontId="34" fillId="12" borderId="1" xfId="0" applyNumberFormat="1" applyFont="1" applyFill="1" applyBorder="1" applyAlignment="1">
      <alignment horizontal="center" vertical="center"/>
    </xf>
    <xf numFmtId="8" fontId="108" fillId="12" borderId="45" xfId="0" applyNumberFormat="1" applyFont="1" applyFill="1" applyBorder="1" applyAlignment="1">
      <alignment horizontal="center" vertical="center"/>
    </xf>
    <xf numFmtId="0" fontId="35" fillId="12" borderId="47" xfId="0" applyFont="1" applyFill="1" applyBorder="1" applyAlignment="1">
      <alignment horizontal="center" vertical="center" wrapText="1"/>
    </xf>
    <xf numFmtId="0" fontId="35" fillId="12" borderId="14" xfId="0" applyFont="1" applyFill="1" applyBorder="1" applyAlignment="1">
      <alignment horizontal="center" vertical="center" wrapText="1"/>
    </xf>
    <xf numFmtId="183" fontId="35" fillId="12" borderId="14" xfId="0" applyNumberFormat="1" applyFont="1" applyFill="1" applyBorder="1" applyAlignment="1">
      <alignment horizontal="center" vertical="center"/>
    </xf>
    <xf numFmtId="183" fontId="35" fillId="12" borderId="86" xfId="0" applyNumberFormat="1" applyFont="1" applyFill="1" applyBorder="1" applyAlignment="1">
      <alignment horizontal="center" vertical="center"/>
    </xf>
    <xf numFmtId="0" fontId="35" fillId="12" borderId="1" xfId="55" applyFont="1" applyFill="1" applyBorder="1" applyAlignment="1">
      <alignment horizontal="center" vertical="center" wrapText="1"/>
    </xf>
    <xf numFmtId="49" fontId="35" fillId="12" borderId="1" xfId="55" applyNumberFormat="1" applyFont="1" applyFill="1" applyBorder="1" applyAlignment="1">
      <alignment horizontal="center" vertical="center" wrapText="1"/>
    </xf>
    <xf numFmtId="0" fontId="35" fillId="12" borderId="14" xfId="0" applyFont="1" applyFill="1" applyBorder="1" applyAlignment="1">
      <alignment horizontal="center" vertical="center"/>
    </xf>
    <xf numFmtId="0" fontId="35" fillId="12" borderId="86" xfId="0" applyFont="1" applyFill="1" applyBorder="1" applyAlignment="1">
      <alignment horizontal="center" vertical="center" wrapText="1"/>
    </xf>
    <xf numFmtId="183" fontId="34" fillId="12" borderId="14" xfId="0" applyNumberFormat="1" applyFont="1" applyFill="1" applyBorder="1" applyAlignment="1">
      <alignment horizontal="center" vertical="center"/>
    </xf>
    <xf numFmtId="0" fontId="35" fillId="12" borderId="14" xfId="55" applyFont="1" applyFill="1" applyBorder="1" applyAlignment="1">
      <alignment horizontal="center" vertical="center" wrapText="1"/>
    </xf>
    <xf numFmtId="49" fontId="35" fillId="12" borderId="14" xfId="55" applyNumberFormat="1" applyFont="1" applyFill="1" applyBorder="1" applyAlignment="1">
      <alignment horizontal="center" vertical="center" wrapText="1"/>
    </xf>
    <xf numFmtId="191" fontId="35" fillId="12" borderId="14" xfId="0" applyNumberFormat="1" applyFont="1" applyFill="1" applyBorder="1" applyAlignment="1">
      <alignment vertical="center" wrapText="1"/>
    </xf>
    <xf numFmtId="0" fontId="35" fillId="12" borderId="14" xfId="0" applyFont="1" applyFill="1" applyBorder="1" applyAlignment="1">
      <alignment vertical="center" wrapText="1"/>
    </xf>
    <xf numFmtId="0" fontId="35" fillId="12" borderId="86" xfId="55" applyFont="1" applyFill="1" applyBorder="1" applyAlignment="1">
      <alignment horizontal="center" vertical="center" wrapText="1"/>
    </xf>
    <xf numFmtId="181" fontId="35" fillId="12" borderId="20" xfId="0" applyNumberFormat="1" applyFont="1" applyFill="1" applyBorder="1" applyAlignment="1">
      <alignment horizontal="center" vertical="center"/>
    </xf>
    <xf numFmtId="191" fontId="35" fillId="12" borderId="14" xfId="0" applyNumberFormat="1" applyFont="1" applyFill="1" applyBorder="1" applyAlignment="1">
      <alignment horizontal="center" vertical="center" wrapText="1"/>
    </xf>
    <xf numFmtId="0" fontId="43" fillId="12" borderId="20" xfId="0" applyFont="1" applyFill="1" applyBorder="1" applyAlignment="1">
      <alignment horizontal="center" vertical="center"/>
    </xf>
    <xf numFmtId="49" fontId="43" fillId="12" borderId="1" xfId="0" applyNumberFormat="1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192" fontId="35" fillId="12" borderId="20" xfId="0" applyNumberFormat="1" applyFont="1" applyFill="1" applyBorder="1" applyAlignment="1">
      <alignment horizontal="center" vertical="center" wrapText="1"/>
    </xf>
    <xf numFmtId="0" fontId="0" fillId="12" borderId="14" xfId="0" applyFill="1" applyBorder="1" applyAlignment="1">
      <alignment horizontal="center" vertical="center" shrinkToFit="1"/>
    </xf>
    <xf numFmtId="0" fontId="43" fillId="12" borderId="86" xfId="0" applyFont="1" applyFill="1" applyBorder="1" applyAlignment="1">
      <alignment horizontal="center" vertical="center"/>
    </xf>
    <xf numFmtId="192" fontId="35" fillId="12" borderId="86" xfId="0" applyNumberFormat="1" applyFont="1" applyFill="1" applyBorder="1" applyAlignment="1">
      <alignment horizontal="center" vertical="center" wrapText="1"/>
    </xf>
    <xf numFmtId="181" fontId="35" fillId="12" borderId="86" xfId="0" applyNumberFormat="1" applyFont="1" applyFill="1" applyBorder="1" applyAlignment="1">
      <alignment horizontal="center" vertical="center"/>
    </xf>
    <xf numFmtId="0" fontId="43" fillId="12" borderId="14" xfId="0" applyFont="1" applyFill="1" applyBorder="1" applyAlignment="1">
      <alignment horizontal="center" vertical="center"/>
    </xf>
    <xf numFmtId="192" fontId="35" fillId="12" borderId="14" xfId="0" applyNumberFormat="1" applyFont="1" applyFill="1" applyBorder="1" applyAlignment="1">
      <alignment horizontal="center" vertical="center" wrapText="1"/>
    </xf>
    <xf numFmtId="181" fontId="35" fillId="12" borderId="14" xfId="0" applyNumberFormat="1" applyFont="1" applyFill="1" applyBorder="1" applyAlignment="1">
      <alignment horizontal="center" vertical="center"/>
    </xf>
    <xf numFmtId="0" fontId="43" fillId="12" borderId="1" xfId="0" applyNumberFormat="1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vertical="center"/>
    </xf>
    <xf numFmtId="183" fontId="43" fillId="12" borderId="1" xfId="0" applyNumberFormat="1" applyFont="1" applyFill="1" applyBorder="1" applyAlignment="1">
      <alignment horizontal="center" vertical="center"/>
    </xf>
    <xf numFmtId="191" fontId="35" fillId="12" borderId="14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7" fillId="2" borderId="47" xfId="0" applyFont="1" applyFill="1" applyBorder="1" applyAlignment="1">
      <alignment horizontal="center" vertical="center" wrapText="1"/>
    </xf>
    <xf numFmtId="0" fontId="37" fillId="2" borderId="40" xfId="0" applyFont="1" applyFill="1" applyBorder="1" applyAlignment="1">
      <alignment horizontal="center" vertical="center"/>
    </xf>
    <xf numFmtId="183" fontId="37" fillId="2" borderId="14" xfId="0" applyNumberFormat="1" applyFont="1" applyFill="1" applyBorder="1" applyAlignment="1">
      <alignment horizontal="center" vertical="center"/>
    </xf>
    <xf numFmtId="0" fontId="37" fillId="2" borderId="14" xfId="0" applyFont="1" applyFill="1" applyBorder="1" applyAlignment="1">
      <alignment horizontal="center" vertical="center" wrapText="1"/>
    </xf>
    <xf numFmtId="0" fontId="37" fillId="2" borderId="14" xfId="0" applyFont="1" applyFill="1" applyBorder="1" applyAlignment="1">
      <alignment horizontal="center" vertical="center"/>
    </xf>
    <xf numFmtId="191" fontId="37" fillId="2" borderId="14" xfId="0" applyNumberFormat="1" applyFont="1" applyFill="1" applyBorder="1" applyAlignment="1">
      <alignment horizontal="center" vertical="center" wrapText="1"/>
    </xf>
    <xf numFmtId="183" fontId="37" fillId="2" borderId="14" xfId="0" applyNumberFormat="1" applyFont="1" applyFill="1" applyBorder="1" applyAlignment="1">
      <alignment horizontal="center" vertical="center" wrapText="1"/>
    </xf>
    <xf numFmtId="184" fontId="37" fillId="2" borderId="1" xfId="0" applyNumberFormat="1" applyFont="1" applyFill="1" applyBorder="1" applyAlignment="1">
      <alignment horizontal="center" vertical="center" wrapText="1"/>
    </xf>
    <xf numFmtId="181" fontId="37" fillId="2" borderId="14" xfId="0" applyNumberFormat="1" applyFont="1" applyFill="1" applyBorder="1" applyAlignment="1">
      <alignment horizontal="center" vertical="center"/>
    </xf>
    <xf numFmtId="0" fontId="34" fillId="2" borderId="40" xfId="0" applyFont="1" applyFill="1" applyBorder="1">
      <alignment vertical="center"/>
    </xf>
    <xf numFmtId="58" fontId="34" fillId="2" borderId="14" xfId="0" applyNumberFormat="1" applyFont="1" applyFill="1" applyBorder="1" applyAlignment="1">
      <alignment horizontal="center" vertical="center"/>
    </xf>
    <xf numFmtId="0" fontId="34" fillId="2" borderId="1" xfId="0" applyFont="1" applyFill="1" applyBorder="1">
      <alignment vertical="center"/>
    </xf>
    <xf numFmtId="58" fontId="34" fillId="2" borderId="1" xfId="0" applyNumberFormat="1" applyFont="1" applyFill="1" applyBorder="1" applyAlignment="1">
      <alignment horizontal="center" vertical="center"/>
    </xf>
    <xf numFmtId="0" fontId="48" fillId="2" borderId="14" xfId="0" applyFont="1" applyFill="1" applyBorder="1" applyAlignment="1">
      <alignment horizontal="center" vertical="center"/>
    </xf>
    <xf numFmtId="0" fontId="35" fillId="12" borderId="20" xfId="0" applyFont="1" applyFill="1" applyBorder="1" applyAlignment="1">
      <alignment horizontal="center" vertical="center" wrapText="1"/>
    </xf>
    <xf numFmtId="191" fontId="35" fillId="12" borderId="20" xfId="0" applyNumberFormat="1" applyFont="1" applyFill="1" applyBorder="1" applyAlignment="1">
      <alignment horizontal="center" vertical="center" wrapText="1"/>
    </xf>
    <xf numFmtId="0" fontId="11" fillId="12" borderId="1" xfId="55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horizontal="center" vertical="center"/>
    </xf>
    <xf numFmtId="191" fontId="35" fillId="12" borderId="20" xfId="0" applyNumberFormat="1" applyFont="1" applyFill="1" applyBorder="1" applyAlignment="1">
      <alignment horizontal="center" vertical="center"/>
    </xf>
    <xf numFmtId="191" fontId="35" fillId="12" borderId="86" xfId="0" applyNumberFormat="1" applyFont="1" applyFill="1" applyBorder="1" applyAlignment="1">
      <alignment horizontal="center" vertical="center" wrapText="1"/>
    </xf>
    <xf numFmtId="0" fontId="11" fillId="12" borderId="20" xfId="55" applyFont="1" applyFill="1" applyBorder="1" applyAlignment="1">
      <alignment horizontal="center" vertical="center" wrapText="1"/>
    </xf>
    <xf numFmtId="191" fontId="35" fillId="12" borderId="1" xfId="0" applyNumberFormat="1" applyFont="1" applyFill="1" applyBorder="1" applyAlignment="1">
      <alignment horizontal="center" vertical="center" wrapText="1"/>
    </xf>
    <xf numFmtId="0" fontId="35" fillId="12" borderId="1" xfId="0" applyNumberFormat="1" applyFont="1" applyFill="1" applyBorder="1" applyAlignment="1">
      <alignment horizontal="center" vertical="center"/>
    </xf>
    <xf numFmtId="0" fontId="20" fillId="12" borderId="1" xfId="54" applyFont="1" applyFill="1" applyBorder="1" applyAlignment="1">
      <alignment horizontal="center" vertical="center" wrapText="1"/>
    </xf>
    <xf numFmtId="8" fontId="108" fillId="12" borderId="13" xfId="0" applyNumberFormat="1" applyFont="1" applyFill="1" applyBorder="1" applyAlignment="1">
      <alignment horizontal="center" vertical="center"/>
    </xf>
    <xf numFmtId="0" fontId="34" fillId="2" borderId="47" xfId="0" applyFont="1" applyFill="1" applyBorder="1">
      <alignment vertical="center"/>
    </xf>
    <xf numFmtId="8" fontId="100" fillId="11" borderId="104" xfId="0" applyNumberFormat="1" applyFont="1" applyFill="1" applyBorder="1" applyAlignment="1">
      <alignment horizontal="center" vertical="center" wrapText="1"/>
    </xf>
    <xf numFmtId="198" fontId="100" fillId="12" borderId="100" xfId="0" applyNumberFormat="1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 shrinkToFit="1"/>
    </xf>
    <xf numFmtId="8" fontId="100" fillId="11" borderId="45" xfId="0" applyNumberFormat="1" applyFont="1" applyFill="1" applyBorder="1" applyAlignment="1">
      <alignment horizontal="center" vertical="center" wrapText="1"/>
    </xf>
    <xf numFmtId="198" fontId="100" fillId="12" borderId="101" xfId="0" applyNumberFormat="1" applyFont="1" applyFill="1" applyBorder="1" applyAlignment="1">
      <alignment horizontal="center" vertical="center"/>
    </xf>
    <xf numFmtId="0" fontId="0" fillId="12" borderId="20" xfId="0" applyFill="1" applyBorder="1" applyAlignment="1">
      <alignment horizontal="center" vertical="center" shrinkToFit="1"/>
    </xf>
    <xf numFmtId="0" fontId="0" fillId="12" borderId="86" xfId="0" applyFill="1" applyBorder="1" applyAlignment="1">
      <alignment horizontal="center" vertical="center" shrinkToFit="1"/>
    </xf>
    <xf numFmtId="49" fontId="43" fillId="12" borderId="20" xfId="0" applyNumberFormat="1" applyFont="1" applyFill="1" applyBorder="1" applyAlignment="1">
      <alignment horizontal="center" vertical="center"/>
    </xf>
    <xf numFmtId="49" fontId="43" fillId="12" borderId="14" xfId="0" applyNumberFormat="1" applyFont="1" applyFill="1" applyBorder="1" applyAlignment="1">
      <alignment horizontal="center" vertical="center"/>
    </xf>
    <xf numFmtId="8" fontId="100" fillId="11" borderId="13" xfId="0" applyNumberFormat="1" applyFont="1" applyFill="1" applyBorder="1" applyAlignment="1">
      <alignment horizontal="center" vertical="center" wrapText="1"/>
    </xf>
    <xf numFmtId="198" fontId="100" fillId="12" borderId="84" xfId="0" applyNumberFormat="1" applyFont="1" applyFill="1" applyBorder="1" applyAlignment="1">
      <alignment horizontal="center" vertical="center"/>
    </xf>
    <xf numFmtId="189" fontId="37" fillId="2" borderId="14" xfId="0" applyNumberFormat="1" applyFont="1" applyFill="1" applyBorder="1" applyAlignment="1">
      <alignment horizontal="center" vertical="center"/>
    </xf>
    <xf numFmtId="184" fontId="37" fillId="2" borderId="11" xfId="0" applyNumberFormat="1" applyFont="1" applyFill="1" applyBorder="1" applyAlignment="1">
      <alignment horizontal="center" vertical="center" wrapText="1"/>
    </xf>
    <xf numFmtId="0" fontId="37" fillId="2" borderId="14" xfId="0" applyFont="1" applyFill="1" applyBorder="1" applyAlignment="1">
      <alignment vertical="center"/>
    </xf>
    <xf numFmtId="191" fontId="37" fillId="2" borderId="14" xfId="0" applyNumberFormat="1" applyFont="1" applyFill="1" applyBorder="1" applyAlignment="1">
      <alignment vertical="center" wrapText="1"/>
    </xf>
    <xf numFmtId="0" fontId="37" fillId="2" borderId="14" xfId="0" applyFont="1" applyFill="1" applyBorder="1" applyAlignment="1">
      <alignment vertical="center" wrapText="1"/>
    </xf>
    <xf numFmtId="0" fontId="34" fillId="12" borderId="47" xfId="0" applyFont="1" applyFill="1" applyBorder="1" applyAlignment="1">
      <alignment horizontal="center" vertical="center" wrapText="1"/>
    </xf>
    <xf numFmtId="0" fontId="34" fillId="12" borderId="14" xfId="0" applyFont="1" applyFill="1" applyBorder="1" applyAlignment="1">
      <alignment horizontal="center" vertical="center" wrapText="1"/>
    </xf>
    <xf numFmtId="191" fontId="34" fillId="12" borderId="14" xfId="0" applyNumberFormat="1" applyFont="1" applyFill="1" applyBorder="1" applyAlignment="1">
      <alignment horizontal="center" vertical="center" wrapText="1"/>
    </xf>
    <xf numFmtId="194" fontId="35" fillId="12" borderId="14" xfId="0" applyNumberFormat="1" applyFont="1" applyFill="1" applyBorder="1" applyAlignment="1">
      <alignment horizontal="center" vertical="center" wrapText="1"/>
    </xf>
    <xf numFmtId="194" fontId="34" fillId="12" borderId="14" xfId="52" applyNumberFormat="1" applyFont="1" applyFill="1" applyBorder="1" applyAlignment="1">
      <alignment horizontal="center" vertical="center"/>
    </xf>
    <xf numFmtId="194" fontId="34" fillId="12" borderId="14" xfId="0" applyNumberFormat="1" applyFont="1" applyFill="1" applyBorder="1" applyAlignment="1">
      <alignment horizontal="center" vertical="center"/>
    </xf>
    <xf numFmtId="189" fontId="34" fillId="12" borderId="14" xfId="0" applyNumberFormat="1" applyFont="1" applyFill="1" applyBorder="1" applyAlignment="1">
      <alignment horizontal="center" vertical="center"/>
    </xf>
    <xf numFmtId="184" fontId="34" fillId="12" borderId="11" xfId="0" applyNumberFormat="1" applyFont="1" applyFill="1" applyBorder="1" applyAlignment="1">
      <alignment horizontal="center" vertical="center" wrapText="1"/>
    </xf>
    <xf numFmtId="184" fontId="34" fillId="12" borderId="14" xfId="0" applyNumberFormat="1" applyFont="1" applyFill="1" applyBorder="1" applyAlignment="1">
      <alignment horizontal="center" vertical="center"/>
    </xf>
    <xf numFmtId="0" fontId="34" fillId="12" borderId="14" xfId="0" applyFont="1" applyFill="1" applyBorder="1" applyAlignment="1">
      <alignment vertical="center"/>
    </xf>
    <xf numFmtId="191" fontId="34" fillId="12" borderId="14" xfId="0" applyNumberFormat="1" applyFont="1" applyFill="1" applyBorder="1" applyAlignment="1">
      <alignment vertical="center" wrapText="1"/>
    </xf>
    <xf numFmtId="0" fontId="34" fillId="12" borderId="14" xfId="0" applyFont="1" applyFill="1" applyBorder="1" applyAlignment="1">
      <alignment vertical="center" wrapText="1"/>
    </xf>
    <xf numFmtId="194" fontId="35" fillId="12" borderId="1" xfId="0" applyNumberFormat="1" applyFont="1" applyFill="1" applyBorder="1" applyAlignment="1">
      <alignment horizontal="center" vertical="center"/>
    </xf>
    <xf numFmtId="8" fontId="56" fillId="12" borderId="47" xfId="0" applyNumberFormat="1" applyFont="1" applyFill="1" applyBorder="1" applyAlignment="1">
      <alignment horizontal="center" vertical="center"/>
    </xf>
    <xf numFmtId="0" fontId="34" fillId="12" borderId="40" xfId="0" applyFont="1" applyFill="1" applyBorder="1" applyAlignment="1">
      <alignment horizontal="center" vertical="center"/>
    </xf>
    <xf numFmtId="194" fontId="34" fillId="12" borderId="14" xfId="0" applyNumberFormat="1" applyFont="1" applyFill="1" applyBorder="1" applyAlignment="1">
      <alignment horizontal="center" vertical="center" wrapText="1"/>
    </xf>
    <xf numFmtId="49" fontId="34" fillId="12" borderId="11" xfId="0" applyNumberFormat="1" applyFont="1" applyFill="1" applyBorder="1" applyAlignment="1">
      <alignment horizontal="center" vertical="center" wrapText="1"/>
    </xf>
    <xf numFmtId="0" fontId="97" fillId="2" borderId="1" xfId="0" applyFont="1" applyFill="1" applyBorder="1" applyAlignment="1">
      <alignment horizontal="center" vertical="center"/>
    </xf>
    <xf numFmtId="0" fontId="97" fillId="2" borderId="1" xfId="0" applyFont="1" applyFill="1" applyBorder="1" applyAlignment="1">
      <alignment horizontal="center" vertical="center" wrapText="1"/>
    </xf>
    <xf numFmtId="0" fontId="97" fillId="2" borderId="47" xfId="0" applyFont="1" applyFill="1" applyBorder="1" applyAlignment="1">
      <alignment horizontal="center" vertical="center" wrapText="1"/>
    </xf>
    <xf numFmtId="0" fontId="97" fillId="2" borderId="40" xfId="0" applyFont="1" applyFill="1" applyBorder="1" applyAlignment="1">
      <alignment horizontal="center" vertical="center" wrapText="1"/>
    </xf>
    <xf numFmtId="183" fontId="97" fillId="2" borderId="1" xfId="0" applyNumberFormat="1" applyFont="1" applyFill="1" applyBorder="1" applyAlignment="1">
      <alignment horizontal="center" vertical="center" wrapText="1"/>
    </xf>
    <xf numFmtId="191" fontId="97" fillId="2" borderId="1" xfId="0" applyNumberFormat="1" applyFont="1" applyFill="1" applyBorder="1" applyAlignment="1">
      <alignment horizontal="center" vertical="center" wrapText="1"/>
    </xf>
    <xf numFmtId="183" fontId="97" fillId="2" borderId="1" xfId="0" applyNumberFormat="1" applyFont="1" applyFill="1" applyBorder="1" applyAlignment="1">
      <alignment horizontal="center" vertical="center"/>
    </xf>
    <xf numFmtId="184" fontId="97" fillId="2" borderId="1" xfId="0" applyNumberFormat="1" applyFont="1" applyFill="1" applyBorder="1" applyAlignment="1">
      <alignment horizontal="center" vertical="center" wrapText="1"/>
    </xf>
    <xf numFmtId="49" fontId="97" fillId="2" borderId="1" xfId="0" applyNumberFormat="1" applyFont="1" applyFill="1" applyBorder="1" applyAlignment="1">
      <alignment horizontal="center" vertical="center" wrapText="1"/>
    </xf>
    <xf numFmtId="0" fontId="97" fillId="2" borderId="1" xfId="0" applyFont="1" applyFill="1" applyBorder="1" applyAlignment="1">
      <alignment vertical="center" wrapText="1"/>
    </xf>
    <xf numFmtId="191" fontId="97" fillId="2" borderId="1" xfId="0" applyNumberFormat="1" applyFont="1" applyFill="1" applyBorder="1" applyAlignment="1">
      <alignment vertical="center" wrapText="1"/>
    </xf>
    <xf numFmtId="10" fontId="97" fillId="2" borderId="1" xfId="3" applyNumberFormat="1" applyFont="1" applyFill="1" applyBorder="1" applyAlignment="1">
      <alignment horizontal="center" vertical="center"/>
    </xf>
    <xf numFmtId="0" fontId="48" fillId="12" borderId="83" xfId="0" applyFont="1" applyFill="1" applyBorder="1" applyAlignment="1">
      <alignment horizontal="center" vertical="center" wrapText="1"/>
    </xf>
    <xf numFmtId="0" fontId="48" fillId="12" borderId="96" xfId="0" applyFont="1" applyFill="1" applyBorder="1" applyAlignment="1">
      <alignment horizontal="center" vertical="center"/>
    </xf>
    <xf numFmtId="184" fontId="48" fillId="12" borderId="82" xfId="0" applyNumberFormat="1" applyFont="1" applyFill="1" applyBorder="1" applyAlignment="1">
      <alignment horizontal="center" vertical="center"/>
    </xf>
    <xf numFmtId="194" fontId="48" fillId="12" borderId="82" xfId="0" applyNumberFormat="1" applyFont="1" applyFill="1" applyBorder="1" applyAlignment="1">
      <alignment horizontal="center" vertical="center" wrapText="1"/>
    </xf>
    <xf numFmtId="49" fontId="48" fillId="12" borderId="82" xfId="0" applyNumberFormat="1" applyFont="1" applyFill="1" applyBorder="1" applyAlignment="1">
      <alignment horizontal="center" vertical="center"/>
    </xf>
    <xf numFmtId="49" fontId="48" fillId="12" borderId="84" xfId="0" applyNumberFormat="1" applyFont="1" applyFill="1" applyBorder="1" applyAlignment="1">
      <alignment horizontal="center" vertical="center"/>
    </xf>
    <xf numFmtId="192" fontId="48" fillId="12" borderId="82" xfId="0" applyNumberFormat="1" applyFont="1" applyFill="1" applyBorder="1" applyAlignment="1">
      <alignment horizontal="center" vertical="center" wrapText="1"/>
    </xf>
    <xf numFmtId="181" fontId="48" fillId="12" borderId="82" xfId="0" applyNumberFormat="1" applyFont="1" applyFill="1" applyBorder="1" applyAlignment="1">
      <alignment horizontal="center" vertical="center"/>
    </xf>
    <xf numFmtId="0" fontId="48" fillId="12" borderId="82" xfId="0" applyNumberFormat="1" applyFont="1" applyFill="1" applyBorder="1" applyAlignment="1">
      <alignment horizontal="center" vertical="center"/>
    </xf>
    <xf numFmtId="191" fontId="48" fillId="12" borderId="82" xfId="0" applyNumberFormat="1" applyFont="1" applyFill="1" applyBorder="1" applyAlignment="1">
      <alignment horizontal="center" vertical="center"/>
    </xf>
    <xf numFmtId="0" fontId="96" fillId="12" borderId="97" xfId="0" applyFont="1" applyFill="1" applyBorder="1" applyAlignment="1">
      <alignment horizontal="center" vertical="center"/>
    </xf>
    <xf numFmtId="197" fontId="96" fillId="12" borderId="84" xfId="0" applyNumberFormat="1" applyFont="1" applyFill="1" applyBorder="1" applyAlignment="1">
      <alignment horizontal="center" vertical="center"/>
    </xf>
    <xf numFmtId="0" fontId="96" fillId="12" borderId="82" xfId="0" applyFont="1" applyFill="1" applyBorder="1" applyAlignment="1">
      <alignment horizontal="center" vertical="center"/>
    </xf>
    <xf numFmtId="197" fontId="96" fillId="12" borderId="82" xfId="0" applyNumberFormat="1" applyFont="1" applyFill="1" applyBorder="1" applyAlignment="1">
      <alignment horizontal="center" vertical="center"/>
    </xf>
    <xf numFmtId="58" fontId="48" fillId="12" borderId="82" xfId="0" applyNumberFormat="1" applyFont="1" applyFill="1" applyBorder="1" applyAlignment="1">
      <alignment horizontal="center" vertical="center"/>
    </xf>
    <xf numFmtId="8" fontId="100" fillId="12" borderId="99" xfId="0" applyNumberFormat="1" applyFont="1" applyFill="1" applyBorder="1" applyAlignment="1">
      <alignment horizontal="center" vertical="center"/>
    </xf>
    <xf numFmtId="184" fontId="48" fillId="12" borderId="84" xfId="0" applyNumberFormat="1" applyFont="1" applyFill="1" applyBorder="1" applyAlignment="1">
      <alignment horizontal="center" vertical="center"/>
    </xf>
    <xf numFmtId="0" fontId="48" fillId="12" borderId="84" xfId="0" applyFont="1" applyFill="1" applyBorder="1" applyAlignment="1">
      <alignment horizontal="center" vertical="center"/>
    </xf>
    <xf numFmtId="194" fontId="48" fillId="12" borderId="84" xfId="0" applyNumberFormat="1" applyFont="1" applyFill="1" applyBorder="1" applyAlignment="1">
      <alignment horizontal="center" vertical="center" wrapText="1"/>
    </xf>
    <xf numFmtId="183" fontId="48" fillId="12" borderId="84" xfId="0" applyNumberFormat="1" applyFont="1" applyFill="1" applyBorder="1" applyAlignment="1">
      <alignment horizontal="center" vertical="center"/>
    </xf>
    <xf numFmtId="181" fontId="48" fillId="12" borderId="84" xfId="0" applyNumberFormat="1" applyFont="1" applyFill="1" applyBorder="1" applyAlignment="1">
      <alignment horizontal="center" vertical="center"/>
    </xf>
    <xf numFmtId="0" fontId="48" fillId="12" borderId="84" xfId="0" applyNumberFormat="1" applyFont="1" applyFill="1" applyBorder="1" applyAlignment="1">
      <alignment horizontal="center" vertical="center"/>
    </xf>
    <xf numFmtId="0" fontId="96" fillId="12" borderId="96" xfId="0" applyFont="1" applyFill="1" applyBorder="1" applyAlignment="1">
      <alignment horizontal="center" vertical="center"/>
    </xf>
    <xf numFmtId="0" fontId="100" fillId="12" borderId="98" xfId="0" applyFont="1" applyFill="1" applyBorder="1" applyAlignment="1">
      <alignment horizontal="center" vertical="center"/>
    </xf>
    <xf numFmtId="0" fontId="94" fillId="2" borderId="96" xfId="0" applyFont="1" applyFill="1" applyBorder="1">
      <alignment vertical="center"/>
    </xf>
    <xf numFmtId="189" fontId="48" fillId="12" borderId="82" xfId="0" applyNumberFormat="1" applyFont="1" applyFill="1" applyBorder="1" applyAlignment="1">
      <alignment horizontal="center" vertical="center"/>
    </xf>
    <xf numFmtId="189" fontId="48" fillId="12" borderId="84" xfId="0" applyNumberFormat="1" applyFont="1" applyFill="1" applyBorder="1" applyAlignment="1">
      <alignment horizontal="center" vertical="center"/>
    </xf>
    <xf numFmtId="0" fontId="44" fillId="12" borderId="82" xfId="0" applyFont="1" applyFill="1" applyBorder="1" applyAlignment="1">
      <alignment horizontal="center" vertical="center"/>
    </xf>
    <xf numFmtId="0" fontId="44" fillId="12" borderId="82" xfId="0" applyFont="1" applyFill="1" applyBorder="1" applyAlignment="1">
      <alignment horizontal="center" vertical="center" wrapText="1"/>
    </xf>
    <xf numFmtId="0" fontId="104" fillId="12" borderId="82" xfId="0" applyFont="1" applyFill="1" applyBorder="1" applyAlignment="1">
      <alignment horizontal="center" vertical="center" wrapText="1"/>
    </xf>
    <xf numFmtId="0" fontId="48" fillId="12" borderId="97" xfId="0" applyFont="1" applyFill="1" applyBorder="1" applyAlignment="1">
      <alignment horizontal="center" vertical="center"/>
    </xf>
    <xf numFmtId="197" fontId="48" fillId="12" borderId="84" xfId="0" applyNumberFormat="1" applyFont="1" applyFill="1" applyBorder="1" applyAlignment="1">
      <alignment horizontal="center" vertical="center"/>
    </xf>
    <xf numFmtId="197" fontId="48" fillId="12" borderId="82" xfId="0" applyNumberFormat="1" applyFont="1" applyFill="1" applyBorder="1" applyAlignment="1">
      <alignment horizontal="center" vertical="center"/>
    </xf>
    <xf numFmtId="8" fontId="100" fillId="12" borderId="82" xfId="0" applyNumberFormat="1" applyFont="1" applyFill="1" applyBorder="1" applyAlignment="1">
      <alignment horizontal="center" vertical="center" wrapText="1"/>
    </xf>
    <xf numFmtId="0" fontId="0" fillId="12" borderId="95" xfId="0" applyFill="1" applyBorder="1" applyAlignment="1">
      <alignment horizontal="center" vertical="center"/>
    </xf>
    <xf numFmtId="0" fontId="48" fillId="2" borderId="82" xfId="0" applyFont="1" applyFill="1" applyBorder="1">
      <alignment vertical="center"/>
    </xf>
    <xf numFmtId="0" fontId="0" fillId="12" borderId="105" xfId="0" applyFill="1" applyBorder="1" applyAlignment="1">
      <alignment horizontal="center" vertical="center"/>
    </xf>
    <xf numFmtId="0" fontId="0" fillId="2" borderId="82" xfId="0" applyNumberFormat="1" applyFill="1" applyBorder="1" applyAlignment="1">
      <alignment horizontal="center" vertical="center"/>
    </xf>
    <xf numFmtId="0" fontId="48" fillId="12" borderId="95" xfId="0" applyFont="1" applyFill="1" applyBorder="1" applyAlignment="1">
      <alignment horizontal="center" vertical="center"/>
    </xf>
    <xf numFmtId="0" fontId="48" fillId="2" borderId="96" xfId="0" applyFont="1" applyFill="1" applyBorder="1">
      <alignment vertical="center"/>
    </xf>
    <xf numFmtId="0" fontId="48" fillId="12" borderId="100" xfId="0" applyFont="1" applyFill="1" applyBorder="1" applyAlignment="1">
      <alignment horizontal="center" vertical="center" wrapText="1"/>
    </xf>
    <xf numFmtId="183" fontId="48" fillId="12" borderId="101" xfId="0" applyNumberFormat="1" applyFont="1" applyFill="1" applyBorder="1" applyAlignment="1">
      <alignment horizontal="center" vertical="center" wrapText="1"/>
    </xf>
    <xf numFmtId="0" fontId="109" fillId="12" borderId="82" xfId="0" applyFont="1" applyFill="1" applyBorder="1" applyAlignment="1">
      <alignment horizontal="center" vertical="center" wrapText="1"/>
    </xf>
    <xf numFmtId="49" fontId="48" fillId="12" borderId="100" xfId="0" applyNumberFormat="1" applyFont="1" applyFill="1" applyBorder="1" applyAlignment="1">
      <alignment horizontal="center" vertical="center" wrapText="1"/>
    </xf>
    <xf numFmtId="0" fontId="48" fillId="12" borderId="100" xfId="0" applyFont="1" applyFill="1" applyBorder="1" applyAlignment="1">
      <alignment horizontal="center" vertical="center"/>
    </xf>
    <xf numFmtId="0" fontId="109" fillId="12" borderId="100" xfId="0" applyFont="1" applyFill="1" applyBorder="1" applyAlignment="1">
      <alignment horizontal="center" vertical="center" wrapText="1"/>
    </xf>
    <xf numFmtId="183" fontId="48" fillId="12" borderId="82" xfId="0" applyNumberFormat="1" applyFont="1" applyFill="1" applyBorder="1" applyAlignment="1">
      <alignment horizontal="center" vertical="center" wrapText="1"/>
    </xf>
    <xf numFmtId="189" fontId="48" fillId="12" borderId="84" xfId="0" applyNumberFormat="1" applyFont="1" applyFill="1" applyBorder="1" applyAlignment="1">
      <alignment horizontal="center" vertical="center" wrapText="1"/>
    </xf>
    <xf numFmtId="0" fontId="0" fillId="12" borderId="97" xfId="0" applyFill="1" applyBorder="1" applyAlignment="1">
      <alignment horizontal="center" vertical="center"/>
    </xf>
    <xf numFmtId="49" fontId="48" fillId="12" borderId="103" xfId="0" applyNumberFormat="1" applyFont="1" applyFill="1" applyBorder="1" applyAlignment="1">
      <alignment horizontal="center" vertical="center" wrapText="1"/>
    </xf>
    <xf numFmtId="0" fontId="48" fillId="12" borderId="97" xfId="0" applyFont="1" applyFill="1" applyBorder="1" applyAlignment="1">
      <alignment horizontal="center" vertical="center" wrapText="1"/>
    </xf>
    <xf numFmtId="213" fontId="44" fillId="12" borderId="100" xfId="0" applyNumberFormat="1" applyFont="1" applyFill="1" applyBorder="1" applyAlignment="1">
      <alignment horizontal="center" vertical="center"/>
    </xf>
    <xf numFmtId="189" fontId="48" fillId="12" borderId="101" xfId="0" applyNumberFormat="1" applyFont="1" applyFill="1" applyBorder="1" applyAlignment="1">
      <alignment horizontal="center" vertical="center"/>
    </xf>
    <xf numFmtId="8" fontId="110" fillId="2" borderId="83" xfId="0" applyNumberFormat="1" applyFont="1" applyFill="1" applyBorder="1" applyAlignment="1">
      <alignment horizontal="center" vertical="center" wrapText="1"/>
    </xf>
    <xf numFmtId="0" fontId="44" fillId="12" borderId="84" xfId="0" applyFont="1" applyFill="1" applyBorder="1" applyAlignment="1">
      <alignment horizontal="center" vertical="center"/>
    </xf>
    <xf numFmtId="191" fontId="48" fillId="12" borderId="84" xfId="0" applyNumberFormat="1" applyFont="1" applyFill="1" applyBorder="1" applyAlignment="1">
      <alignment vertical="center" wrapText="1"/>
    </xf>
    <xf numFmtId="0" fontId="48" fillId="12" borderId="84" xfId="0" applyFont="1" applyFill="1" applyBorder="1" applyAlignment="1">
      <alignment vertical="center" wrapText="1"/>
    </xf>
    <xf numFmtId="184" fontId="48" fillId="12" borderId="82" xfId="0" applyNumberFormat="1" applyFont="1" applyFill="1" applyBorder="1" applyAlignment="1">
      <alignment horizontal="center" vertical="center" wrapText="1"/>
    </xf>
    <xf numFmtId="0" fontId="104" fillId="12" borderId="84" xfId="0" applyFont="1" applyFill="1" applyBorder="1" applyAlignment="1">
      <alignment horizontal="center" vertical="center" wrapText="1"/>
    </xf>
    <xf numFmtId="0" fontId="48" fillId="12" borderId="103" xfId="0" applyFont="1" applyFill="1" applyBorder="1" applyAlignment="1">
      <alignment horizontal="center" vertical="center"/>
    </xf>
    <xf numFmtId="0" fontId="0" fillId="12" borderId="96" xfId="0" applyFill="1" applyBorder="1">
      <alignment vertical="center"/>
    </xf>
    <xf numFmtId="0" fontId="0" fillId="2" borderId="96" xfId="0" applyFill="1" applyBorder="1">
      <alignment vertical="center"/>
    </xf>
    <xf numFmtId="183" fontId="48" fillId="12" borderId="100" xfId="0" applyNumberFormat="1" applyFont="1" applyFill="1" applyBorder="1" applyAlignment="1">
      <alignment horizontal="center" vertical="center" wrapText="1"/>
    </xf>
    <xf numFmtId="0" fontId="48" fillId="12" borderId="82" xfId="0" applyFont="1" applyFill="1" applyBorder="1" applyAlignment="1">
      <alignment horizontal="center" vertical="center" wrapText="1" shrinkToFit="1"/>
    </xf>
    <xf numFmtId="181" fontId="48" fillId="12" borderId="100" xfId="0" applyNumberFormat="1" applyFont="1" applyFill="1" applyBorder="1" applyAlignment="1">
      <alignment horizontal="center" vertical="center" wrapText="1"/>
    </xf>
    <xf numFmtId="0" fontId="48" fillId="12" borderId="106" xfId="0" applyFont="1" applyFill="1" applyBorder="1" applyAlignment="1">
      <alignment horizontal="center" vertical="center"/>
    </xf>
    <xf numFmtId="0" fontId="99" fillId="12" borderId="82" xfId="0" applyFont="1" applyFill="1" applyBorder="1" applyAlignment="1">
      <alignment horizontal="center" vertical="center"/>
    </xf>
    <xf numFmtId="181" fontId="48" fillId="12" borderId="82" xfId="0" applyNumberFormat="1" applyFont="1" applyFill="1" applyBorder="1" applyAlignment="1">
      <alignment horizontal="center" vertical="center" wrapText="1"/>
    </xf>
    <xf numFmtId="49" fontId="48" fillId="2" borderId="84" xfId="0" applyNumberFormat="1" applyFont="1" applyFill="1" applyBorder="1" applyAlignment="1">
      <alignment horizontal="center" vertical="center" wrapText="1"/>
    </xf>
    <xf numFmtId="0" fontId="48" fillId="2" borderId="100" xfId="0" applyFont="1" applyFill="1" applyBorder="1" applyAlignment="1">
      <alignment horizontal="center" vertical="center" wrapText="1"/>
    </xf>
    <xf numFmtId="191" fontId="48" fillId="2" borderId="84" xfId="0" applyNumberFormat="1" applyFont="1" applyFill="1" applyBorder="1" applyAlignment="1">
      <alignment horizontal="center" vertical="center" wrapText="1"/>
    </xf>
    <xf numFmtId="184" fontId="37" fillId="2" borderId="100" xfId="0" applyNumberFormat="1" applyFont="1" applyFill="1" applyBorder="1" applyAlignment="1">
      <alignment horizontal="center" vertical="center" wrapText="1"/>
    </xf>
    <xf numFmtId="184" fontId="48" fillId="2" borderId="95" xfId="0" applyNumberFormat="1" applyFont="1" applyFill="1" applyBorder="1" applyAlignment="1">
      <alignment horizontal="center" vertical="center" wrapText="1"/>
    </xf>
    <xf numFmtId="49" fontId="48" fillId="2" borderId="100" xfId="0" applyNumberFormat="1" applyFont="1" applyFill="1" applyBorder="1" applyAlignment="1">
      <alignment horizontal="center" vertical="center" wrapText="1"/>
    </xf>
    <xf numFmtId="184" fontId="48" fillId="2" borderId="82" xfId="0" applyNumberFormat="1" applyFont="1" applyFill="1" applyBorder="1" applyAlignment="1">
      <alignment horizontal="center" vertical="center" wrapText="1"/>
    </xf>
    <xf numFmtId="213" fontId="48" fillId="2" borderId="100" xfId="0" applyNumberFormat="1" applyFont="1" applyFill="1" applyBorder="1" applyAlignment="1">
      <alignment horizontal="center" vertical="center" wrapText="1"/>
    </xf>
    <xf numFmtId="0" fontId="48" fillId="2" borderId="82" xfId="0" applyFont="1" applyFill="1" applyBorder="1" applyAlignment="1">
      <alignment vertical="center" wrapText="1"/>
    </xf>
    <xf numFmtId="191" fontId="48" fillId="2" borderId="82" xfId="0" applyNumberFormat="1" applyFont="1" applyFill="1" applyBorder="1" applyAlignment="1">
      <alignment vertical="center" wrapText="1"/>
    </xf>
    <xf numFmtId="183" fontId="48" fillId="2" borderId="82" xfId="0" applyNumberFormat="1" applyFont="1" applyFill="1" applyBorder="1" applyAlignment="1">
      <alignment horizontal="center" vertical="center" wrapText="1"/>
    </xf>
    <xf numFmtId="0" fontId="48" fillId="2" borderId="106" xfId="0" applyFont="1" applyFill="1" applyBorder="1" applyAlignment="1">
      <alignment horizontal="center" vertical="center"/>
    </xf>
    <xf numFmtId="0" fontId="111" fillId="2" borderId="82" xfId="0" applyNumberFormat="1" applyFont="1" applyFill="1" applyBorder="1" applyAlignment="1">
      <alignment horizontal="center" vertical="center"/>
    </xf>
    <xf numFmtId="181" fontId="44" fillId="12" borderId="82" xfId="0" applyNumberFormat="1" applyFont="1" applyFill="1" applyBorder="1" applyAlignment="1">
      <alignment horizontal="center" vertical="center"/>
    </xf>
    <xf numFmtId="197" fontId="48" fillId="12" borderId="82" xfId="0" applyNumberFormat="1" applyFont="1" applyFill="1" applyBorder="1" applyAlignment="1">
      <alignment horizontal="center" vertical="center" wrapText="1" shrinkToFit="1"/>
    </xf>
    <xf numFmtId="0" fontId="48" fillId="12" borderId="84" xfId="0" applyFont="1" applyFill="1" applyBorder="1" applyAlignment="1">
      <alignment horizontal="center" vertical="center" wrapText="1" shrinkToFit="1"/>
    </xf>
    <xf numFmtId="181" fontId="44" fillId="12" borderId="84" xfId="0" applyNumberFormat="1" applyFont="1" applyFill="1" applyBorder="1" applyAlignment="1">
      <alignment horizontal="center" vertical="center"/>
    </xf>
    <xf numFmtId="0" fontId="99" fillId="12" borderId="84" xfId="0" applyFont="1" applyFill="1" applyBorder="1" applyAlignment="1">
      <alignment horizontal="center" vertical="center"/>
    </xf>
    <xf numFmtId="191" fontId="48" fillId="2" borderId="101" xfId="0" applyNumberFormat="1" applyFont="1" applyFill="1" applyBorder="1">
      <alignment vertical="center"/>
    </xf>
    <xf numFmtId="198" fontId="112" fillId="12" borderId="82" xfId="0" applyNumberFormat="1" applyFont="1" applyFill="1" applyBorder="1" applyAlignment="1">
      <alignment horizontal="center" vertical="center"/>
    </xf>
    <xf numFmtId="0" fontId="44" fillId="12" borderId="84" xfId="0" applyFont="1" applyFill="1" applyBorder="1" applyAlignment="1">
      <alignment horizontal="center" vertical="center" wrapText="1"/>
    </xf>
    <xf numFmtId="0" fontId="113" fillId="12" borderId="82" xfId="0" applyFont="1" applyFill="1" applyBorder="1" applyAlignment="1">
      <alignment horizontal="center" vertical="center" wrapText="1"/>
    </xf>
    <xf numFmtId="0" fontId="48" fillId="12" borderId="82" xfId="0" applyFont="1" applyFill="1" applyBorder="1" applyAlignment="1">
      <alignment vertical="center" wrapText="1"/>
    </xf>
    <xf numFmtId="0" fontId="48" fillId="12" borderId="101" xfId="0" applyFont="1" applyFill="1" applyBorder="1" applyAlignment="1">
      <alignment horizontal="center" vertical="center" wrapText="1"/>
    </xf>
    <xf numFmtId="0" fontId="113" fillId="12" borderId="84" xfId="0" applyFont="1" applyFill="1" applyBorder="1" applyAlignment="1">
      <alignment horizontal="center" vertical="center" wrapText="1"/>
    </xf>
    <xf numFmtId="198" fontId="114" fillId="12" borderId="100" xfId="0" applyNumberFormat="1" applyFont="1" applyFill="1" applyBorder="1" applyAlignment="1">
      <alignment horizontal="center" vertical="center"/>
    </xf>
    <xf numFmtId="198" fontId="114" fillId="12" borderId="101" xfId="0" applyNumberFormat="1" applyFont="1" applyFill="1" applyBorder="1" applyAlignment="1">
      <alignment horizontal="center" vertical="center"/>
    </xf>
    <xf numFmtId="0" fontId="48" fillId="12" borderId="107" xfId="0" applyFont="1" applyFill="1" applyBorder="1" applyAlignment="1">
      <alignment horizontal="center" vertical="center"/>
    </xf>
    <xf numFmtId="0" fontId="48" fillId="12" borderId="98" xfId="0" applyFont="1" applyFill="1" applyBorder="1" applyAlignment="1">
      <alignment horizontal="center" vertical="center" wrapText="1"/>
    </xf>
    <xf numFmtId="0" fontId="48" fillId="12" borderId="98" xfId="0" applyFont="1" applyFill="1" applyBorder="1" applyAlignment="1">
      <alignment horizontal="center" vertical="center"/>
    </xf>
    <xf numFmtId="0" fontId="48" fillId="12" borderId="83" xfId="0" applyFont="1" applyFill="1" applyBorder="1" applyAlignment="1">
      <alignment horizontal="center" vertical="center"/>
    </xf>
    <xf numFmtId="198" fontId="114" fillId="12" borderId="84" xfId="0" applyNumberFormat="1" applyFont="1" applyFill="1" applyBorder="1" applyAlignment="1">
      <alignment horizontal="center" vertical="center"/>
    </xf>
    <xf numFmtId="191" fontId="48" fillId="12" borderId="84" xfId="0" applyNumberFormat="1" applyFont="1" applyFill="1" applyBorder="1" applyAlignment="1">
      <alignment horizontal="center" vertical="center"/>
    </xf>
    <xf numFmtId="7" fontId="115" fillId="12" borderId="100" xfId="0" applyNumberFormat="1" applyFont="1" applyFill="1" applyBorder="1" applyAlignment="1">
      <alignment horizontal="center" vertical="center"/>
    </xf>
    <xf numFmtId="7" fontId="115" fillId="12" borderId="101" xfId="0" applyNumberFormat="1" applyFont="1" applyFill="1" applyBorder="1" applyAlignment="1">
      <alignment horizontal="center" vertical="center"/>
    </xf>
    <xf numFmtId="7" fontId="115" fillId="12" borderId="84" xfId="0" applyNumberFormat="1" applyFont="1" applyFill="1" applyBorder="1" applyAlignment="1">
      <alignment horizontal="center" vertical="center"/>
    </xf>
    <xf numFmtId="197" fontId="48" fillId="12" borderId="99" xfId="0" applyNumberFormat="1" applyFont="1" applyFill="1" applyBorder="1" applyAlignment="1">
      <alignment horizontal="center" vertical="center"/>
    </xf>
    <xf numFmtId="0" fontId="48" fillId="12" borderId="99" xfId="0" applyFont="1" applyFill="1" applyBorder="1" applyAlignment="1">
      <alignment horizontal="center" vertical="center"/>
    </xf>
    <xf numFmtId="0" fontId="48" fillId="12" borderId="105" xfId="0" applyFont="1" applyFill="1" applyBorder="1" applyAlignment="1">
      <alignment horizontal="center" vertical="center"/>
    </xf>
    <xf numFmtId="0" fontId="48" fillId="13" borderId="82" xfId="0" applyFont="1" applyFill="1" applyBorder="1" applyAlignment="1">
      <alignment horizontal="center" vertical="center" wrapText="1"/>
    </xf>
    <xf numFmtId="0" fontId="48" fillId="13" borderId="82" xfId="0" applyFont="1" applyFill="1" applyBorder="1" applyAlignment="1">
      <alignment horizontal="center" vertical="center"/>
    </xf>
    <xf numFmtId="183" fontId="48" fillId="13" borderId="84" xfId="0" applyNumberFormat="1" applyFont="1" applyFill="1" applyBorder="1" applyAlignment="1">
      <alignment horizontal="center" vertical="center" wrapText="1"/>
    </xf>
    <xf numFmtId="49" fontId="48" fillId="13" borderId="84" xfId="0" applyNumberFormat="1" applyFont="1" applyFill="1" applyBorder="1" applyAlignment="1">
      <alignment horizontal="center" vertical="center" wrapText="1"/>
    </xf>
    <xf numFmtId="0" fontId="48" fillId="13" borderId="84" xfId="0" applyFont="1" applyFill="1" applyBorder="1" applyAlignment="1">
      <alignment horizontal="center" vertical="center" wrapText="1"/>
    </xf>
    <xf numFmtId="191" fontId="48" fillId="13" borderId="84" xfId="0" applyNumberFormat="1" applyFont="1" applyFill="1" applyBorder="1" applyAlignment="1">
      <alignment horizontal="center" vertical="center" wrapText="1"/>
    </xf>
    <xf numFmtId="189" fontId="48" fillId="13" borderId="84" xfId="0" applyNumberFormat="1" applyFont="1" applyFill="1" applyBorder="1" applyAlignment="1">
      <alignment horizontal="center" vertical="center"/>
    </xf>
    <xf numFmtId="0" fontId="0" fillId="13" borderId="0" xfId="0" applyFill="1">
      <alignment vertical="center"/>
    </xf>
    <xf numFmtId="0" fontId="44" fillId="13" borderId="82" xfId="0" applyFont="1" applyFill="1" applyBorder="1" applyAlignment="1">
      <alignment horizontal="center" vertical="center"/>
    </xf>
    <xf numFmtId="49" fontId="44" fillId="13" borderId="82" xfId="0" applyNumberFormat="1" applyFont="1" applyFill="1" applyBorder="1" applyAlignment="1">
      <alignment horizontal="center" vertical="center"/>
    </xf>
    <xf numFmtId="213" fontId="44" fillId="13" borderId="82" xfId="0" applyNumberFormat="1" applyFont="1" applyFill="1" applyBorder="1" applyAlignment="1">
      <alignment horizontal="center" vertical="center"/>
    </xf>
    <xf numFmtId="0" fontId="109" fillId="13" borderId="84" xfId="0" applyFont="1" applyFill="1" applyBorder="1" applyAlignment="1">
      <alignment horizontal="center" vertical="center" wrapText="1"/>
    </xf>
    <xf numFmtId="191" fontId="48" fillId="13" borderId="82" xfId="0" applyNumberFormat="1" applyFont="1" applyFill="1" applyBorder="1" applyAlignment="1">
      <alignment horizontal="center" vertical="center" wrapText="1"/>
    </xf>
    <xf numFmtId="183" fontId="48" fillId="13" borderId="82" xfId="0" applyNumberFormat="1" applyFont="1" applyFill="1" applyBorder="1" applyAlignment="1">
      <alignment horizontal="center" vertical="center"/>
    </xf>
    <xf numFmtId="189" fontId="48" fillId="13" borderId="82" xfId="0" applyNumberFormat="1" applyFont="1" applyFill="1" applyBorder="1" applyAlignment="1">
      <alignment horizontal="center" vertical="center"/>
    </xf>
    <xf numFmtId="0" fontId="48" fillId="13" borderId="103" xfId="0" applyFont="1" applyFill="1" applyBorder="1" applyAlignment="1">
      <alignment horizontal="center" vertical="center"/>
    </xf>
    <xf numFmtId="197" fontId="48" fillId="13" borderId="98" xfId="0" applyNumberFormat="1" applyFont="1" applyFill="1" applyBorder="1" applyAlignment="1">
      <alignment horizontal="center" vertical="center"/>
    </xf>
    <xf numFmtId="0" fontId="48" fillId="13" borderId="84" xfId="0" applyFont="1" applyFill="1" applyBorder="1" applyAlignment="1">
      <alignment horizontal="center" vertical="center"/>
    </xf>
    <xf numFmtId="197" fontId="48" fillId="13" borderId="82" xfId="0" applyNumberFormat="1" applyFont="1" applyFill="1" applyBorder="1" applyAlignment="1">
      <alignment horizontal="center" vertical="center"/>
    </xf>
    <xf numFmtId="0" fontId="55" fillId="13" borderId="84" xfId="0" applyFont="1" applyFill="1" applyBorder="1">
      <alignment vertical="center"/>
    </xf>
    <xf numFmtId="0" fontId="48" fillId="13" borderId="97" xfId="0" applyFont="1" applyFill="1" applyBorder="1" applyAlignment="1">
      <alignment horizontal="center" vertical="center"/>
    </xf>
    <xf numFmtId="198" fontId="56" fillId="13" borderId="100" xfId="0" applyNumberFormat="1" applyFont="1" applyFill="1" applyBorder="1" applyAlignment="1">
      <alignment horizontal="center" vertical="center"/>
    </xf>
    <xf numFmtId="0" fontId="56" fillId="13" borderId="100" xfId="0" applyFont="1" applyFill="1" applyBorder="1" applyAlignment="1">
      <alignment horizontal="center" vertical="center"/>
    </xf>
    <xf numFmtId="0" fontId="48" fillId="13" borderId="106" xfId="0" applyFont="1" applyFill="1" applyBorder="1" applyAlignment="1">
      <alignment horizontal="center" vertical="center"/>
    </xf>
    <xf numFmtId="197" fontId="48" fillId="13" borderId="83" xfId="0" applyNumberFormat="1" applyFont="1" applyFill="1" applyBorder="1" applyAlignment="1">
      <alignment horizontal="center" vertical="center"/>
    </xf>
    <xf numFmtId="0" fontId="55" fillId="13" borderId="82" xfId="0" applyFont="1" applyFill="1" applyBorder="1">
      <alignment vertical="center"/>
    </xf>
    <xf numFmtId="0" fontId="48" fillId="13" borderId="96" xfId="0" applyFont="1" applyFill="1" applyBorder="1" applyAlignment="1">
      <alignment horizontal="center" vertical="center"/>
    </xf>
    <xf numFmtId="198" fontId="56" fillId="13" borderId="101" xfId="0" applyNumberFormat="1" applyFont="1" applyFill="1" applyBorder="1" applyAlignment="1">
      <alignment horizontal="center" vertical="center"/>
    </xf>
    <xf numFmtId="0" fontId="56" fillId="13" borderId="101" xfId="0" applyFont="1" applyFill="1" applyBorder="1" applyAlignment="1">
      <alignment horizontal="center" vertical="center"/>
    </xf>
    <xf numFmtId="0" fontId="113" fillId="13" borderId="82" xfId="0" applyFont="1" applyFill="1" applyBorder="1" applyAlignment="1">
      <alignment horizontal="center" vertical="center" wrapText="1"/>
    </xf>
    <xf numFmtId="0" fontId="44" fillId="13" borderId="103" xfId="0" applyFont="1" applyFill="1" applyBorder="1" applyAlignment="1">
      <alignment horizontal="center" vertical="center"/>
    </xf>
    <xf numFmtId="49" fontId="44" fillId="13" borderId="84" xfId="0" applyNumberFormat="1" applyFont="1" applyFill="1" applyBorder="1" applyAlignment="1">
      <alignment horizontal="center" vertical="center"/>
    </xf>
    <xf numFmtId="0" fontId="44" fillId="13" borderId="84" xfId="0" applyFont="1" applyFill="1" applyBorder="1" applyAlignment="1">
      <alignment horizontal="center" vertical="center"/>
    </xf>
    <xf numFmtId="213" fontId="44" fillId="13" borderId="84" xfId="0" applyNumberFormat="1" applyFont="1" applyFill="1" applyBorder="1" applyAlignment="1">
      <alignment horizontal="center" vertical="center"/>
    </xf>
    <xf numFmtId="0" fontId="37" fillId="13" borderId="84" xfId="0" applyFont="1" applyFill="1" applyBorder="1" applyAlignment="1">
      <alignment horizontal="center" vertical="center" wrapText="1"/>
    </xf>
    <xf numFmtId="0" fontId="109" fillId="13" borderId="82" xfId="0" applyFont="1" applyFill="1" applyBorder="1" applyAlignment="1">
      <alignment horizontal="center" vertical="center" wrapText="1"/>
    </xf>
    <xf numFmtId="0" fontId="48" fillId="13" borderId="95" xfId="0" applyFont="1" applyFill="1" applyBorder="1" applyAlignment="1">
      <alignment horizontal="center" vertical="center"/>
    </xf>
    <xf numFmtId="198" fontId="56" fillId="13" borderId="84" xfId="0" applyNumberFormat="1" applyFont="1" applyFill="1" applyBorder="1" applyAlignment="1">
      <alignment horizontal="center" vertical="center"/>
    </xf>
    <xf numFmtId="184" fontId="48" fillId="13" borderId="84" xfId="0" applyNumberFormat="1" applyFont="1" applyFill="1" applyBorder="1" applyAlignment="1">
      <alignment horizontal="center" vertical="center"/>
    </xf>
    <xf numFmtId="192" fontId="48" fillId="13" borderId="84" xfId="0" applyNumberFormat="1" applyFont="1" applyFill="1" applyBorder="1" applyAlignment="1">
      <alignment horizontal="center" vertical="center" wrapText="1"/>
    </xf>
    <xf numFmtId="183" fontId="48" fillId="13" borderId="84" xfId="0" applyNumberFormat="1" applyFont="1" applyFill="1" applyBorder="1" applyAlignment="1">
      <alignment horizontal="center" vertical="center"/>
    </xf>
    <xf numFmtId="49" fontId="48" fillId="13" borderId="103" xfId="0" applyNumberFormat="1" applyFont="1" applyFill="1" applyBorder="1" applyAlignment="1">
      <alignment horizontal="center" vertical="center" wrapText="1"/>
    </xf>
    <xf numFmtId="0" fontId="48" fillId="13" borderId="107" xfId="0" applyFont="1" applyFill="1" applyBorder="1" applyAlignment="1">
      <alignment horizontal="center" vertical="center"/>
    </xf>
    <xf numFmtId="197" fontId="48" fillId="13" borderId="102" xfId="0" applyNumberFormat="1" applyFont="1" applyFill="1" applyBorder="1" applyAlignment="1">
      <alignment horizontal="center" vertical="center"/>
    </xf>
    <xf numFmtId="0" fontId="56" fillId="13" borderId="84" xfId="0" applyFont="1" applyFill="1" applyBorder="1" applyAlignment="1">
      <alignment horizontal="center" vertical="center"/>
    </xf>
    <xf numFmtId="198" fontId="56" fillId="14" borderId="82" xfId="0" applyNumberFormat="1" applyFont="1" applyFill="1" applyBorder="1" applyAlignment="1">
      <alignment horizontal="center" vertical="center"/>
    </xf>
    <xf numFmtId="0" fontId="109" fillId="2" borderId="82" xfId="0" applyFont="1" applyFill="1" applyBorder="1" applyAlignment="1">
      <alignment horizontal="center" vertical="center" wrapText="1"/>
    </xf>
    <xf numFmtId="197" fontId="48" fillId="2" borderId="102" xfId="0" applyNumberFormat="1" applyFont="1" applyFill="1" applyBorder="1" applyAlignment="1">
      <alignment horizontal="center" vertical="center"/>
    </xf>
    <xf numFmtId="0" fontId="55" fillId="2" borderId="82" xfId="0" applyFont="1" applyFill="1" applyBorder="1">
      <alignment vertical="center"/>
    </xf>
    <xf numFmtId="189" fontId="48" fillId="13" borderId="101" xfId="0" applyNumberFormat="1" applyFont="1" applyFill="1" applyBorder="1" applyAlignment="1">
      <alignment horizontal="center" vertical="center"/>
    </xf>
    <xf numFmtId="0" fontId="44" fillId="13" borderId="0" xfId="0" applyFont="1" applyFill="1" applyAlignment="1">
      <alignment horizontal="center" vertical="center"/>
    </xf>
    <xf numFmtId="49" fontId="44" fillId="13" borderId="101" xfId="0" applyNumberFormat="1" applyFont="1" applyFill="1" applyBorder="1" applyAlignment="1">
      <alignment horizontal="center" vertical="center"/>
    </xf>
    <xf numFmtId="0" fontId="48" fillId="13" borderId="100" xfId="0" applyFont="1" applyFill="1" applyBorder="1" applyAlignment="1">
      <alignment horizontal="center" vertical="center" wrapText="1"/>
    </xf>
    <xf numFmtId="0" fontId="0" fillId="13" borderId="100" xfId="0" applyFill="1" applyBorder="1" applyAlignment="1">
      <alignment horizontal="center" vertical="center"/>
    </xf>
    <xf numFmtId="0" fontId="102" fillId="13" borderId="84" xfId="0" applyFont="1" applyFill="1" applyBorder="1" applyAlignment="1">
      <alignment horizontal="center" vertical="center"/>
    </xf>
    <xf numFmtId="0" fontId="0" fillId="13" borderId="101" xfId="0" applyFill="1" applyBorder="1" applyAlignment="1">
      <alignment horizontal="center" vertical="center"/>
    </xf>
    <xf numFmtId="0" fontId="102" fillId="13" borderId="82" xfId="0" applyFont="1" applyFill="1" applyBorder="1" applyAlignment="1">
      <alignment horizontal="center" vertical="center"/>
    </xf>
    <xf numFmtId="0" fontId="0" fillId="13" borderId="84" xfId="0" applyFill="1" applyBorder="1" applyAlignment="1">
      <alignment horizontal="center" vertical="center"/>
    </xf>
    <xf numFmtId="0" fontId="102" fillId="2" borderId="82" xfId="0" applyFont="1" applyFill="1" applyBorder="1" applyAlignment="1">
      <alignment horizontal="center" vertical="center"/>
    </xf>
    <xf numFmtId="49" fontId="48" fillId="13" borderId="84" xfId="0" applyNumberFormat="1" applyFont="1" applyFill="1" applyBorder="1" applyAlignment="1">
      <alignment horizontal="center" vertical="center"/>
    </xf>
    <xf numFmtId="0" fontId="39" fillId="13" borderId="82" xfId="0" applyFont="1" applyFill="1" applyBorder="1" applyAlignment="1">
      <alignment horizontal="center" vertical="center"/>
    </xf>
    <xf numFmtId="0" fontId="113" fillId="2" borderId="82" xfId="0" applyFont="1" applyFill="1" applyBorder="1" applyAlignment="1">
      <alignment horizontal="center" vertical="center" wrapText="1"/>
    </xf>
    <xf numFmtId="194" fontId="48" fillId="13" borderId="84" xfId="0" applyNumberFormat="1" applyFont="1" applyFill="1" applyBorder="1" applyAlignment="1">
      <alignment horizontal="center" vertical="center" wrapText="1"/>
    </xf>
    <xf numFmtId="194" fontId="48" fillId="13" borderId="84" xfId="0" applyNumberFormat="1" applyFont="1" applyFill="1" applyBorder="1" applyAlignment="1">
      <alignment horizontal="center" vertical="center"/>
    </xf>
    <xf numFmtId="0" fontId="56" fillId="13" borderId="82" xfId="0" applyFont="1" applyFill="1" applyBorder="1" applyAlignment="1">
      <alignment horizontal="center" vertical="center"/>
    </xf>
    <xf numFmtId="198" fontId="56" fillId="13" borderId="82" xfId="0" applyNumberFormat="1" applyFont="1" applyFill="1" applyBorder="1" applyAlignment="1">
      <alignment horizontal="center" vertical="center"/>
    </xf>
    <xf numFmtId="191" fontId="48" fillId="13" borderId="84" xfId="0" applyNumberFormat="1" applyFont="1" applyFill="1" applyBorder="1" applyAlignment="1">
      <alignment horizontal="center" vertical="center"/>
    </xf>
    <xf numFmtId="0" fontId="48" fillId="13" borderId="98" xfId="0" applyFont="1" applyFill="1" applyBorder="1" applyAlignment="1">
      <alignment horizontal="center" vertical="center"/>
    </xf>
    <xf numFmtId="0" fontId="48" fillId="13" borderId="83" xfId="0" applyFont="1" applyFill="1" applyBorder="1" applyAlignment="1">
      <alignment horizontal="center" vertical="center"/>
    </xf>
    <xf numFmtId="0" fontId="97" fillId="13" borderId="82" xfId="0" applyFont="1" applyFill="1" applyBorder="1" applyAlignment="1">
      <alignment horizontal="center" vertical="center" wrapText="1"/>
    </xf>
    <xf numFmtId="0" fontId="48" fillId="13" borderId="102" xfId="0" applyFont="1" applyFill="1" applyBorder="1" applyAlignment="1">
      <alignment horizontal="center" vertical="center"/>
    </xf>
    <xf numFmtId="0" fontId="8" fillId="0" borderId="19" xfId="65" applyBorder="1" applyAlignment="1" quotePrefix="1">
      <alignment horizontal="center" vertical="center"/>
    </xf>
  </cellXfs>
  <cellStyles count="6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5" xfId="49"/>
    <cellStyle name="一般" xfId="50"/>
    <cellStyle name="常规_12050701 6" xfId="51"/>
    <cellStyle name="常规_12050701" xfId="52"/>
    <cellStyle name="Normal 4 2" xfId="53"/>
    <cellStyle name="常规 2" xfId="54"/>
    <cellStyle name="常规_排模表" xfId="55"/>
    <cellStyle name="常规 4" xfId="56"/>
    <cellStyle name="常规_Sheet1" xfId="57"/>
    <cellStyle name="常规_SI-20110623报关单证" xfId="58"/>
    <cellStyle name="常规_复件 (2) 模具表" xfId="59"/>
    <cellStyle name="常规_内部明细" xfId="60"/>
    <cellStyle name="样式 1_st shipment docs xls-ff (2)" xfId="61"/>
    <cellStyle name="常规 1656" xfId="62"/>
    <cellStyle name="常规 2_报关资料与ASN" xfId="63"/>
    <cellStyle name="常规 3" xfId="64"/>
    <cellStyle name="常规_装箱单" xfId="65"/>
    <cellStyle name="常规_LBD-20121130-DA211002 深圳机场-报关单证" xfId="66"/>
    <cellStyle name="常规 2 2" xfId="67"/>
    <cellStyle name="常规_吹泡枪作业指导书" xfId="68"/>
  </cellStyles>
  <dxfs count="3">
    <dxf>
      <font>
        <color indexed="9"/>
      </font>
    </dxf>
    <dxf>
      <fill>
        <patternFill patternType="solid">
          <bgColor rgb="FFFF9900"/>
        </patternFill>
      </fill>
    </dxf>
    <dxf>
      <font>
        <b val="1"/>
        <color indexed="9"/>
      </font>
      <fill>
        <patternFill patternType="solid">
          <bgColor indexed="10"/>
        </patternFill>
      </fill>
    </dxf>
  </dxfs>
  <tableStyles count="0" defaultTableStyle="TableStyleMedium2" defaultPivotStyle="PivotStyleLight16"/>
  <colors>
    <mruColors>
      <color rgb="00D0C0E2"/>
      <color rgb="00C3A2D5"/>
      <color rgb="00FFE699"/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6" Type="http://schemas.openxmlformats.org/officeDocument/2006/relationships/worksheet" Target="worksheets/sheet6.xml"/><Relationship Id="rId22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3" Type="http://schemas.openxmlformats.org/officeDocument/2006/relationships/worksheet" Target="worksheets/sheet13.xml"/></Relationships>
</file>

<file path=xl/drawings/_rels/drawing2.xml.rels><?xml version='1.0' encoding='UTF-8' standalone='yes'?>
<Relationships xmlns="http://schemas.openxmlformats.org/package/2006/relationships"/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91440</xdr:colOff>
      <xdr:row>1</xdr:row>
      <xdr:rowOff>718185</xdr:rowOff>
    </xdr:from>
    <xdr:to>
      <xdr:col>0</xdr:col>
      <xdr:colOff>1225550</xdr:colOff>
      <xdr:row>1</xdr:row>
      <xdr:rowOff>1370965</xdr:rowOff>
    </xdr:to>
    <xdr:sp>
      <xdr:nvSpPr>
        <xdr:cNvPr id="8" name="矩形标注 7"/>
        <xdr:cNvSpPr/>
      </xdr:nvSpPr>
      <xdr:spPr>
        <a:xfrm>
          <a:off x="91440" y="1353185"/>
          <a:ext cx="1134110" cy="652780"/>
        </a:xfrm>
        <a:prstGeom prst="wedgeRectCallout">
          <a:avLst>
            <a:gd name="adj1" fmla="val -18421"/>
            <a:gd name="adj2" fmla="val 143082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r>
            <a:rPr lang="zh-CN" altLang="en-US" sz="1400"/>
            <a:t>此出货表里面物料序号</a:t>
          </a:r>
          <a:endParaRPr lang="zh-CN" altLang="en-US" sz="1400"/>
        </a:p>
      </xdr:txBody>
    </xdr:sp>
    <xdr:clientData/>
  </xdr:twoCellAnchor>
  <xdr:twoCellAnchor>
    <xdr:from>
      <xdr:col>1</xdr:col>
      <xdr:colOff>40640</xdr:colOff>
      <xdr:row>1</xdr:row>
      <xdr:rowOff>295275</xdr:rowOff>
    </xdr:from>
    <xdr:to>
      <xdr:col>1</xdr:col>
      <xdr:colOff>1174750</xdr:colOff>
      <xdr:row>1</xdr:row>
      <xdr:rowOff>1328420</xdr:rowOff>
    </xdr:to>
    <xdr:sp>
      <xdr:nvSpPr>
        <xdr:cNvPr id="9" name="矩形标注 8"/>
        <xdr:cNvSpPr/>
      </xdr:nvSpPr>
      <xdr:spPr>
        <a:xfrm>
          <a:off x="1564640" y="930275"/>
          <a:ext cx="1134110" cy="103314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不清楚可不填，此项由报关同事填写</a:t>
          </a:r>
          <a:endParaRPr lang="zh-CN" altLang="en-US" sz="1400"/>
        </a:p>
      </xdr:txBody>
    </xdr:sp>
    <xdr:clientData/>
  </xdr:twoCellAnchor>
  <xdr:twoCellAnchor>
    <xdr:from>
      <xdr:col>2</xdr:col>
      <xdr:colOff>31115</xdr:colOff>
      <xdr:row>1</xdr:row>
      <xdr:rowOff>259080</xdr:rowOff>
    </xdr:from>
    <xdr:to>
      <xdr:col>2</xdr:col>
      <xdr:colOff>1165225</xdr:colOff>
      <xdr:row>1</xdr:row>
      <xdr:rowOff>1292225</xdr:rowOff>
    </xdr:to>
    <xdr:sp>
      <xdr:nvSpPr>
        <xdr:cNvPr id="10" name="矩形标注 9"/>
        <xdr:cNvSpPr/>
      </xdr:nvSpPr>
      <xdr:spPr>
        <a:xfrm>
          <a:off x="2853055" y="894080"/>
          <a:ext cx="1134110" cy="103314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不清楚可不填，此项由报关同事填写</a:t>
          </a:r>
          <a:endParaRPr lang="zh-CN" altLang="en-US" sz="1400"/>
        </a:p>
      </xdr:txBody>
    </xdr:sp>
    <xdr:clientData/>
  </xdr:twoCellAnchor>
  <xdr:twoCellAnchor>
    <xdr:from>
      <xdr:col>3</xdr:col>
      <xdr:colOff>156210</xdr:colOff>
      <xdr:row>1</xdr:row>
      <xdr:rowOff>590550</xdr:rowOff>
    </xdr:from>
    <xdr:to>
      <xdr:col>3</xdr:col>
      <xdr:colOff>1290320</xdr:colOff>
      <xdr:row>1</xdr:row>
      <xdr:rowOff>1351280</xdr:rowOff>
    </xdr:to>
    <xdr:sp>
      <xdr:nvSpPr>
        <xdr:cNvPr id="11" name="矩形标注 10"/>
        <xdr:cNvSpPr/>
      </xdr:nvSpPr>
      <xdr:spPr>
        <a:xfrm>
          <a:off x="4172585" y="1225550"/>
          <a:ext cx="1134110" cy="760730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所订物料用于哪个项目</a:t>
          </a:r>
          <a:endParaRPr lang="zh-CN" altLang="en-US" sz="1400"/>
        </a:p>
      </xdr:txBody>
    </xdr:sp>
    <xdr:clientData/>
  </xdr:twoCellAnchor>
  <xdr:twoCellAnchor>
    <xdr:from>
      <xdr:col>4</xdr:col>
      <xdr:colOff>245110</xdr:colOff>
      <xdr:row>1</xdr:row>
      <xdr:rowOff>1150620</xdr:rowOff>
    </xdr:from>
    <xdr:to>
      <xdr:col>4</xdr:col>
      <xdr:colOff>1022985</xdr:colOff>
      <xdr:row>1</xdr:row>
      <xdr:rowOff>1639570</xdr:rowOff>
    </xdr:to>
    <xdr:sp>
      <xdr:nvSpPr>
        <xdr:cNvPr id="13" name="矩形标注 12"/>
        <xdr:cNvSpPr/>
      </xdr:nvSpPr>
      <xdr:spPr>
        <a:xfrm>
          <a:off x="5597525" y="1785620"/>
          <a:ext cx="777875" cy="488950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</a:t>
          </a:r>
          <a:endParaRPr lang="zh-CN" altLang="en-US" sz="1400"/>
        </a:p>
      </xdr:txBody>
    </xdr:sp>
    <xdr:clientData/>
  </xdr:twoCellAnchor>
  <xdr:twoCellAnchor>
    <xdr:from>
      <xdr:col>4</xdr:col>
      <xdr:colOff>1197610</xdr:colOff>
      <xdr:row>1</xdr:row>
      <xdr:rowOff>49530</xdr:rowOff>
    </xdr:from>
    <xdr:to>
      <xdr:col>5</xdr:col>
      <xdr:colOff>1405890</xdr:colOff>
      <xdr:row>1</xdr:row>
      <xdr:rowOff>1558290</xdr:rowOff>
    </xdr:to>
    <xdr:sp>
      <xdr:nvSpPr>
        <xdr:cNvPr id="15" name="矩形标注 14"/>
        <xdr:cNvSpPr/>
      </xdr:nvSpPr>
      <xdr:spPr>
        <a:xfrm>
          <a:off x="6550025" y="684530"/>
          <a:ext cx="1544320" cy="1508760"/>
        </a:xfrm>
        <a:prstGeom prst="wedgeRectCallout">
          <a:avLst>
            <a:gd name="adj1" fmla="val -6960"/>
            <a:gd name="adj2" fmla="val 7588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物料名称，如是海关备案的，则按海关备案的物料名称填写，否的话，则填发票名称</a:t>
          </a:r>
          <a:endParaRPr lang="zh-CN" altLang="en-US" sz="1400"/>
        </a:p>
      </xdr:txBody>
    </xdr:sp>
    <xdr:clientData/>
  </xdr:twoCellAnchor>
  <xdr:twoCellAnchor>
    <xdr:from>
      <xdr:col>6</xdr:col>
      <xdr:colOff>247650</xdr:colOff>
      <xdr:row>1</xdr:row>
      <xdr:rowOff>893445</xdr:rowOff>
    </xdr:from>
    <xdr:to>
      <xdr:col>6</xdr:col>
      <xdr:colOff>1656715</xdr:colOff>
      <xdr:row>1</xdr:row>
      <xdr:rowOff>1626870</xdr:rowOff>
    </xdr:to>
    <xdr:sp>
      <xdr:nvSpPr>
        <xdr:cNvPr id="16" name="矩形标注 15"/>
        <xdr:cNvSpPr/>
      </xdr:nvSpPr>
      <xdr:spPr>
        <a:xfrm>
          <a:off x="8356600" y="1528445"/>
          <a:ext cx="1409065" cy="73342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物料名称对应的英文名称</a:t>
          </a:r>
          <a:endParaRPr lang="zh-CN" altLang="en-US" sz="1400"/>
        </a:p>
      </xdr:txBody>
    </xdr:sp>
    <xdr:clientData/>
  </xdr:twoCellAnchor>
  <xdr:twoCellAnchor>
    <xdr:from>
      <xdr:col>7</xdr:col>
      <xdr:colOff>153670</xdr:colOff>
      <xdr:row>1</xdr:row>
      <xdr:rowOff>445135</xdr:rowOff>
    </xdr:from>
    <xdr:to>
      <xdr:col>7</xdr:col>
      <xdr:colOff>1562735</xdr:colOff>
      <xdr:row>1</xdr:row>
      <xdr:rowOff>1531620</xdr:rowOff>
    </xdr:to>
    <xdr:sp>
      <xdr:nvSpPr>
        <xdr:cNvPr id="19" name="矩形标注 18"/>
        <xdr:cNvSpPr/>
      </xdr:nvSpPr>
      <xdr:spPr>
        <a:xfrm>
          <a:off x="10146030" y="1080135"/>
          <a:ext cx="1409065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物料对应的规格，如贴纸的尺寸，螺丝的杆径、材质</a:t>
          </a:r>
          <a:endParaRPr lang="zh-CN" altLang="en-US" sz="1400"/>
        </a:p>
      </xdr:txBody>
    </xdr:sp>
    <xdr:clientData/>
  </xdr:twoCellAnchor>
  <xdr:twoCellAnchor>
    <xdr:from>
      <xdr:col>7</xdr:col>
      <xdr:colOff>1742440</xdr:colOff>
      <xdr:row>0</xdr:row>
      <xdr:rowOff>486410</xdr:rowOff>
    </xdr:from>
    <xdr:to>
      <xdr:col>8</xdr:col>
      <xdr:colOff>1433830</xdr:colOff>
      <xdr:row>1</xdr:row>
      <xdr:rowOff>1529715</xdr:rowOff>
    </xdr:to>
    <xdr:sp>
      <xdr:nvSpPr>
        <xdr:cNvPr id="20" name="矩形标注 19"/>
        <xdr:cNvSpPr/>
      </xdr:nvSpPr>
      <xdr:spPr>
        <a:xfrm>
          <a:off x="11734800" y="486410"/>
          <a:ext cx="1595120" cy="1678305"/>
        </a:xfrm>
        <a:prstGeom prst="wedgeRectCallout">
          <a:avLst>
            <a:gd name="adj1" fmla="val -7159"/>
            <a:gd name="adj2" fmla="val 89468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物料对应的类别，如螺丝属于五金待，在类别金额页有列出，不清的可询问清溪报关同事</a:t>
          </a:r>
          <a:endParaRPr lang="zh-CN" altLang="en-US" sz="1400"/>
        </a:p>
      </xdr:txBody>
    </xdr:sp>
    <xdr:clientData/>
  </xdr:twoCellAnchor>
  <xdr:twoCellAnchor>
    <xdr:from>
      <xdr:col>9</xdr:col>
      <xdr:colOff>78105</xdr:colOff>
      <xdr:row>1</xdr:row>
      <xdr:rowOff>635000</xdr:rowOff>
    </xdr:from>
    <xdr:to>
      <xdr:col>9</xdr:col>
      <xdr:colOff>985520</xdr:colOff>
      <xdr:row>1</xdr:row>
      <xdr:rowOff>1517650</xdr:rowOff>
    </xdr:to>
    <xdr:sp>
      <xdr:nvSpPr>
        <xdr:cNvPr id="21" name="矩形标注 20"/>
        <xdr:cNvSpPr/>
      </xdr:nvSpPr>
      <xdr:spPr>
        <a:xfrm>
          <a:off x="13442950" y="1270000"/>
          <a:ext cx="907415" cy="882650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报关时使用的物料单位</a:t>
          </a:r>
          <a:endParaRPr lang="zh-CN" altLang="en-US" sz="1400"/>
        </a:p>
      </xdr:txBody>
    </xdr:sp>
    <xdr:clientData/>
  </xdr:twoCellAnchor>
  <xdr:twoCellAnchor>
    <xdr:from>
      <xdr:col>10</xdr:col>
      <xdr:colOff>12700</xdr:colOff>
      <xdr:row>0</xdr:row>
      <xdr:rowOff>131445</xdr:rowOff>
    </xdr:from>
    <xdr:to>
      <xdr:col>10</xdr:col>
      <xdr:colOff>1191260</xdr:colOff>
      <xdr:row>1</xdr:row>
      <xdr:rowOff>1476375</xdr:rowOff>
    </xdr:to>
    <xdr:sp>
      <xdr:nvSpPr>
        <xdr:cNvPr id="22" name="矩形标注 21"/>
        <xdr:cNvSpPr/>
      </xdr:nvSpPr>
      <xdr:spPr>
        <a:xfrm>
          <a:off x="14465300" y="131445"/>
          <a:ext cx="1178560" cy="1979930"/>
        </a:xfrm>
        <a:prstGeom prst="wedgeRectCallout">
          <a:avLst>
            <a:gd name="adj1" fmla="val 2209"/>
            <a:gd name="adj2" fmla="val 84149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报关时使用的物料重量。小数点后面保留</a:t>
          </a:r>
          <a:r>
            <a:rPr lang="en-US" altLang="zh-CN" sz="1400"/>
            <a:t>2</a:t>
          </a:r>
          <a:r>
            <a:rPr lang="zh-CN" altLang="en-US" sz="1400"/>
            <a:t>位小数，如是以吨（</a:t>
          </a:r>
          <a:r>
            <a:rPr lang="en-US" altLang="zh-CN" sz="1400"/>
            <a:t>TNE)</a:t>
          </a:r>
          <a:r>
            <a:rPr lang="zh-CN" altLang="en-US" sz="1400"/>
            <a:t>计数，</a:t>
          </a:r>
          <a:r>
            <a:rPr lang="en-US" altLang="zh-CN" sz="1400"/>
            <a:t> </a:t>
          </a:r>
          <a:r>
            <a:rPr lang="zh-CN" altLang="en-US" sz="1400"/>
            <a:t>可保留</a:t>
          </a:r>
          <a:r>
            <a:rPr lang="en-US" altLang="zh-CN" sz="1400"/>
            <a:t>4</a:t>
          </a:r>
          <a:r>
            <a:rPr lang="zh-CN" altLang="en-US" sz="1400"/>
            <a:t>位小数。</a:t>
          </a:r>
          <a:endParaRPr lang="en-US" altLang="zh-CN" sz="1400"/>
        </a:p>
      </xdr:txBody>
    </xdr:sp>
    <xdr:clientData/>
  </xdr:twoCellAnchor>
  <xdr:twoCellAnchor>
    <xdr:from>
      <xdr:col>10</xdr:col>
      <xdr:colOff>1281430</xdr:colOff>
      <xdr:row>0</xdr:row>
      <xdr:rowOff>145415</xdr:rowOff>
    </xdr:from>
    <xdr:to>
      <xdr:col>12</xdr:col>
      <xdr:colOff>19050</xdr:colOff>
      <xdr:row>1</xdr:row>
      <xdr:rowOff>1531620</xdr:rowOff>
    </xdr:to>
    <xdr:sp>
      <xdr:nvSpPr>
        <xdr:cNvPr id="23" name="矩形标注 22"/>
        <xdr:cNvSpPr/>
      </xdr:nvSpPr>
      <xdr:spPr>
        <a:xfrm>
          <a:off x="15734030" y="145415"/>
          <a:ext cx="1562100" cy="2021205"/>
        </a:xfrm>
        <a:prstGeom prst="wedgeRectCallout">
          <a:avLst>
            <a:gd name="adj1" fmla="val -5251"/>
            <a:gd name="adj2" fmla="val 75686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采购单数量，如分批走货，则填本次实际数量，分批扣数，总数量不超过对应购销合同里的数量。备品数量无需填入</a:t>
          </a:r>
          <a:endParaRPr lang="zh-CN" altLang="en-US" sz="1400"/>
        </a:p>
      </xdr:txBody>
    </xdr:sp>
    <xdr:clientData/>
  </xdr:twoCellAnchor>
  <xdr:twoCellAnchor>
    <xdr:from>
      <xdr:col>12</xdr:col>
      <xdr:colOff>132080</xdr:colOff>
      <xdr:row>1</xdr:row>
      <xdr:rowOff>240030</xdr:rowOff>
    </xdr:from>
    <xdr:to>
      <xdr:col>12</xdr:col>
      <xdr:colOff>894080</xdr:colOff>
      <xdr:row>1</xdr:row>
      <xdr:rowOff>1571625</xdr:rowOff>
    </xdr:to>
    <xdr:sp>
      <xdr:nvSpPr>
        <xdr:cNvPr id="24" name="矩形标注 23"/>
        <xdr:cNvSpPr/>
      </xdr:nvSpPr>
      <xdr:spPr>
        <a:xfrm>
          <a:off x="17409160" y="875030"/>
          <a:ext cx="762000" cy="133159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送货数量对应的计数单位</a:t>
          </a:r>
          <a:endParaRPr lang="zh-CN" altLang="en-US" sz="1400"/>
        </a:p>
      </xdr:txBody>
    </xdr:sp>
    <xdr:clientData/>
  </xdr:twoCellAnchor>
  <xdr:twoCellAnchor>
    <xdr:from>
      <xdr:col>13</xdr:col>
      <xdr:colOff>189865</xdr:colOff>
      <xdr:row>1</xdr:row>
      <xdr:rowOff>812165</xdr:rowOff>
    </xdr:from>
    <xdr:to>
      <xdr:col>13</xdr:col>
      <xdr:colOff>1375410</xdr:colOff>
      <xdr:row>1</xdr:row>
      <xdr:rowOff>1600200</xdr:rowOff>
    </xdr:to>
    <xdr:sp>
      <xdr:nvSpPr>
        <xdr:cNvPr id="27" name="矩形标注 26"/>
        <xdr:cNvSpPr/>
      </xdr:nvSpPr>
      <xdr:spPr>
        <a:xfrm>
          <a:off x="18595340" y="144716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14</xdr:col>
      <xdr:colOff>106045</xdr:colOff>
      <xdr:row>1</xdr:row>
      <xdr:rowOff>880110</xdr:rowOff>
    </xdr:from>
    <xdr:to>
      <xdr:col>14</xdr:col>
      <xdr:colOff>1291590</xdr:colOff>
      <xdr:row>1</xdr:row>
      <xdr:rowOff>1668145</xdr:rowOff>
    </xdr:to>
    <xdr:sp>
      <xdr:nvSpPr>
        <xdr:cNvPr id="32" name="矩形标注 31"/>
        <xdr:cNvSpPr/>
      </xdr:nvSpPr>
      <xdr:spPr>
        <a:xfrm>
          <a:off x="20101560" y="151511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15</xdr:col>
      <xdr:colOff>63500</xdr:colOff>
      <xdr:row>0</xdr:row>
      <xdr:rowOff>240030</xdr:rowOff>
    </xdr:from>
    <xdr:to>
      <xdr:col>15</xdr:col>
      <xdr:colOff>1658620</xdr:colOff>
      <xdr:row>1</xdr:row>
      <xdr:rowOff>1447165</xdr:rowOff>
    </xdr:to>
    <xdr:sp>
      <xdr:nvSpPr>
        <xdr:cNvPr id="33" name="矩形标注 32"/>
        <xdr:cNvSpPr/>
      </xdr:nvSpPr>
      <xdr:spPr>
        <a:xfrm>
          <a:off x="21649055" y="240030"/>
          <a:ext cx="1595120" cy="1842135"/>
        </a:xfrm>
        <a:prstGeom prst="wedgeRectCallout">
          <a:avLst>
            <a:gd name="adj1" fmla="val -1234"/>
            <a:gd name="adj2" fmla="val 8231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订单物料含包材总重量，如分批装载，按实际装载数量填写对应的总重量。如是混装的，需每款单独的总毛重。</a:t>
          </a:r>
          <a:endParaRPr lang="zh-CN" altLang="en-US" sz="1400"/>
        </a:p>
      </xdr:txBody>
    </xdr:sp>
    <xdr:clientData/>
  </xdr:twoCellAnchor>
  <xdr:twoCellAnchor>
    <xdr:from>
      <xdr:col>16</xdr:col>
      <xdr:colOff>118745</xdr:colOff>
      <xdr:row>0</xdr:row>
      <xdr:rowOff>241935</xdr:rowOff>
    </xdr:from>
    <xdr:to>
      <xdr:col>16</xdr:col>
      <xdr:colOff>1551305</xdr:colOff>
      <xdr:row>1</xdr:row>
      <xdr:rowOff>1515745</xdr:rowOff>
    </xdr:to>
    <xdr:sp>
      <xdr:nvSpPr>
        <xdr:cNvPr id="34" name="矩形标注 33"/>
        <xdr:cNvSpPr/>
      </xdr:nvSpPr>
      <xdr:spPr>
        <a:xfrm>
          <a:off x="23608665" y="241935"/>
          <a:ext cx="1432560" cy="1908810"/>
        </a:xfrm>
        <a:prstGeom prst="wedgeRectCallout">
          <a:avLst>
            <a:gd name="adj1" fmla="val -8998"/>
            <a:gd name="adj2" fmla="val 88394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订单物料不含包材总重量，如分批装载，按实际装载数量填写对应的总重量。如是混装的，需每款单独的总净重</a:t>
          </a:r>
          <a:endParaRPr lang="zh-CN" altLang="en-US" sz="1400"/>
        </a:p>
      </xdr:txBody>
    </xdr:sp>
    <xdr:clientData/>
  </xdr:twoCellAnchor>
  <xdr:twoCellAnchor>
    <xdr:from>
      <xdr:col>17</xdr:col>
      <xdr:colOff>86995</xdr:colOff>
      <xdr:row>1</xdr:row>
      <xdr:rowOff>635635</xdr:rowOff>
    </xdr:from>
    <xdr:to>
      <xdr:col>18</xdr:col>
      <xdr:colOff>132715</xdr:colOff>
      <xdr:row>1</xdr:row>
      <xdr:rowOff>1489075</xdr:rowOff>
    </xdr:to>
    <xdr:sp>
      <xdr:nvSpPr>
        <xdr:cNvPr id="35" name="矩形标注 34"/>
        <xdr:cNvSpPr/>
      </xdr:nvSpPr>
      <xdr:spPr>
        <a:xfrm>
          <a:off x="25166955" y="1270635"/>
          <a:ext cx="1635760" cy="853440"/>
        </a:xfrm>
        <a:prstGeom prst="wedgeRectCallout">
          <a:avLst>
            <a:gd name="adj1" fmla="val -11835"/>
            <a:gd name="adj2" fmla="val 139579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每个包装箱的体积。公式：长</a:t>
          </a:r>
          <a:r>
            <a:rPr lang="en-US" altLang="zh-CN" sz="1400"/>
            <a:t>*</a:t>
          </a:r>
          <a:r>
            <a:rPr lang="zh-CN" altLang="en-US" sz="1400"/>
            <a:t>宽</a:t>
          </a:r>
          <a:r>
            <a:rPr lang="en-US" altLang="zh-CN" sz="1400"/>
            <a:t>*</a:t>
          </a:r>
          <a:r>
            <a:rPr lang="zh-CN" altLang="en-US" sz="1400"/>
            <a:t>高</a:t>
          </a:r>
          <a:r>
            <a:rPr lang="en-US" altLang="zh-CN" sz="1400"/>
            <a:t>/28316.75*0.0283</a:t>
          </a:r>
          <a:endParaRPr lang="zh-CN" altLang="en-US" sz="1400"/>
        </a:p>
      </xdr:txBody>
    </xdr:sp>
    <xdr:clientData/>
  </xdr:twoCellAnchor>
  <xdr:twoCellAnchor>
    <xdr:from>
      <xdr:col>18</xdr:col>
      <xdr:colOff>323850</xdr:colOff>
      <xdr:row>1</xdr:row>
      <xdr:rowOff>104140</xdr:rowOff>
    </xdr:from>
    <xdr:to>
      <xdr:col>18</xdr:col>
      <xdr:colOff>1483995</xdr:colOff>
      <xdr:row>1</xdr:row>
      <xdr:rowOff>1271270</xdr:rowOff>
    </xdr:to>
    <xdr:sp>
      <xdr:nvSpPr>
        <xdr:cNvPr id="36" name="矩形标注 35"/>
        <xdr:cNvSpPr/>
      </xdr:nvSpPr>
      <xdr:spPr>
        <a:xfrm>
          <a:off x="26993850" y="739140"/>
          <a:ext cx="1160145" cy="1167130"/>
        </a:xfrm>
        <a:prstGeom prst="wedgeRectCallout">
          <a:avLst>
            <a:gd name="adj1" fmla="val -8347"/>
            <a:gd name="adj2" fmla="val 111588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总体积，公式：箱数</a:t>
          </a:r>
          <a:r>
            <a:rPr lang="en-US" altLang="zh-CN" sz="1400"/>
            <a:t>*</a:t>
          </a:r>
          <a:r>
            <a:rPr lang="zh-CN" altLang="en-US" sz="1400"/>
            <a:t>每个包装箱的体积</a:t>
          </a:r>
          <a:endParaRPr lang="zh-CN" altLang="en-US" sz="1400"/>
        </a:p>
      </xdr:txBody>
    </xdr:sp>
    <xdr:clientData/>
  </xdr:twoCellAnchor>
  <xdr:twoCellAnchor>
    <xdr:from>
      <xdr:col>19</xdr:col>
      <xdr:colOff>800735</xdr:colOff>
      <xdr:row>1</xdr:row>
      <xdr:rowOff>1016000</xdr:rowOff>
    </xdr:from>
    <xdr:to>
      <xdr:col>19</xdr:col>
      <xdr:colOff>1708150</xdr:colOff>
      <xdr:row>1</xdr:row>
      <xdr:rowOff>1503680</xdr:rowOff>
    </xdr:to>
    <xdr:sp>
      <xdr:nvSpPr>
        <xdr:cNvPr id="37" name="矩形标注 36"/>
        <xdr:cNvSpPr/>
      </xdr:nvSpPr>
      <xdr:spPr>
        <a:xfrm>
          <a:off x="29060775" y="1651000"/>
          <a:ext cx="907415" cy="487680"/>
        </a:xfrm>
        <a:prstGeom prst="wedgeRectCallout">
          <a:avLst>
            <a:gd name="adj1" fmla="val -10951"/>
            <a:gd name="adj2" fmla="val 139062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物料图片</a:t>
          </a:r>
          <a:endParaRPr lang="zh-CN" altLang="en-US" sz="1400"/>
        </a:p>
      </xdr:txBody>
    </xdr:sp>
    <xdr:clientData/>
  </xdr:twoCellAnchor>
  <xdr:twoCellAnchor>
    <xdr:from>
      <xdr:col>20</xdr:col>
      <xdr:colOff>151130</xdr:colOff>
      <xdr:row>1</xdr:row>
      <xdr:rowOff>445135</xdr:rowOff>
    </xdr:from>
    <xdr:to>
      <xdr:col>20</xdr:col>
      <xdr:colOff>1397635</xdr:colOff>
      <xdr:row>1</xdr:row>
      <xdr:rowOff>1504315</xdr:rowOff>
    </xdr:to>
    <xdr:sp>
      <xdr:nvSpPr>
        <xdr:cNvPr id="44" name="矩形标注 43"/>
        <xdr:cNvSpPr/>
      </xdr:nvSpPr>
      <xdr:spPr>
        <a:xfrm>
          <a:off x="30888305" y="1080135"/>
          <a:ext cx="1246505" cy="1059180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物料的用途，是用产品的配件还是辅料</a:t>
          </a:r>
          <a:endParaRPr lang="en-US" altLang="zh-CN" sz="1400"/>
        </a:p>
      </xdr:txBody>
    </xdr:sp>
    <xdr:clientData/>
  </xdr:twoCellAnchor>
  <xdr:twoCellAnchor>
    <xdr:from>
      <xdr:col>21</xdr:col>
      <xdr:colOff>324485</xdr:colOff>
      <xdr:row>1</xdr:row>
      <xdr:rowOff>607060</xdr:rowOff>
    </xdr:from>
    <xdr:to>
      <xdr:col>21</xdr:col>
      <xdr:colOff>1510030</xdr:colOff>
      <xdr:row>1</xdr:row>
      <xdr:rowOff>1395095</xdr:rowOff>
    </xdr:to>
    <xdr:sp>
      <xdr:nvSpPr>
        <xdr:cNvPr id="45" name="矩形标注 44"/>
        <xdr:cNvSpPr/>
      </xdr:nvSpPr>
      <xdr:spPr>
        <a:xfrm>
          <a:off x="32651700" y="124206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22</xdr:col>
      <xdr:colOff>351790</xdr:colOff>
      <xdr:row>1</xdr:row>
      <xdr:rowOff>580390</xdr:rowOff>
    </xdr:from>
    <xdr:to>
      <xdr:col>22</xdr:col>
      <xdr:colOff>1537335</xdr:colOff>
      <xdr:row>1</xdr:row>
      <xdr:rowOff>1368425</xdr:rowOff>
    </xdr:to>
    <xdr:sp>
      <xdr:nvSpPr>
        <xdr:cNvPr id="46" name="矩形标注 45"/>
        <xdr:cNvSpPr/>
      </xdr:nvSpPr>
      <xdr:spPr>
        <a:xfrm>
          <a:off x="34269045" y="121539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23</xdr:col>
      <xdr:colOff>147320</xdr:colOff>
      <xdr:row>1</xdr:row>
      <xdr:rowOff>635000</xdr:rowOff>
    </xdr:from>
    <xdr:to>
      <xdr:col>23</xdr:col>
      <xdr:colOff>1332865</xdr:colOff>
      <xdr:row>1</xdr:row>
      <xdr:rowOff>1423035</xdr:rowOff>
    </xdr:to>
    <xdr:sp>
      <xdr:nvSpPr>
        <xdr:cNvPr id="47" name="矩形标注 46"/>
        <xdr:cNvSpPr/>
      </xdr:nvSpPr>
      <xdr:spPr>
        <a:xfrm>
          <a:off x="35654615" y="127000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24</xdr:col>
      <xdr:colOff>269240</xdr:colOff>
      <xdr:row>1</xdr:row>
      <xdr:rowOff>621030</xdr:rowOff>
    </xdr:from>
    <xdr:to>
      <xdr:col>24</xdr:col>
      <xdr:colOff>1454785</xdr:colOff>
      <xdr:row>1</xdr:row>
      <xdr:rowOff>1409065</xdr:rowOff>
    </xdr:to>
    <xdr:sp>
      <xdr:nvSpPr>
        <xdr:cNvPr id="48" name="矩形标注 47"/>
        <xdr:cNvSpPr/>
      </xdr:nvSpPr>
      <xdr:spPr>
        <a:xfrm>
          <a:off x="37366575" y="125603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25</xdr:col>
      <xdr:colOff>228600</xdr:colOff>
      <xdr:row>1</xdr:row>
      <xdr:rowOff>675640</xdr:rowOff>
    </xdr:from>
    <xdr:to>
      <xdr:col>25</xdr:col>
      <xdr:colOff>1414145</xdr:colOff>
      <xdr:row>1</xdr:row>
      <xdr:rowOff>1463675</xdr:rowOff>
    </xdr:to>
    <xdr:sp>
      <xdr:nvSpPr>
        <xdr:cNvPr id="49" name="矩形标注 48"/>
        <xdr:cNvSpPr/>
      </xdr:nvSpPr>
      <xdr:spPr>
        <a:xfrm>
          <a:off x="38915975" y="131064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26</xdr:col>
      <xdr:colOff>160655</xdr:colOff>
      <xdr:row>1</xdr:row>
      <xdr:rowOff>593725</xdr:rowOff>
    </xdr:from>
    <xdr:to>
      <xdr:col>26</xdr:col>
      <xdr:colOff>1346200</xdr:colOff>
      <xdr:row>1</xdr:row>
      <xdr:rowOff>1381760</xdr:rowOff>
    </xdr:to>
    <xdr:sp>
      <xdr:nvSpPr>
        <xdr:cNvPr id="50" name="矩形标注 49"/>
        <xdr:cNvSpPr/>
      </xdr:nvSpPr>
      <xdr:spPr>
        <a:xfrm>
          <a:off x="40438070" y="122872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27</xdr:col>
      <xdr:colOff>188595</xdr:colOff>
      <xdr:row>1</xdr:row>
      <xdr:rowOff>621030</xdr:rowOff>
    </xdr:from>
    <xdr:to>
      <xdr:col>27</xdr:col>
      <xdr:colOff>1374140</xdr:colOff>
      <xdr:row>1</xdr:row>
      <xdr:rowOff>1409065</xdr:rowOff>
    </xdr:to>
    <xdr:sp>
      <xdr:nvSpPr>
        <xdr:cNvPr id="51" name="矩形标注 50"/>
        <xdr:cNvSpPr/>
      </xdr:nvSpPr>
      <xdr:spPr>
        <a:xfrm>
          <a:off x="42056050" y="125603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28</xdr:col>
      <xdr:colOff>225425</xdr:colOff>
      <xdr:row>1</xdr:row>
      <xdr:rowOff>607695</xdr:rowOff>
    </xdr:from>
    <xdr:to>
      <xdr:col>28</xdr:col>
      <xdr:colOff>1410970</xdr:colOff>
      <xdr:row>1</xdr:row>
      <xdr:rowOff>1395730</xdr:rowOff>
    </xdr:to>
    <xdr:sp>
      <xdr:nvSpPr>
        <xdr:cNvPr id="53" name="矩形标注 52"/>
        <xdr:cNvSpPr/>
      </xdr:nvSpPr>
      <xdr:spPr>
        <a:xfrm>
          <a:off x="45203110" y="124269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29</xdr:col>
      <xdr:colOff>324485</xdr:colOff>
      <xdr:row>1</xdr:row>
      <xdr:rowOff>662305</xdr:rowOff>
    </xdr:from>
    <xdr:to>
      <xdr:col>29</xdr:col>
      <xdr:colOff>1510030</xdr:colOff>
      <xdr:row>1</xdr:row>
      <xdr:rowOff>1450340</xdr:rowOff>
    </xdr:to>
    <xdr:sp>
      <xdr:nvSpPr>
        <xdr:cNvPr id="54" name="矩形标注 53"/>
        <xdr:cNvSpPr/>
      </xdr:nvSpPr>
      <xdr:spPr>
        <a:xfrm>
          <a:off x="46892210" y="129730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30</xdr:col>
      <xdr:colOff>296545</xdr:colOff>
      <xdr:row>1</xdr:row>
      <xdr:rowOff>702945</xdr:rowOff>
    </xdr:from>
    <xdr:to>
      <xdr:col>30</xdr:col>
      <xdr:colOff>1482090</xdr:colOff>
      <xdr:row>1</xdr:row>
      <xdr:rowOff>1490980</xdr:rowOff>
    </xdr:to>
    <xdr:sp>
      <xdr:nvSpPr>
        <xdr:cNvPr id="55" name="矩形标注 54"/>
        <xdr:cNvSpPr/>
      </xdr:nvSpPr>
      <xdr:spPr>
        <a:xfrm>
          <a:off x="48454310" y="133794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31</xdr:col>
      <xdr:colOff>323850</xdr:colOff>
      <xdr:row>1</xdr:row>
      <xdr:rowOff>702945</xdr:rowOff>
    </xdr:from>
    <xdr:to>
      <xdr:col>31</xdr:col>
      <xdr:colOff>1509395</xdr:colOff>
      <xdr:row>1</xdr:row>
      <xdr:rowOff>1490980</xdr:rowOff>
    </xdr:to>
    <xdr:sp>
      <xdr:nvSpPr>
        <xdr:cNvPr id="56" name="矩形标注 55"/>
        <xdr:cNvSpPr/>
      </xdr:nvSpPr>
      <xdr:spPr>
        <a:xfrm>
          <a:off x="50071655" y="133794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32</xdr:col>
      <xdr:colOff>269240</xdr:colOff>
      <xdr:row>1</xdr:row>
      <xdr:rowOff>675640</xdr:rowOff>
    </xdr:from>
    <xdr:to>
      <xdr:col>32</xdr:col>
      <xdr:colOff>1454785</xdr:colOff>
      <xdr:row>1</xdr:row>
      <xdr:rowOff>1463675</xdr:rowOff>
    </xdr:to>
    <xdr:sp>
      <xdr:nvSpPr>
        <xdr:cNvPr id="67" name="矩形标注 66"/>
        <xdr:cNvSpPr/>
      </xdr:nvSpPr>
      <xdr:spPr>
        <a:xfrm>
          <a:off x="51607085" y="131064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33</xdr:col>
      <xdr:colOff>337185</xdr:colOff>
      <xdr:row>1</xdr:row>
      <xdr:rowOff>661670</xdr:rowOff>
    </xdr:from>
    <xdr:to>
      <xdr:col>33</xdr:col>
      <xdr:colOff>1522730</xdr:colOff>
      <xdr:row>1</xdr:row>
      <xdr:rowOff>1449705</xdr:rowOff>
    </xdr:to>
    <xdr:sp>
      <xdr:nvSpPr>
        <xdr:cNvPr id="68" name="矩形标注 67"/>
        <xdr:cNvSpPr/>
      </xdr:nvSpPr>
      <xdr:spPr>
        <a:xfrm>
          <a:off x="53265070" y="129667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34</xdr:col>
      <xdr:colOff>381000</xdr:colOff>
      <xdr:row>1</xdr:row>
      <xdr:rowOff>648335</xdr:rowOff>
    </xdr:from>
    <xdr:to>
      <xdr:col>34</xdr:col>
      <xdr:colOff>1566545</xdr:colOff>
      <xdr:row>1</xdr:row>
      <xdr:rowOff>1436370</xdr:rowOff>
    </xdr:to>
    <xdr:sp>
      <xdr:nvSpPr>
        <xdr:cNvPr id="69" name="矩形标注 68"/>
        <xdr:cNvSpPr/>
      </xdr:nvSpPr>
      <xdr:spPr>
        <a:xfrm>
          <a:off x="55050690" y="128333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35</xdr:col>
      <xdr:colOff>220345</xdr:colOff>
      <xdr:row>1</xdr:row>
      <xdr:rowOff>580390</xdr:rowOff>
    </xdr:from>
    <xdr:to>
      <xdr:col>35</xdr:col>
      <xdr:colOff>1405890</xdr:colOff>
      <xdr:row>1</xdr:row>
      <xdr:rowOff>1368425</xdr:rowOff>
    </xdr:to>
    <xdr:sp>
      <xdr:nvSpPr>
        <xdr:cNvPr id="70" name="矩形标注 69"/>
        <xdr:cNvSpPr/>
      </xdr:nvSpPr>
      <xdr:spPr>
        <a:xfrm>
          <a:off x="56716295" y="1215390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36</xdr:col>
      <xdr:colOff>690880</xdr:colOff>
      <xdr:row>1</xdr:row>
      <xdr:rowOff>607695</xdr:rowOff>
    </xdr:from>
    <xdr:to>
      <xdr:col>36</xdr:col>
      <xdr:colOff>1876425</xdr:colOff>
      <xdr:row>1</xdr:row>
      <xdr:rowOff>1395730</xdr:rowOff>
    </xdr:to>
    <xdr:sp>
      <xdr:nvSpPr>
        <xdr:cNvPr id="71" name="矩形标注 70"/>
        <xdr:cNvSpPr/>
      </xdr:nvSpPr>
      <xdr:spPr>
        <a:xfrm>
          <a:off x="58694320" y="1242695"/>
          <a:ext cx="1185545" cy="788035"/>
        </a:xfrm>
        <a:prstGeom prst="wedgeRectCallout">
          <a:avLst>
            <a:gd name="adj1" fmla="val -18447"/>
            <a:gd name="adj2" fmla="val 107467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不用填，报关同事填写</a:t>
          </a:r>
          <a:endParaRPr lang="zh-CN" altLang="en-US" sz="1400"/>
        </a:p>
      </xdr:txBody>
    </xdr:sp>
    <xdr:clientData/>
  </xdr:twoCellAnchor>
  <xdr:twoCellAnchor>
    <xdr:from>
      <xdr:col>37</xdr:col>
      <xdr:colOff>269875</xdr:colOff>
      <xdr:row>1</xdr:row>
      <xdr:rowOff>607695</xdr:rowOff>
    </xdr:from>
    <xdr:to>
      <xdr:col>37</xdr:col>
      <xdr:colOff>1435735</xdr:colOff>
      <xdr:row>1</xdr:row>
      <xdr:rowOff>1531620</xdr:rowOff>
    </xdr:to>
    <xdr:sp>
      <xdr:nvSpPr>
        <xdr:cNvPr id="72" name="矩形标注 71"/>
        <xdr:cNvSpPr/>
      </xdr:nvSpPr>
      <xdr:spPr>
        <a:xfrm>
          <a:off x="60911105" y="1242695"/>
          <a:ext cx="1165860" cy="92392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物料购销合同的卖方</a:t>
          </a:r>
          <a:endParaRPr lang="zh-CN" altLang="en-US" sz="1400"/>
        </a:p>
      </xdr:txBody>
    </xdr:sp>
    <xdr:clientData/>
  </xdr:twoCellAnchor>
  <xdr:twoCellAnchor>
    <xdr:from>
      <xdr:col>38</xdr:col>
      <xdr:colOff>75565</xdr:colOff>
      <xdr:row>1</xdr:row>
      <xdr:rowOff>553085</xdr:rowOff>
    </xdr:from>
    <xdr:to>
      <xdr:col>38</xdr:col>
      <xdr:colOff>1241425</xdr:colOff>
      <xdr:row>1</xdr:row>
      <xdr:rowOff>1477010</xdr:rowOff>
    </xdr:to>
    <xdr:sp>
      <xdr:nvSpPr>
        <xdr:cNvPr id="73" name="矩形标注 72"/>
        <xdr:cNvSpPr/>
      </xdr:nvSpPr>
      <xdr:spPr>
        <a:xfrm>
          <a:off x="62765305" y="1188085"/>
          <a:ext cx="1165860" cy="92392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物料购销合同的日期</a:t>
          </a:r>
          <a:endParaRPr lang="zh-CN" altLang="en-US" sz="1400"/>
        </a:p>
      </xdr:txBody>
    </xdr:sp>
    <xdr:clientData/>
  </xdr:twoCellAnchor>
  <xdr:twoCellAnchor>
    <xdr:from>
      <xdr:col>39</xdr:col>
      <xdr:colOff>353695</xdr:colOff>
      <xdr:row>1</xdr:row>
      <xdr:rowOff>593725</xdr:rowOff>
    </xdr:from>
    <xdr:to>
      <xdr:col>39</xdr:col>
      <xdr:colOff>1519555</xdr:colOff>
      <xdr:row>1</xdr:row>
      <xdr:rowOff>1517650</xdr:rowOff>
    </xdr:to>
    <xdr:sp>
      <xdr:nvSpPr>
        <xdr:cNvPr id="74" name="矩形标注 73"/>
        <xdr:cNvSpPr/>
      </xdr:nvSpPr>
      <xdr:spPr>
        <a:xfrm>
          <a:off x="64336930" y="1228725"/>
          <a:ext cx="1165860" cy="92392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物料购销合同的合同编号</a:t>
          </a:r>
          <a:endParaRPr lang="zh-CN" altLang="en-US" sz="1400"/>
        </a:p>
      </xdr:txBody>
    </xdr:sp>
    <xdr:clientData/>
  </xdr:twoCellAnchor>
  <xdr:twoCellAnchor>
    <xdr:from>
      <xdr:col>39</xdr:col>
      <xdr:colOff>1901190</xdr:colOff>
      <xdr:row>1</xdr:row>
      <xdr:rowOff>241300</xdr:rowOff>
    </xdr:from>
    <xdr:to>
      <xdr:col>40</xdr:col>
      <xdr:colOff>1379855</xdr:colOff>
      <xdr:row>1</xdr:row>
      <xdr:rowOff>1572260</xdr:rowOff>
    </xdr:to>
    <xdr:sp>
      <xdr:nvSpPr>
        <xdr:cNvPr id="75" name="矩形标注 74"/>
        <xdr:cNvSpPr/>
      </xdr:nvSpPr>
      <xdr:spPr>
        <a:xfrm>
          <a:off x="65884425" y="876300"/>
          <a:ext cx="1434465" cy="1330960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物料购销合同的物料单价，注意币种，小数点后面可保留</a:t>
          </a:r>
          <a:r>
            <a:rPr lang="en-US" altLang="zh-CN" sz="1400"/>
            <a:t>4</a:t>
          </a:r>
          <a:r>
            <a:rPr lang="zh-CN" altLang="en-US" sz="1400"/>
            <a:t>位小数</a:t>
          </a:r>
          <a:endParaRPr lang="en-US" altLang="zh-CN" sz="1400"/>
        </a:p>
      </xdr:txBody>
    </xdr:sp>
    <xdr:clientData/>
  </xdr:twoCellAnchor>
  <xdr:twoCellAnchor>
    <xdr:from>
      <xdr:col>40</xdr:col>
      <xdr:colOff>1459865</xdr:colOff>
      <xdr:row>1</xdr:row>
      <xdr:rowOff>146050</xdr:rowOff>
    </xdr:from>
    <xdr:to>
      <xdr:col>42</xdr:col>
      <xdr:colOff>22225</xdr:colOff>
      <xdr:row>1</xdr:row>
      <xdr:rowOff>1544955</xdr:rowOff>
    </xdr:to>
    <xdr:sp>
      <xdr:nvSpPr>
        <xdr:cNvPr id="76" name="矩形标注 75"/>
        <xdr:cNvSpPr/>
      </xdr:nvSpPr>
      <xdr:spPr>
        <a:xfrm>
          <a:off x="67398900" y="781050"/>
          <a:ext cx="1277620" cy="1398905"/>
        </a:xfrm>
        <a:prstGeom prst="wedgeRectCallout">
          <a:avLst>
            <a:gd name="adj1" fmla="val -12949"/>
            <a:gd name="adj2" fmla="val 91261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物料购销合同的物料金额，注意币种。小数点后面保留</a:t>
          </a:r>
          <a:r>
            <a:rPr lang="en-US" altLang="zh-CN" sz="1400"/>
            <a:t>2</a:t>
          </a:r>
          <a:r>
            <a:rPr lang="zh-CN" altLang="en-US" sz="1400"/>
            <a:t>位小数</a:t>
          </a:r>
          <a:endParaRPr lang="en-US" altLang="zh-CN" sz="1400"/>
        </a:p>
      </xdr:txBody>
    </xdr:sp>
    <xdr:clientData/>
  </xdr:twoCellAnchor>
  <xdr:twoCellAnchor>
    <xdr:from>
      <xdr:col>42</xdr:col>
      <xdr:colOff>160655</xdr:colOff>
      <xdr:row>1</xdr:row>
      <xdr:rowOff>526415</xdr:rowOff>
    </xdr:from>
    <xdr:to>
      <xdr:col>43</xdr:col>
      <xdr:colOff>107950</xdr:colOff>
      <xdr:row>1</xdr:row>
      <xdr:rowOff>1612900</xdr:rowOff>
    </xdr:to>
    <xdr:sp>
      <xdr:nvSpPr>
        <xdr:cNvPr id="77" name="矩形标注 76"/>
        <xdr:cNvSpPr/>
      </xdr:nvSpPr>
      <xdr:spPr>
        <a:xfrm>
          <a:off x="68814950" y="1161415"/>
          <a:ext cx="1183005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此出货清单中，同一供应商的所有物料总金额</a:t>
          </a:r>
          <a:endParaRPr lang="en-US" altLang="zh-CN" sz="1400"/>
        </a:p>
      </xdr:txBody>
    </xdr:sp>
    <xdr:clientData/>
  </xdr:twoCellAnchor>
  <xdr:twoCellAnchor>
    <xdr:from>
      <xdr:col>43</xdr:col>
      <xdr:colOff>188595</xdr:colOff>
      <xdr:row>0</xdr:row>
      <xdr:rowOff>131445</xdr:rowOff>
    </xdr:from>
    <xdr:to>
      <xdr:col>44</xdr:col>
      <xdr:colOff>594360</xdr:colOff>
      <xdr:row>1</xdr:row>
      <xdr:rowOff>1612265</xdr:rowOff>
    </xdr:to>
    <xdr:sp>
      <xdr:nvSpPr>
        <xdr:cNvPr id="78" name="矩形标注 77"/>
        <xdr:cNvSpPr/>
      </xdr:nvSpPr>
      <xdr:spPr>
        <a:xfrm>
          <a:off x="70078600" y="131445"/>
          <a:ext cx="2437765" cy="2115820"/>
        </a:xfrm>
        <a:prstGeom prst="wedgeRectCallout">
          <a:avLst>
            <a:gd name="adj1" fmla="val -15083"/>
            <a:gd name="adj2" fmla="val 72272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物料的报关出口公司。如是美金采购的物料，供应商是有出口权，则填供应商的名称；如供应商无出口权，则申请由</a:t>
          </a:r>
          <a:r>
            <a:rPr lang="en-US" altLang="zh-CN" sz="1400"/>
            <a:t>深圳市华胜益出口贸易有限公司</a:t>
          </a:r>
          <a:r>
            <a:rPr lang="zh-CN" altLang="en-US" sz="1400"/>
            <a:t>名义订购，出口公司名填</a:t>
          </a:r>
          <a:r>
            <a:rPr lang="en-US" altLang="zh-CN" sz="1400">
              <a:sym typeface="+mn-ea"/>
            </a:rPr>
            <a:t>深圳市华胜益出口贸易有限公司</a:t>
          </a:r>
          <a:r>
            <a:rPr lang="zh-CN" altLang="en-US" sz="1400">
              <a:sym typeface="+mn-ea"/>
            </a:rPr>
            <a:t>。</a:t>
          </a:r>
          <a:endParaRPr lang="en-US" altLang="zh-CN" sz="1400"/>
        </a:p>
      </xdr:txBody>
    </xdr:sp>
    <xdr:clientData/>
  </xdr:twoCellAnchor>
  <xdr:twoCellAnchor>
    <xdr:from>
      <xdr:col>44</xdr:col>
      <xdr:colOff>684530</xdr:colOff>
      <xdr:row>0</xdr:row>
      <xdr:rowOff>280670</xdr:rowOff>
    </xdr:from>
    <xdr:to>
      <xdr:col>45</xdr:col>
      <xdr:colOff>83185</xdr:colOff>
      <xdr:row>1</xdr:row>
      <xdr:rowOff>1557655</xdr:rowOff>
    </xdr:to>
    <xdr:sp>
      <xdr:nvSpPr>
        <xdr:cNvPr id="79" name="矩形标注 78"/>
        <xdr:cNvSpPr/>
      </xdr:nvSpPr>
      <xdr:spPr>
        <a:xfrm>
          <a:off x="72606535" y="280670"/>
          <a:ext cx="1477010" cy="1911985"/>
        </a:xfrm>
        <a:prstGeom prst="wedgeRectCallout">
          <a:avLst>
            <a:gd name="adj1" fmla="val -14879"/>
            <a:gd name="adj2" fmla="val 83911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物料接收公司，</a:t>
          </a:r>
          <a:r>
            <a:rPr lang="en-US" altLang="zh-CN" sz="1400"/>
            <a:t>RRI</a:t>
          </a:r>
          <a:r>
            <a:rPr lang="zh-CN" altLang="en-US" sz="1400"/>
            <a:t>则填：</a:t>
          </a:r>
          <a:r>
            <a:rPr lang="en-US" altLang="zh-CN" sz="1400"/>
            <a:t>華登製品實業有限公司</a:t>
          </a:r>
          <a:endParaRPr lang="en-US" altLang="zh-CN" sz="1400"/>
        </a:p>
        <a:p>
          <a:pPr algn="l"/>
          <a:endParaRPr lang="en-US" altLang="zh-CN" sz="1400"/>
        </a:p>
        <a:p>
          <a:pPr algn="l"/>
          <a:r>
            <a:rPr lang="en-US" altLang="zh-CN" sz="1400"/>
            <a:t>RRM</a:t>
          </a:r>
          <a:r>
            <a:rPr lang="zh-CN" altLang="en-US" sz="1400"/>
            <a:t>则填：</a:t>
          </a:r>
          <a:r>
            <a:rPr lang="en-US" altLang="zh-CN" sz="1400"/>
            <a:t>華登(全球)有限公司</a:t>
          </a:r>
          <a:endParaRPr lang="en-US" altLang="zh-CN" sz="1400"/>
        </a:p>
      </xdr:txBody>
    </xdr:sp>
    <xdr:clientData/>
  </xdr:twoCellAnchor>
  <xdr:twoCellAnchor>
    <xdr:from>
      <xdr:col>45</xdr:col>
      <xdr:colOff>348615</xdr:colOff>
      <xdr:row>1</xdr:row>
      <xdr:rowOff>403860</xdr:rowOff>
    </xdr:from>
    <xdr:to>
      <xdr:col>46</xdr:col>
      <xdr:colOff>102235</xdr:colOff>
      <xdr:row>1</xdr:row>
      <xdr:rowOff>1490345</xdr:rowOff>
    </xdr:to>
    <xdr:sp>
      <xdr:nvSpPr>
        <xdr:cNvPr id="80" name="矩形标注 79"/>
        <xdr:cNvSpPr/>
      </xdr:nvSpPr>
      <xdr:spPr>
        <a:xfrm>
          <a:off x="74348975" y="1038860"/>
          <a:ext cx="896620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物料对应的装箱数量，含备品</a:t>
          </a:r>
          <a:endParaRPr lang="zh-CN" altLang="en-US" sz="1400"/>
        </a:p>
      </xdr:txBody>
    </xdr:sp>
    <xdr:clientData/>
  </xdr:twoCellAnchor>
  <xdr:twoCellAnchor>
    <xdr:from>
      <xdr:col>46</xdr:col>
      <xdr:colOff>584200</xdr:colOff>
      <xdr:row>1</xdr:row>
      <xdr:rowOff>429895</xdr:rowOff>
    </xdr:from>
    <xdr:to>
      <xdr:col>46</xdr:col>
      <xdr:colOff>1480820</xdr:colOff>
      <xdr:row>1</xdr:row>
      <xdr:rowOff>1516380</xdr:rowOff>
    </xdr:to>
    <xdr:sp>
      <xdr:nvSpPr>
        <xdr:cNvPr id="81" name="矩形标注 80"/>
        <xdr:cNvSpPr/>
      </xdr:nvSpPr>
      <xdr:spPr>
        <a:xfrm>
          <a:off x="75727560" y="1064895"/>
          <a:ext cx="896620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物料每箱装的实际数量</a:t>
          </a:r>
          <a:endParaRPr lang="zh-CN" altLang="en-US" sz="1400"/>
        </a:p>
      </xdr:txBody>
    </xdr:sp>
    <xdr:clientData/>
  </xdr:twoCellAnchor>
  <xdr:twoCellAnchor>
    <xdr:from>
      <xdr:col>47</xdr:col>
      <xdr:colOff>198755</xdr:colOff>
      <xdr:row>1</xdr:row>
      <xdr:rowOff>498475</xdr:rowOff>
    </xdr:from>
    <xdr:to>
      <xdr:col>47</xdr:col>
      <xdr:colOff>1095375</xdr:colOff>
      <xdr:row>1</xdr:row>
      <xdr:rowOff>1584960</xdr:rowOff>
    </xdr:to>
    <xdr:sp>
      <xdr:nvSpPr>
        <xdr:cNvPr id="87" name="矩形标注 86"/>
        <xdr:cNvSpPr/>
      </xdr:nvSpPr>
      <xdr:spPr>
        <a:xfrm>
          <a:off x="77160120" y="1133475"/>
          <a:ext cx="896620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物料装柜的卡板序号，自订</a:t>
          </a:r>
          <a:endParaRPr lang="zh-CN" altLang="en-US" sz="1400"/>
        </a:p>
      </xdr:txBody>
    </xdr:sp>
    <xdr:clientData/>
  </xdr:twoCellAnchor>
  <xdr:twoCellAnchor>
    <xdr:from>
      <xdr:col>48</xdr:col>
      <xdr:colOff>572770</xdr:colOff>
      <xdr:row>1</xdr:row>
      <xdr:rowOff>321945</xdr:rowOff>
    </xdr:from>
    <xdr:to>
      <xdr:col>48</xdr:col>
      <xdr:colOff>1469390</xdr:colOff>
      <xdr:row>1</xdr:row>
      <xdr:rowOff>1408430</xdr:rowOff>
    </xdr:to>
    <xdr:sp>
      <xdr:nvSpPr>
        <xdr:cNvPr id="88" name="矩形标注 87"/>
        <xdr:cNvSpPr/>
      </xdr:nvSpPr>
      <xdr:spPr>
        <a:xfrm>
          <a:off x="78815565" y="956945"/>
          <a:ext cx="896620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物料包装箱的长，单位</a:t>
          </a:r>
          <a:r>
            <a:rPr lang="en-US" altLang="zh-CN" sz="1400"/>
            <a:t>cm</a:t>
          </a:r>
          <a:endParaRPr lang="zh-CN" altLang="en-US" sz="1400"/>
        </a:p>
      </xdr:txBody>
    </xdr:sp>
    <xdr:clientData/>
  </xdr:twoCellAnchor>
  <xdr:twoCellAnchor>
    <xdr:from>
      <xdr:col>49</xdr:col>
      <xdr:colOff>454025</xdr:colOff>
      <xdr:row>1</xdr:row>
      <xdr:rowOff>375920</xdr:rowOff>
    </xdr:from>
    <xdr:to>
      <xdr:col>49</xdr:col>
      <xdr:colOff>1350645</xdr:colOff>
      <xdr:row>1</xdr:row>
      <xdr:rowOff>1462405</xdr:rowOff>
    </xdr:to>
    <xdr:sp>
      <xdr:nvSpPr>
        <xdr:cNvPr id="89" name="矩形标注 88"/>
        <xdr:cNvSpPr/>
      </xdr:nvSpPr>
      <xdr:spPr>
        <a:xfrm>
          <a:off x="80566260" y="1010920"/>
          <a:ext cx="896620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物料包装箱的宽，单位</a:t>
          </a:r>
          <a:r>
            <a:rPr lang="en-US" altLang="zh-CN" sz="1400"/>
            <a:t>cm</a:t>
          </a:r>
          <a:endParaRPr lang="zh-CN" altLang="en-US" sz="1400"/>
        </a:p>
      </xdr:txBody>
    </xdr:sp>
    <xdr:clientData/>
  </xdr:twoCellAnchor>
  <xdr:twoCellAnchor>
    <xdr:from>
      <xdr:col>50</xdr:col>
      <xdr:colOff>521970</xdr:colOff>
      <xdr:row>1</xdr:row>
      <xdr:rowOff>281305</xdr:rowOff>
    </xdr:from>
    <xdr:to>
      <xdr:col>50</xdr:col>
      <xdr:colOff>1418590</xdr:colOff>
      <xdr:row>1</xdr:row>
      <xdr:rowOff>1367790</xdr:rowOff>
    </xdr:to>
    <xdr:sp>
      <xdr:nvSpPr>
        <xdr:cNvPr id="92" name="矩形标注 91"/>
        <xdr:cNvSpPr/>
      </xdr:nvSpPr>
      <xdr:spPr>
        <a:xfrm>
          <a:off x="82503645" y="916305"/>
          <a:ext cx="896620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物料包装箱的高，单位</a:t>
          </a:r>
          <a:r>
            <a:rPr lang="en-US" altLang="zh-CN" sz="1400"/>
            <a:t>cm</a:t>
          </a:r>
          <a:endParaRPr lang="zh-CN" altLang="en-US" sz="1400"/>
        </a:p>
      </xdr:txBody>
    </xdr:sp>
    <xdr:clientData/>
  </xdr:twoCellAnchor>
  <xdr:twoCellAnchor>
    <xdr:from>
      <xdr:col>51</xdr:col>
      <xdr:colOff>290195</xdr:colOff>
      <xdr:row>1</xdr:row>
      <xdr:rowOff>417195</xdr:rowOff>
    </xdr:from>
    <xdr:to>
      <xdr:col>51</xdr:col>
      <xdr:colOff>1526540</xdr:colOff>
      <xdr:row>1</xdr:row>
      <xdr:rowOff>1503680</xdr:rowOff>
    </xdr:to>
    <xdr:sp>
      <xdr:nvSpPr>
        <xdr:cNvPr id="93" name="矩形标注 92"/>
        <xdr:cNvSpPr/>
      </xdr:nvSpPr>
      <xdr:spPr>
        <a:xfrm>
          <a:off x="84141310" y="1052195"/>
          <a:ext cx="1236345" cy="108648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物料对应印尼</a:t>
          </a:r>
          <a:r>
            <a:rPr lang="en-US" altLang="zh-CN" sz="1400"/>
            <a:t>ERP</a:t>
          </a:r>
          <a:r>
            <a:rPr lang="zh-CN" altLang="en-US" sz="1400"/>
            <a:t>系统里的编号</a:t>
          </a:r>
          <a:endParaRPr lang="zh-CN" altLang="en-US" sz="1400"/>
        </a:p>
      </xdr:txBody>
    </xdr:sp>
    <xdr:clientData/>
  </xdr:twoCellAnchor>
  <xdr:twoCellAnchor>
    <xdr:from>
      <xdr:col>52</xdr:col>
      <xdr:colOff>250190</xdr:colOff>
      <xdr:row>1</xdr:row>
      <xdr:rowOff>743585</xdr:rowOff>
    </xdr:from>
    <xdr:to>
      <xdr:col>52</xdr:col>
      <xdr:colOff>1486535</xdr:colOff>
      <xdr:row>1</xdr:row>
      <xdr:rowOff>1435735</xdr:rowOff>
    </xdr:to>
    <xdr:sp>
      <xdr:nvSpPr>
        <xdr:cNvPr id="94" name="矩形标注 93"/>
        <xdr:cNvSpPr/>
      </xdr:nvSpPr>
      <xdr:spPr>
        <a:xfrm>
          <a:off x="85970745" y="1378585"/>
          <a:ext cx="1236345" cy="692150"/>
        </a:xfrm>
        <a:prstGeom prst="wedgeRectCallout">
          <a:avLst>
            <a:gd name="adj1" fmla="val -8448"/>
            <a:gd name="adj2" fmla="val 117706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物料是哪个部门使用</a:t>
          </a:r>
          <a:endParaRPr lang="zh-CN" altLang="en-US" sz="1400"/>
        </a:p>
      </xdr:txBody>
    </xdr:sp>
    <xdr:clientData/>
  </xdr:twoCellAnchor>
  <xdr:twoCellAnchor>
    <xdr:from>
      <xdr:col>53</xdr:col>
      <xdr:colOff>323850</xdr:colOff>
      <xdr:row>1</xdr:row>
      <xdr:rowOff>537845</xdr:rowOff>
    </xdr:from>
    <xdr:to>
      <xdr:col>53</xdr:col>
      <xdr:colOff>1369695</xdr:colOff>
      <xdr:row>1</xdr:row>
      <xdr:rowOff>1435100</xdr:rowOff>
    </xdr:to>
    <xdr:sp>
      <xdr:nvSpPr>
        <xdr:cNvPr id="96" name="矩形标注 95"/>
        <xdr:cNvSpPr/>
      </xdr:nvSpPr>
      <xdr:spPr>
        <a:xfrm>
          <a:off x="87913845" y="1172845"/>
          <a:ext cx="1045845" cy="89725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物料每箱装的实际重量</a:t>
          </a:r>
          <a:endParaRPr lang="zh-CN" altLang="en-US" sz="1400"/>
        </a:p>
      </xdr:txBody>
    </xdr:sp>
    <xdr:clientData/>
  </xdr:twoCellAnchor>
  <xdr:twoCellAnchor>
    <xdr:from>
      <xdr:col>54</xdr:col>
      <xdr:colOff>215265</xdr:colOff>
      <xdr:row>1</xdr:row>
      <xdr:rowOff>391160</xdr:rowOff>
    </xdr:from>
    <xdr:to>
      <xdr:col>54</xdr:col>
      <xdr:colOff>1519555</xdr:colOff>
      <xdr:row>1</xdr:row>
      <xdr:rowOff>1450975</xdr:rowOff>
    </xdr:to>
    <xdr:sp>
      <xdr:nvSpPr>
        <xdr:cNvPr id="97" name="矩形标注 96"/>
        <xdr:cNvSpPr/>
      </xdr:nvSpPr>
      <xdr:spPr>
        <a:xfrm>
          <a:off x="89395300" y="1026160"/>
          <a:ext cx="1304290" cy="105981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每箱物料里面单个物料的毛重，即整箱重量除以数量</a:t>
          </a:r>
          <a:endParaRPr lang="en-US" altLang="zh-CN" sz="1400"/>
        </a:p>
      </xdr:txBody>
    </xdr:sp>
    <xdr:clientData/>
  </xdr:twoCellAnchor>
  <xdr:twoCellAnchor>
    <xdr:from>
      <xdr:col>55</xdr:col>
      <xdr:colOff>351155</xdr:colOff>
      <xdr:row>1</xdr:row>
      <xdr:rowOff>553085</xdr:rowOff>
    </xdr:from>
    <xdr:to>
      <xdr:col>55</xdr:col>
      <xdr:colOff>1397000</xdr:colOff>
      <xdr:row>1</xdr:row>
      <xdr:rowOff>1450340</xdr:rowOff>
    </xdr:to>
    <xdr:sp>
      <xdr:nvSpPr>
        <xdr:cNvPr id="98" name="矩形标注 97"/>
        <xdr:cNvSpPr/>
      </xdr:nvSpPr>
      <xdr:spPr>
        <a:xfrm>
          <a:off x="91121230" y="1188085"/>
          <a:ext cx="1045845" cy="897255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单个物料的重量，不含包装</a:t>
          </a:r>
          <a:endParaRPr lang="zh-CN" altLang="en-US" sz="1400"/>
        </a:p>
      </xdr:txBody>
    </xdr:sp>
    <xdr:clientData/>
  </xdr:twoCellAnchor>
  <xdr:twoCellAnchor>
    <xdr:from>
      <xdr:col>56</xdr:col>
      <xdr:colOff>79375</xdr:colOff>
      <xdr:row>1</xdr:row>
      <xdr:rowOff>186055</xdr:rowOff>
    </xdr:from>
    <xdr:to>
      <xdr:col>56</xdr:col>
      <xdr:colOff>1125220</xdr:colOff>
      <xdr:row>1</xdr:row>
      <xdr:rowOff>1437005</xdr:rowOff>
    </xdr:to>
    <xdr:sp>
      <xdr:nvSpPr>
        <xdr:cNvPr id="99" name="矩形标注 98"/>
        <xdr:cNvSpPr/>
      </xdr:nvSpPr>
      <xdr:spPr>
        <a:xfrm>
          <a:off x="92753815" y="821055"/>
          <a:ext cx="1045845" cy="1250950"/>
        </a:xfrm>
        <a:prstGeom prst="wedgeRectCallout">
          <a:avLst>
            <a:gd name="adj1" fmla="val -13980"/>
            <a:gd name="adj2" fmla="val 100043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400"/>
            <a:t>额外备注信息，如有多少备品可在此处填写</a:t>
          </a:r>
          <a:endParaRPr lang="zh-CN" altLang="en-US" sz="1400"/>
        </a:p>
      </xdr:txBody>
    </xdr:sp>
    <xdr:clientData/>
  </xdr:twoCellAnchor>
  <xdr:twoCellAnchor>
    <xdr:from>
      <xdr:col>1</xdr:col>
      <xdr:colOff>322580</xdr:colOff>
      <xdr:row>10</xdr:row>
      <xdr:rowOff>131445</xdr:rowOff>
    </xdr:from>
    <xdr:to>
      <xdr:col>2</xdr:col>
      <xdr:colOff>1111250</xdr:colOff>
      <xdr:row>10</xdr:row>
      <xdr:rowOff>553085</xdr:rowOff>
    </xdr:to>
    <xdr:sp>
      <xdr:nvSpPr>
        <xdr:cNvPr id="101" name="流程图: 过程 100"/>
        <xdr:cNvSpPr/>
      </xdr:nvSpPr>
      <xdr:spPr>
        <a:xfrm>
          <a:off x="1846580" y="13479145"/>
          <a:ext cx="2086610" cy="421640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endParaRPr lang="zh-CN" altLang="en-US" sz="1100"/>
        </a:p>
      </xdr:txBody>
    </xdr:sp>
    <xdr:clientData/>
  </xdr:twoCellAnchor>
  <xdr:twoCellAnchor>
    <xdr:from>
      <xdr:col>2</xdr:col>
      <xdr:colOff>151130</xdr:colOff>
      <xdr:row>10</xdr:row>
      <xdr:rowOff>1183640</xdr:rowOff>
    </xdr:from>
    <xdr:to>
      <xdr:col>3</xdr:col>
      <xdr:colOff>781685</xdr:colOff>
      <xdr:row>11</xdr:row>
      <xdr:rowOff>210185</xdr:rowOff>
    </xdr:to>
    <xdr:sp>
      <xdr:nvSpPr>
        <xdr:cNvPr id="102" name="矩形标注 101"/>
        <xdr:cNvSpPr/>
      </xdr:nvSpPr>
      <xdr:spPr>
        <a:xfrm>
          <a:off x="2973070" y="14531340"/>
          <a:ext cx="1824990" cy="407670"/>
        </a:xfrm>
        <a:prstGeom prst="wedgeRectCallout">
          <a:avLst>
            <a:gd name="adj1" fmla="val -34781"/>
            <a:gd name="adj2" fmla="val 178220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D</a:t>
          </a:r>
          <a:r>
            <a:rPr lang="zh-CN" altLang="en-US" sz="1400"/>
            <a:t>列：货号</a:t>
          </a:r>
          <a:r>
            <a:rPr lang="en-US" altLang="zh-CN" sz="1400"/>
            <a:t>Item No.</a:t>
          </a:r>
          <a:endParaRPr lang="zh-CN" altLang="en-US" sz="1400"/>
        </a:p>
      </xdr:txBody>
    </xdr:sp>
    <xdr:clientData/>
  </xdr:twoCellAnchor>
  <xdr:twoCellAnchor>
    <xdr:from>
      <xdr:col>1</xdr:col>
      <xdr:colOff>558165</xdr:colOff>
      <xdr:row>11</xdr:row>
      <xdr:rowOff>751840</xdr:rowOff>
    </xdr:from>
    <xdr:to>
      <xdr:col>2</xdr:col>
      <xdr:colOff>816610</xdr:colOff>
      <xdr:row>11</xdr:row>
      <xdr:rowOff>1146175</xdr:rowOff>
    </xdr:to>
    <xdr:sp>
      <xdr:nvSpPr>
        <xdr:cNvPr id="103" name="流程图: 过程 102"/>
        <xdr:cNvSpPr/>
      </xdr:nvSpPr>
      <xdr:spPr>
        <a:xfrm>
          <a:off x="2082165" y="15480665"/>
          <a:ext cx="1556385" cy="394335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2</xdr:col>
      <xdr:colOff>912495</xdr:colOff>
      <xdr:row>9</xdr:row>
      <xdr:rowOff>780415</xdr:rowOff>
    </xdr:from>
    <xdr:to>
      <xdr:col>4</xdr:col>
      <xdr:colOff>207010</xdr:colOff>
      <xdr:row>9</xdr:row>
      <xdr:rowOff>1188085</xdr:rowOff>
    </xdr:to>
    <xdr:sp>
      <xdr:nvSpPr>
        <xdr:cNvPr id="104" name="矩形标注 103"/>
        <xdr:cNvSpPr/>
      </xdr:nvSpPr>
      <xdr:spPr>
        <a:xfrm>
          <a:off x="3734435" y="12746990"/>
          <a:ext cx="1824990" cy="407670"/>
        </a:xfrm>
        <a:prstGeom prst="wedgeRectCallout">
          <a:avLst>
            <a:gd name="adj1" fmla="val -46659"/>
            <a:gd name="adj2" fmla="val 128866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AL</a:t>
          </a:r>
          <a:r>
            <a:rPr lang="zh-CN" altLang="en-US" sz="1400"/>
            <a:t>列：供应商</a:t>
          </a:r>
          <a:endParaRPr lang="zh-CN" altLang="en-US" sz="1400"/>
        </a:p>
      </xdr:txBody>
    </xdr:sp>
    <xdr:clientData/>
  </xdr:twoCellAnchor>
  <xdr:twoCellAnchor>
    <xdr:from>
      <xdr:col>5</xdr:col>
      <xdr:colOff>1265555</xdr:colOff>
      <xdr:row>9</xdr:row>
      <xdr:rowOff>983615</xdr:rowOff>
    </xdr:from>
    <xdr:to>
      <xdr:col>6</xdr:col>
      <xdr:colOff>1177290</xdr:colOff>
      <xdr:row>10</xdr:row>
      <xdr:rowOff>50800</xdr:rowOff>
    </xdr:to>
    <xdr:sp>
      <xdr:nvSpPr>
        <xdr:cNvPr id="105" name="流程图: 过程 104"/>
        <xdr:cNvSpPr/>
      </xdr:nvSpPr>
      <xdr:spPr>
        <a:xfrm>
          <a:off x="7954010" y="12950190"/>
          <a:ext cx="1332230" cy="448310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6</xdr:col>
      <xdr:colOff>1849755</xdr:colOff>
      <xdr:row>9</xdr:row>
      <xdr:rowOff>820420</xdr:rowOff>
    </xdr:from>
    <xdr:to>
      <xdr:col>7</xdr:col>
      <xdr:colOff>1791335</xdr:colOff>
      <xdr:row>9</xdr:row>
      <xdr:rowOff>1228090</xdr:rowOff>
    </xdr:to>
    <xdr:sp>
      <xdr:nvSpPr>
        <xdr:cNvPr id="106" name="矩形标注 105"/>
        <xdr:cNvSpPr/>
      </xdr:nvSpPr>
      <xdr:spPr>
        <a:xfrm>
          <a:off x="9958705" y="12786995"/>
          <a:ext cx="1824990" cy="407670"/>
        </a:xfrm>
        <a:prstGeom prst="wedgeRectCallout">
          <a:avLst>
            <a:gd name="adj1" fmla="val -85532"/>
            <a:gd name="adj2" fmla="val 75389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AM</a:t>
          </a:r>
          <a:r>
            <a:rPr lang="zh-CN" altLang="en-US" sz="1400"/>
            <a:t>列：采购单日期</a:t>
          </a:r>
          <a:endParaRPr lang="zh-CN" altLang="en-US" sz="1400"/>
        </a:p>
      </xdr:txBody>
    </xdr:sp>
    <xdr:clientData/>
  </xdr:twoCellAnchor>
  <xdr:twoCellAnchor>
    <xdr:from>
      <xdr:col>6</xdr:col>
      <xdr:colOff>25400</xdr:colOff>
      <xdr:row>9</xdr:row>
      <xdr:rowOff>411480</xdr:rowOff>
    </xdr:from>
    <xdr:to>
      <xdr:col>6</xdr:col>
      <xdr:colOff>1656715</xdr:colOff>
      <xdr:row>9</xdr:row>
      <xdr:rowOff>859790</xdr:rowOff>
    </xdr:to>
    <xdr:sp>
      <xdr:nvSpPr>
        <xdr:cNvPr id="107" name="流程图: 过程 106"/>
        <xdr:cNvSpPr/>
      </xdr:nvSpPr>
      <xdr:spPr>
        <a:xfrm>
          <a:off x="8134350" y="12378055"/>
          <a:ext cx="1631315" cy="448310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5</xdr:col>
      <xdr:colOff>871855</xdr:colOff>
      <xdr:row>8</xdr:row>
      <xdr:rowOff>807720</xdr:rowOff>
    </xdr:from>
    <xdr:to>
      <xdr:col>6</xdr:col>
      <xdr:colOff>1276350</xdr:colOff>
      <xdr:row>8</xdr:row>
      <xdr:rowOff>1215390</xdr:rowOff>
    </xdr:to>
    <xdr:sp>
      <xdr:nvSpPr>
        <xdr:cNvPr id="108" name="矩形标注 107"/>
        <xdr:cNvSpPr/>
      </xdr:nvSpPr>
      <xdr:spPr>
        <a:xfrm>
          <a:off x="7560310" y="11393170"/>
          <a:ext cx="1824990" cy="407670"/>
        </a:xfrm>
        <a:prstGeom prst="wedgeRectCallout">
          <a:avLst>
            <a:gd name="adj1" fmla="val -279"/>
            <a:gd name="adj2" fmla="val 198909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AN</a:t>
          </a:r>
          <a:r>
            <a:rPr lang="zh-CN" altLang="en-US" sz="1400"/>
            <a:t>列：采购单号</a:t>
          </a:r>
          <a:endParaRPr lang="zh-CN" altLang="en-US" sz="1400"/>
        </a:p>
      </xdr:txBody>
    </xdr:sp>
    <xdr:clientData/>
  </xdr:twoCellAnchor>
  <xdr:twoCellAnchor>
    <xdr:from>
      <xdr:col>3</xdr:col>
      <xdr:colOff>275590</xdr:colOff>
      <xdr:row>11</xdr:row>
      <xdr:rowOff>811530</xdr:rowOff>
    </xdr:from>
    <xdr:to>
      <xdr:col>4</xdr:col>
      <xdr:colOff>139700</xdr:colOff>
      <xdr:row>11</xdr:row>
      <xdr:rowOff>1151890</xdr:rowOff>
    </xdr:to>
    <xdr:sp>
      <xdr:nvSpPr>
        <xdr:cNvPr id="109" name="流程图: 过程 108"/>
        <xdr:cNvSpPr/>
      </xdr:nvSpPr>
      <xdr:spPr>
        <a:xfrm>
          <a:off x="4291965" y="15540355"/>
          <a:ext cx="1200150" cy="340360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3</xdr:col>
      <xdr:colOff>231140</xdr:colOff>
      <xdr:row>12</xdr:row>
      <xdr:rowOff>685165</xdr:rowOff>
    </xdr:from>
    <xdr:to>
      <xdr:col>4</xdr:col>
      <xdr:colOff>720090</xdr:colOff>
      <xdr:row>12</xdr:row>
      <xdr:rowOff>1092835</xdr:rowOff>
    </xdr:to>
    <xdr:sp>
      <xdr:nvSpPr>
        <xdr:cNvPr id="110" name="矩形标注 109"/>
        <xdr:cNvSpPr/>
      </xdr:nvSpPr>
      <xdr:spPr>
        <a:xfrm>
          <a:off x="4247515" y="16795115"/>
          <a:ext cx="1824990" cy="407670"/>
        </a:xfrm>
        <a:prstGeom prst="wedgeRectCallout">
          <a:avLst>
            <a:gd name="adj1" fmla="val -10801"/>
            <a:gd name="adj2" fmla="val -281775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F</a:t>
          </a:r>
          <a:r>
            <a:rPr lang="zh-CN" altLang="en-US" sz="1400"/>
            <a:t>列：产品中文名称</a:t>
          </a:r>
          <a:endParaRPr lang="en-US" altLang="zh-CN" sz="1400"/>
        </a:p>
      </xdr:txBody>
    </xdr:sp>
    <xdr:clientData/>
  </xdr:twoCellAnchor>
  <xdr:twoCellAnchor>
    <xdr:from>
      <xdr:col>4</xdr:col>
      <xdr:colOff>937895</xdr:colOff>
      <xdr:row>11</xdr:row>
      <xdr:rowOff>821055</xdr:rowOff>
    </xdr:from>
    <xdr:to>
      <xdr:col>5</xdr:col>
      <xdr:colOff>448310</xdr:colOff>
      <xdr:row>11</xdr:row>
      <xdr:rowOff>1174750</xdr:rowOff>
    </xdr:to>
    <xdr:sp>
      <xdr:nvSpPr>
        <xdr:cNvPr id="111" name="流程图: 过程 110"/>
        <xdr:cNvSpPr/>
      </xdr:nvSpPr>
      <xdr:spPr>
        <a:xfrm>
          <a:off x="6290310" y="15549880"/>
          <a:ext cx="846455" cy="353695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4</xdr:col>
      <xdr:colOff>842645</xdr:colOff>
      <xdr:row>12</xdr:row>
      <xdr:rowOff>724535</xdr:rowOff>
    </xdr:from>
    <xdr:to>
      <xdr:col>5</xdr:col>
      <xdr:colOff>1331595</xdr:colOff>
      <xdr:row>13</xdr:row>
      <xdr:rowOff>600710</xdr:rowOff>
    </xdr:to>
    <xdr:sp>
      <xdr:nvSpPr>
        <xdr:cNvPr id="112" name="矩形标注 111"/>
        <xdr:cNvSpPr/>
      </xdr:nvSpPr>
      <xdr:spPr>
        <a:xfrm>
          <a:off x="6195060" y="16834485"/>
          <a:ext cx="1824990" cy="1257300"/>
        </a:xfrm>
        <a:prstGeom prst="wedgeRectCallout">
          <a:avLst>
            <a:gd name="adj1" fmla="val -24216"/>
            <a:gd name="adj2" fmla="val -122526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L</a:t>
          </a:r>
          <a:r>
            <a:rPr lang="zh-CN" altLang="en-US" sz="1400"/>
            <a:t>列：送货数量，如是分批送，则填每次送货的实际数量，总数量不能超过此对应的订单数量</a:t>
          </a:r>
          <a:endParaRPr lang="en-US" altLang="zh-CN" sz="1400"/>
        </a:p>
      </xdr:txBody>
    </xdr:sp>
    <xdr:clientData/>
  </xdr:twoCellAnchor>
  <xdr:twoCellAnchor>
    <xdr:from>
      <xdr:col>5</xdr:col>
      <xdr:colOff>558800</xdr:colOff>
      <xdr:row>11</xdr:row>
      <xdr:rowOff>794385</xdr:rowOff>
    </xdr:from>
    <xdr:to>
      <xdr:col>5</xdr:col>
      <xdr:colOff>1405255</xdr:colOff>
      <xdr:row>11</xdr:row>
      <xdr:rowOff>1148080</xdr:rowOff>
    </xdr:to>
    <xdr:sp>
      <xdr:nvSpPr>
        <xdr:cNvPr id="113" name="流程图: 过程 112"/>
        <xdr:cNvSpPr/>
      </xdr:nvSpPr>
      <xdr:spPr>
        <a:xfrm>
          <a:off x="7247255" y="15523210"/>
          <a:ext cx="846455" cy="353695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5</xdr:col>
      <xdr:colOff>1301115</xdr:colOff>
      <xdr:row>10</xdr:row>
      <xdr:rowOff>1025525</xdr:rowOff>
    </xdr:from>
    <xdr:to>
      <xdr:col>6</xdr:col>
      <xdr:colOff>1006475</xdr:colOff>
      <xdr:row>11</xdr:row>
      <xdr:rowOff>39370</xdr:rowOff>
    </xdr:to>
    <xdr:sp>
      <xdr:nvSpPr>
        <xdr:cNvPr id="114" name="矩形标注 113"/>
        <xdr:cNvSpPr/>
      </xdr:nvSpPr>
      <xdr:spPr>
        <a:xfrm>
          <a:off x="7989570" y="14373225"/>
          <a:ext cx="1125855" cy="394970"/>
        </a:xfrm>
        <a:prstGeom prst="wedgeRectCallout">
          <a:avLst>
            <a:gd name="adj1" fmla="val -66187"/>
            <a:gd name="adj2" fmla="val 234518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M</a:t>
          </a:r>
          <a:r>
            <a:rPr lang="zh-CN" altLang="en-US" sz="1400"/>
            <a:t>列：单位</a:t>
          </a:r>
          <a:endParaRPr lang="zh-CN" altLang="en-US" sz="1400"/>
        </a:p>
      </xdr:txBody>
    </xdr:sp>
    <xdr:clientData/>
  </xdr:twoCellAnchor>
  <xdr:twoCellAnchor>
    <xdr:from>
      <xdr:col>6</xdr:col>
      <xdr:colOff>366395</xdr:colOff>
      <xdr:row>11</xdr:row>
      <xdr:rowOff>751840</xdr:rowOff>
    </xdr:from>
    <xdr:to>
      <xdr:col>6</xdr:col>
      <xdr:colOff>1200150</xdr:colOff>
      <xdr:row>11</xdr:row>
      <xdr:rowOff>1120140</xdr:rowOff>
    </xdr:to>
    <xdr:sp>
      <xdr:nvSpPr>
        <xdr:cNvPr id="115" name="流程图: 过程 114"/>
        <xdr:cNvSpPr/>
      </xdr:nvSpPr>
      <xdr:spPr>
        <a:xfrm>
          <a:off x="8475345" y="15480665"/>
          <a:ext cx="833755" cy="368300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6</xdr:col>
      <xdr:colOff>673735</xdr:colOff>
      <xdr:row>12</xdr:row>
      <xdr:rowOff>1009650</xdr:rowOff>
    </xdr:from>
    <xdr:to>
      <xdr:col>7</xdr:col>
      <xdr:colOff>704215</xdr:colOff>
      <xdr:row>13</xdr:row>
      <xdr:rowOff>915035</xdr:rowOff>
    </xdr:to>
    <xdr:sp>
      <xdr:nvSpPr>
        <xdr:cNvPr id="116" name="矩形标注 115"/>
        <xdr:cNvSpPr/>
      </xdr:nvSpPr>
      <xdr:spPr>
        <a:xfrm>
          <a:off x="8782685" y="17119600"/>
          <a:ext cx="1913890" cy="1286510"/>
        </a:xfrm>
        <a:prstGeom prst="wedgeRectCallout">
          <a:avLst>
            <a:gd name="adj1" fmla="val -42146"/>
            <a:gd name="adj2" fmla="val -149391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AO</a:t>
          </a:r>
          <a:r>
            <a:rPr lang="zh-CN" altLang="en-US" sz="1400"/>
            <a:t>列：采购单价。如报关单位与采购单位不同时，则需根据采购单位，按总金额进行换算单价</a:t>
          </a:r>
          <a:endParaRPr lang="zh-CN" altLang="en-US" sz="1400"/>
        </a:p>
      </xdr:txBody>
    </xdr:sp>
    <xdr:clientData/>
  </xdr:twoCellAnchor>
  <xdr:twoCellAnchor>
    <xdr:from>
      <xdr:col>7</xdr:col>
      <xdr:colOff>1645285</xdr:colOff>
      <xdr:row>10</xdr:row>
      <xdr:rowOff>928370</xdr:rowOff>
    </xdr:from>
    <xdr:to>
      <xdr:col>8</xdr:col>
      <xdr:colOff>1308735</xdr:colOff>
      <xdr:row>10</xdr:row>
      <xdr:rowOff>1336040</xdr:rowOff>
    </xdr:to>
    <xdr:sp>
      <xdr:nvSpPr>
        <xdr:cNvPr id="117" name="矩形标注 116"/>
        <xdr:cNvSpPr/>
      </xdr:nvSpPr>
      <xdr:spPr>
        <a:xfrm>
          <a:off x="11637645" y="14276070"/>
          <a:ext cx="1567180" cy="407670"/>
        </a:xfrm>
        <a:prstGeom prst="wedgeRectCallout">
          <a:avLst>
            <a:gd name="adj1" fmla="val -88512"/>
            <a:gd name="adj2" fmla="val 249065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AP</a:t>
          </a:r>
          <a:r>
            <a:rPr lang="zh-CN" altLang="en-US" sz="1400"/>
            <a:t>列：采购金额</a:t>
          </a:r>
          <a:endParaRPr lang="en-US" altLang="zh-CN" sz="1400"/>
        </a:p>
      </xdr:txBody>
    </xdr:sp>
    <xdr:clientData/>
  </xdr:twoCellAnchor>
  <xdr:twoCellAnchor>
    <xdr:from>
      <xdr:col>6</xdr:col>
      <xdr:colOff>1879600</xdr:colOff>
      <xdr:row>11</xdr:row>
      <xdr:rowOff>742950</xdr:rowOff>
    </xdr:from>
    <xdr:to>
      <xdr:col>7</xdr:col>
      <xdr:colOff>1048385</xdr:colOff>
      <xdr:row>11</xdr:row>
      <xdr:rowOff>1111250</xdr:rowOff>
    </xdr:to>
    <xdr:sp>
      <xdr:nvSpPr>
        <xdr:cNvPr id="118" name="流程图: 过程 117"/>
        <xdr:cNvSpPr/>
      </xdr:nvSpPr>
      <xdr:spPr>
        <a:xfrm>
          <a:off x="9988550" y="15471775"/>
          <a:ext cx="1052195" cy="368300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0</xdr:col>
      <xdr:colOff>245745</xdr:colOff>
      <xdr:row>11</xdr:row>
      <xdr:rowOff>699135</xdr:rowOff>
    </xdr:from>
    <xdr:to>
      <xdr:col>0</xdr:col>
      <xdr:colOff>1272540</xdr:colOff>
      <xdr:row>11</xdr:row>
      <xdr:rowOff>1093470</xdr:rowOff>
    </xdr:to>
    <xdr:sp>
      <xdr:nvSpPr>
        <xdr:cNvPr id="119" name="流程图: 过程 118"/>
        <xdr:cNvSpPr/>
      </xdr:nvSpPr>
      <xdr:spPr>
        <a:xfrm>
          <a:off x="245745" y="15427960"/>
          <a:ext cx="1026795" cy="394335"/>
        </a:xfrm>
        <a:prstGeom prst="flowChartProcess">
          <a:avLst/>
        </a:prstGeom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0</xdr:col>
      <xdr:colOff>381635</xdr:colOff>
      <xdr:row>12</xdr:row>
      <xdr:rowOff>384810</xdr:rowOff>
    </xdr:from>
    <xdr:to>
      <xdr:col>1</xdr:col>
      <xdr:colOff>682625</xdr:colOff>
      <xdr:row>12</xdr:row>
      <xdr:rowOff>792480</xdr:rowOff>
    </xdr:to>
    <xdr:sp>
      <xdr:nvSpPr>
        <xdr:cNvPr id="120" name="矩形标注 119"/>
        <xdr:cNvSpPr/>
      </xdr:nvSpPr>
      <xdr:spPr>
        <a:xfrm>
          <a:off x="381635" y="16494760"/>
          <a:ext cx="1824990" cy="407670"/>
        </a:xfrm>
        <a:prstGeom prst="wedgeRectCallout">
          <a:avLst>
            <a:gd name="adj1" fmla="val -21294"/>
            <a:gd name="adj2" fmla="val -204828"/>
          </a:avLst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zh-CN" sz="1400"/>
            <a:t>AZ</a:t>
          </a:r>
          <a:r>
            <a:rPr lang="zh-CN" altLang="en-US" sz="1400"/>
            <a:t>列：物料编码</a:t>
          </a:r>
          <a:endParaRPr lang="zh-CN" altLang="en-US" sz="14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3:C27"/>
  <sheetViews>
    <sheetView workbookViewId="0">
      <selection activeCell="J17" sqref="J17"/>
    </sheetView>
  </sheetViews>
  <sheetFormatPr defaultColWidth="8.61666666666667" defaultRowHeight="13.5" outlineLevelCol="2"/>
  <cols>
    <col min="1" max="1" width="5.48333333333333" style="429" customWidth="1"/>
    <col min="2" max="2" width="15.7583333333333" style="429" customWidth="1"/>
    <col min="3" max="3" width="18.3" style="429" customWidth="1"/>
    <col min="4" max="16384" width="8.61666666666667" style="429"/>
  </cols>
  <sheetData>
    <row r="3" spans="1:3">
      <c r="B3" s="429" t="s">
        <v>172</v>
      </c>
    </row>
    <row r="4" ht="22" customHeight="1" spans="1:3">
      <c r="B4" s="429" t="s">
        <v>173</v>
      </c>
    </row>
    <row r="5" ht="22" customHeight="1" spans="1:3">
      <c r="B5" s="429" t="s">
        <v>174</v>
      </c>
    </row>
    <row r="6" ht="22" customHeight="1" spans="1:3">
      <c r="B6" s="429" t="s">
        <v>175</v>
      </c>
    </row>
    <row r="7" ht="22" customHeight="1" spans="1:3">
      <c r="B7" s="429" t="s">
        <v>176</v>
      </c>
    </row>
    <row r="8" ht="22" customHeight="1" spans="1:3">
      <c r="B8" s="429" t="s">
        <v>177</v>
      </c>
    </row>
    <row r="9" ht="22" customHeight="1" spans="1:3">
      <c r="B9" s="429" t="s">
        <v>59</v>
      </c>
    </row>
    <row r="10" ht="22" customHeight="1" spans="1:3">
      <c r="B10" s="429" t="s">
        <v>178</v>
      </c>
    </row>
    <row r="11" ht="22" customHeight="1" spans="1:3">
      <c r="B11" s="429" t="s">
        <v>179</v>
      </c>
    </row>
    <row r="12" ht="22" customHeight="1" spans="1:3">
      <c r="B12" s="429" t="s">
        <v>180</v>
      </c>
    </row>
    <row r="13" ht="22" customHeight="1" spans="1:3">
      <c r="B13" s="429" t="s">
        <v>181</v>
      </c>
    </row>
    <row r="14" ht="22" customHeight="1" spans="1:3">
      <c r="B14" s="429" t="s">
        <v>182</v>
      </c>
    </row>
    <row r="15" ht="22" customHeight="1" spans="1:3">
      <c r="B15" s="429" t="s">
        <v>183</v>
      </c>
    </row>
    <row r="16" ht="22" customHeight="1" spans="1:3">
      <c r="B16" s="429" t="s">
        <v>184</v>
      </c>
    </row>
    <row r="17" ht="22" customHeight="1" spans="2:3">
      <c r="B17" s="429" t="s">
        <v>185</v>
      </c>
    </row>
    <row r="18" ht="22" customHeight="1" spans="2:3">
      <c r="B18" s="429" t="s">
        <v>186</v>
      </c>
    </row>
    <row r="19" ht="22" customHeight="1" spans="2:3">
      <c r="B19" s="429" t="s">
        <v>187</v>
      </c>
    </row>
    <row r="20" ht="23" customHeight="1" spans="2:3">
      <c r="B20" s="429" t="s">
        <v>188</v>
      </c>
    </row>
    <row r="21" ht="23" customHeight="1" spans="2:3">
      <c r="B21" s="429" t="s">
        <v>189</v>
      </c>
    </row>
    <row r="22" spans="2:3">
      <c r="B22" s="429" t="s">
        <v>190</v>
      </c>
    </row>
    <row r="23" spans="2:3">
      <c r="B23" s="429" t="s">
        <v>191</v>
      </c>
    </row>
    <row r="24" spans="2:3">
      <c r="B24" s="429" t="s">
        <v>192</v>
      </c>
    </row>
    <row r="25" spans="2:3">
      <c r="B25" s="429" t="s">
        <v>193</v>
      </c>
    </row>
    <row r="26" spans="2:3">
      <c r="B26" s="429" t="s">
        <v>194</v>
      </c>
    </row>
    <row r="27" spans="2:3"/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CJ64"/>
  <sheetViews>
    <sheetView tabSelected="1" zoomScale="70" zoomScaleNormal="70" workbookViewId="0">
      <selection activeCell="O6" sqref="O6"/>
    </sheetView>
  </sheetViews>
  <sheetFormatPr defaultColWidth="9.13333333333333" defaultRowHeight="13.5"/>
  <cols>
    <col min="1" max="1" width="20" customWidth="1"/>
    <col min="2" max="2" width="17.0333333333333" customWidth="1"/>
    <col min="3" max="3" width="15.675" customWidth="1"/>
    <col min="4" max="5" width="17.5333333333333" customWidth="1"/>
    <col min="6" max="6" width="18.6416666666667" customWidth="1"/>
    <col min="7" max="7" width="24.7166666666667" customWidth="1"/>
    <col min="8" max="8" width="24.9833333333333" customWidth="1"/>
    <col min="9" max="9" width="19.275" customWidth="1"/>
    <col min="10" max="10" width="14.275" customWidth="1"/>
    <col min="11" max="11" width="19.3083333333333" customWidth="1"/>
    <col min="12" max="12" width="17.7583333333333" customWidth="1"/>
    <col min="13" max="13" width="14.8083333333333" customWidth="1"/>
    <col min="14" max="15" width="20.8666666666667" customWidth="1"/>
    <col min="16" max="16" width="24.9916666666667" customWidth="1"/>
    <col min="17" max="19" width="20.8666666666667" customWidth="1"/>
    <col min="20" max="20" width="32.5083333333333" customWidth="1"/>
    <col min="21" max="27" width="20.8666666666667" customWidth="1"/>
    <col min="28" max="28" width="40.8166666666667" customWidth="1"/>
    <col min="29" max="33" width="20.8666666666667" customWidth="1"/>
    <col min="34" max="34" width="22.8583333333333" customWidth="1"/>
    <col min="35" max="35" width="23.9666666666667" customWidth="1"/>
    <col min="36" max="36" width="19.7833333333333" customWidth="1"/>
    <col min="37" max="37" width="34.6166666666667" customWidth="1"/>
    <col min="38" max="38" width="26.8833333333333" customWidth="1"/>
    <col min="39" max="39" width="16.975" customWidth="1"/>
    <col min="40" max="40" width="25.6666666666667" customWidth="1"/>
    <col min="41" max="41" width="19.1666666666667" customWidth="1"/>
    <col min="42" max="42" width="16.4666666666667" customWidth="1"/>
    <col min="43" max="43" width="16.2166666666667" customWidth="1"/>
    <col min="44" max="44" width="26.6666666666667" customWidth="1"/>
    <col min="45" max="45" width="27.275" customWidth="1"/>
    <col min="46" max="46" width="15" style="429" customWidth="1"/>
    <col min="47" max="47" width="23.8583333333333" customWidth="1"/>
    <col min="48" max="48" width="16.8166666666667" customWidth="1"/>
    <col min="49" max="53" width="24.5333333333333" customWidth="1"/>
    <col min="54" max="55" width="20.8666666666667" customWidth="1"/>
    <col min="56" max="56" width="24.9916666666667" customWidth="1"/>
    <col min="57" max="57" width="15.35" customWidth="1"/>
    <col min="64" max="64" width="11.5"/>
  </cols>
  <sheetData>
    <row r="1" customFormat="1" ht="50" customHeight="1" spans="1:88">
      <c r="M1" s="430" t="s">
        <v>0</v>
      </c>
      <c r="N1" s="430">
        <v>0.93</v>
      </c>
      <c r="Z1" s="431" t="e">
        <v>#REF!</v>
      </c>
      <c r="AP1" s="432">
        <v>383556.97</v>
      </c>
      <c r="AQ1" s="432">
        <v>56108.7247916667</v>
      </c>
      <c r="AT1" s="429"/>
    </row>
    <row r="2" customFormat="1" ht="136" customHeight="1" spans="1:88">
      <c r="M2" s="430"/>
      <c r="N2" s="430"/>
      <c r="AB2" s="431" t="e">
        <v>#REF!</v>
      </c>
      <c r="AP2" s="432">
        <v>33991.4</v>
      </c>
      <c r="AQ2" s="432">
        <v>5130.4125</v>
      </c>
      <c r="AT2" s="429"/>
    </row>
    <row r="3" customFormat="1" ht="103.75" customHeight="1" spans="1:88">
      <c r="A3" s="433" t="s">
        <v>1</v>
      </c>
      <c r="B3" s="433" t="s">
        <v>2</v>
      </c>
      <c r="C3" s="433" t="s">
        <v>3</v>
      </c>
      <c r="D3" s="433" t="s">
        <v>4</v>
      </c>
      <c r="E3" s="434" t="s">
        <v>5</v>
      </c>
      <c r="F3" s="433" t="s">
        <v>6</v>
      </c>
      <c r="G3" s="433" t="s">
        <v>7</v>
      </c>
      <c r="H3" s="362" t="s">
        <v>8</v>
      </c>
      <c r="I3" s="435" t="s">
        <v>9</v>
      </c>
      <c r="J3" s="436" t="s">
        <v>10</v>
      </c>
      <c r="K3" s="437" t="s">
        <v>11</v>
      </c>
      <c r="L3" s="438" t="s">
        <v>12</v>
      </c>
      <c r="M3" s="439" t="s">
        <v>10</v>
      </c>
      <c r="N3" s="440" t="s">
        <v>13</v>
      </c>
      <c r="O3" s="440" t="s">
        <v>14</v>
      </c>
      <c r="P3" s="441" t="s">
        <v>15</v>
      </c>
      <c r="Q3" s="441" t="s">
        <v>16</v>
      </c>
      <c r="R3" s="442" t="s">
        <v>17</v>
      </c>
      <c r="S3" s="443" t="s">
        <v>18</v>
      </c>
      <c r="T3" s="362" t="s">
        <v>19</v>
      </c>
      <c r="U3" s="362" t="s">
        <v>20</v>
      </c>
      <c r="V3" s="362" t="s">
        <v>21</v>
      </c>
      <c r="W3" s="444" t="s">
        <v>22</v>
      </c>
      <c r="X3" s="362" t="s">
        <v>23</v>
      </c>
      <c r="Y3" s="444" t="s">
        <v>24</v>
      </c>
      <c r="Z3" s="440" t="s">
        <v>25</v>
      </c>
      <c r="AA3" s="445" t="s">
        <v>26</v>
      </c>
      <c r="AB3" s="440" t="s">
        <v>27</v>
      </c>
      <c r="AC3" s="446" t="s">
        <v>28</v>
      </c>
      <c r="AD3" s="446" t="s">
        <v>29</v>
      </c>
      <c r="AE3" s="446" t="s">
        <v>30</v>
      </c>
      <c r="AF3" s="446" t="s">
        <v>31</v>
      </c>
      <c r="AG3" s="446" t="s">
        <v>32</v>
      </c>
      <c r="AH3" s="447" t="s">
        <v>33</v>
      </c>
      <c r="AI3" s="446" t="s">
        <v>34</v>
      </c>
      <c r="AJ3" s="446" t="s">
        <v>35</v>
      </c>
      <c r="AK3" s="448" t="s">
        <v>36</v>
      </c>
      <c r="AL3" s="362" t="s">
        <v>37</v>
      </c>
      <c r="AM3" s="444" t="s">
        <v>38</v>
      </c>
      <c r="AN3" s="449" t="s">
        <v>39</v>
      </c>
      <c r="AO3" s="440" t="s">
        <v>40</v>
      </c>
      <c r="AP3" s="440" t="s">
        <v>14</v>
      </c>
      <c r="AQ3" s="440" t="s">
        <v>41</v>
      </c>
      <c r="AR3" s="450" t="s">
        <v>42</v>
      </c>
      <c r="AS3" s="451" t="s">
        <v>43</v>
      </c>
      <c r="AT3" s="452" t="s">
        <v>44</v>
      </c>
      <c r="AU3" s="452" t="s">
        <v>45</v>
      </c>
      <c r="AV3" s="452" t="s">
        <v>46</v>
      </c>
      <c r="AW3" s="453" t="s">
        <v>47</v>
      </c>
      <c r="AX3" s="453" t="s">
        <v>48</v>
      </c>
      <c r="AY3" s="453" t="s">
        <v>49</v>
      </c>
      <c r="AZ3" s="442" t="s">
        <v>50</v>
      </c>
      <c r="BA3" s="442" t="s">
        <v>51</v>
      </c>
      <c r="BB3" s="453" t="s">
        <v>52</v>
      </c>
      <c r="BC3" s="453" t="s">
        <v>53</v>
      </c>
      <c r="BD3" s="441" t="s">
        <v>54</v>
      </c>
      <c r="BE3" s="1" t="s">
        <v>55</v>
      </c>
    </row>
    <row r="4" s="426" customFormat="1" ht="108.75" customHeight="1" spans="1:88">
      <c r="A4" s="362">
        <v>1</v>
      </c>
      <c r="B4" s="454">
        <v>9503009000</v>
      </c>
      <c r="C4" s="454">
        <v>392690</v>
      </c>
      <c r="D4" s="453" t="s">
        <v>56</v>
      </c>
      <c r="E4" s="453"/>
      <c r="F4" s="362" t="s">
        <v>57</v>
      </c>
      <c r="G4" s="455" t="s">
        <v>58</v>
      </c>
      <c r="H4" s="362"/>
      <c r="I4" s="456" t="s">
        <v>59</v>
      </c>
      <c r="J4" s="457" t="s">
        <v>60</v>
      </c>
      <c r="K4" s="458">
        <f>52*2.03+1.74</f>
        <v>107.3</v>
      </c>
      <c r="L4" s="449" t="s">
        <v>61</v>
      </c>
      <c r="M4" s="454" t="s">
        <v>62</v>
      </c>
      <c r="N4" s="459"/>
      <c r="O4" s="460"/>
      <c r="P4" s="461">
        <f>2.24*52+1.95</f>
        <v>118.43</v>
      </c>
      <c r="Q4" s="462">
        <f>K4</f>
        <v>107.3</v>
      </c>
      <c r="R4" s="463">
        <f>AW4*AX4*AY4/28316.75*0.0283</f>
        <v>0.0106816278351153</v>
      </c>
      <c r="S4" s="443">
        <f>ROUND(R4*AT4,2)</f>
        <v>0.57</v>
      </c>
      <c r="T4" s="464"/>
      <c r="U4" s="369" t="s">
        <v>63</v>
      </c>
      <c r="V4" s="465" t="s">
        <v>64</v>
      </c>
      <c r="W4" s="444">
        <v>46048</v>
      </c>
      <c r="X4" s="465" t="s">
        <v>65</v>
      </c>
      <c r="Y4" s="444">
        <v>46048</v>
      </c>
      <c r="Z4" s="466">
        <f>AO4</f>
        <v>11</v>
      </c>
      <c r="AA4" s="467">
        <f>K4*Z4</f>
        <v>1180.3</v>
      </c>
      <c r="AB4" s="468"/>
      <c r="AC4" s="469"/>
      <c r="AD4" s="470"/>
      <c r="AE4" s="469"/>
      <c r="AF4" s="470"/>
      <c r="AG4" s="471"/>
      <c r="AH4" s="469"/>
      <c r="AI4" s="472"/>
      <c r="AJ4" s="473"/>
      <c r="AK4" s="472"/>
      <c r="AL4" s="436" t="s">
        <v>66</v>
      </c>
      <c r="AM4" s="444">
        <v>46153</v>
      </c>
      <c r="AN4" s="444" t="s">
        <v>67</v>
      </c>
      <c r="AO4" s="474">
        <v>11</v>
      </c>
      <c r="AP4" s="475">
        <f>AO4*K4</f>
        <v>1180.3</v>
      </c>
      <c r="AQ4" s="475"/>
      <c r="AR4" s="450" t="s">
        <v>66</v>
      </c>
      <c r="AS4" s="476" t="s">
        <v>68</v>
      </c>
      <c r="AT4" s="477">
        <v>53</v>
      </c>
      <c r="AU4" s="477" t="s">
        <v>69</v>
      </c>
      <c r="AV4" s="477"/>
      <c r="AW4" s="478">
        <v>27</v>
      </c>
      <c r="AX4" s="478">
        <v>14.5</v>
      </c>
      <c r="AY4" s="478">
        <v>27.3</v>
      </c>
      <c r="AZ4" s="479"/>
      <c r="BA4" s="480"/>
      <c r="BB4" s="481" t="s">
        <v>70</v>
      </c>
      <c r="BC4" s="480">
        <v>0.001066</v>
      </c>
      <c r="BD4" s="480">
        <f>0.97/1000</f>
        <v>0.00097</v>
      </c>
      <c r="BE4" s="480"/>
    </row>
    <row r="5" s="426" customFormat="1" ht="108.75" customHeight="1" spans="1:88">
      <c r="A5" s="362">
        <v>2</v>
      </c>
      <c r="B5" s="454">
        <v>9503009000</v>
      </c>
      <c r="C5" s="454">
        <v>392690</v>
      </c>
      <c r="D5" s="436" t="s">
        <v>56</v>
      </c>
      <c r="E5" s="436"/>
      <c r="F5" s="436" t="s">
        <v>71</v>
      </c>
      <c r="G5" s="455" t="s">
        <v>72</v>
      </c>
      <c r="H5" s="436"/>
      <c r="I5" s="362" t="s">
        <v>59</v>
      </c>
      <c r="J5" s="482" t="s">
        <v>60</v>
      </c>
      <c r="K5" s="483">
        <f>4.63*10</f>
        <v>46.3</v>
      </c>
      <c r="L5" s="484">
        <v>35000</v>
      </c>
      <c r="M5" s="436" t="s">
        <v>62</v>
      </c>
      <c r="N5" s="485"/>
      <c r="O5" s="486"/>
      <c r="P5" s="483">
        <f>5.01*10</f>
        <v>50.1</v>
      </c>
      <c r="Q5" s="462">
        <f>K5</f>
        <v>46.3</v>
      </c>
      <c r="R5" s="463">
        <f>AW5*AX5*AY5/28316.75*0.0283</f>
        <v>0.0442208768661658</v>
      </c>
      <c r="S5" s="443">
        <f>ROUND(R5*AT5,2)</f>
        <v>0.44</v>
      </c>
      <c r="T5" s="487"/>
      <c r="U5" s="369" t="s">
        <v>63</v>
      </c>
      <c r="V5" s="465" t="s">
        <v>64</v>
      </c>
      <c r="W5" s="444">
        <v>46048</v>
      </c>
      <c r="X5" s="465" t="s">
        <v>65</v>
      </c>
      <c r="Y5" s="444">
        <v>46048</v>
      </c>
      <c r="Z5" s="466">
        <f>AO5</f>
        <v>5</v>
      </c>
      <c r="AA5" s="467">
        <f>K5*Z5</f>
        <v>231.5</v>
      </c>
      <c r="AB5" s="468"/>
      <c r="AC5" s="469"/>
      <c r="AD5" s="470"/>
      <c r="AE5" s="469"/>
      <c r="AF5" s="470"/>
      <c r="AG5" s="471"/>
      <c r="AH5" s="469"/>
      <c r="AI5" s="472"/>
      <c r="AJ5" s="473"/>
      <c r="AK5" s="472"/>
      <c r="AL5" s="436" t="s">
        <v>66</v>
      </c>
      <c r="AM5" s="444">
        <v>46153</v>
      </c>
      <c r="AN5" s="444" t="s">
        <v>67</v>
      </c>
      <c r="AO5" s="466">
        <v>5</v>
      </c>
      <c r="AP5" s="475">
        <f>AO5*K5</f>
        <v>231.5</v>
      </c>
      <c r="AQ5" s="475"/>
      <c r="AR5" s="450" t="s">
        <v>66</v>
      </c>
      <c r="AS5" s="476" t="s">
        <v>68</v>
      </c>
      <c r="AT5" s="477">
        <v>10</v>
      </c>
      <c r="AU5" s="477" t="s">
        <v>73</v>
      </c>
      <c r="AV5" s="477"/>
      <c r="AW5" s="478">
        <v>53</v>
      </c>
      <c r="AX5" s="478">
        <v>28.3</v>
      </c>
      <c r="AY5" s="478">
        <v>29.5</v>
      </c>
      <c r="AZ5" s="479"/>
      <c r="BA5" s="480"/>
      <c r="BB5" s="480">
        <v>5.01</v>
      </c>
      <c r="BC5" s="480">
        <v>0.001431</v>
      </c>
      <c r="BD5" s="480">
        <f>1.3/1000</f>
        <v>0.0013</v>
      </c>
      <c r="BE5" s="480"/>
    </row>
    <row r="6" s="426" customFormat="1" ht="108.75" customHeight="1" spans="1:88">
      <c r="A6" s="362"/>
      <c r="B6" s="362"/>
      <c r="C6" s="362"/>
      <c r="D6" s="436"/>
      <c r="E6" s="436"/>
      <c r="F6" s="436"/>
      <c r="G6" s="455"/>
      <c r="H6" s="436"/>
      <c r="I6" s="362"/>
      <c r="J6" s="482"/>
      <c r="K6" s="483"/>
      <c r="L6" s="484"/>
      <c r="M6" s="436"/>
      <c r="N6" s="485"/>
      <c r="O6" s="486"/>
      <c r="P6" s="483"/>
      <c r="Q6" s="461"/>
      <c r="R6" s="488"/>
      <c r="S6" s="443"/>
      <c r="T6" s="487"/>
      <c r="U6" s="369"/>
      <c r="V6" s="465"/>
      <c r="W6" s="444"/>
      <c r="X6" s="465"/>
      <c r="Y6" s="444"/>
      <c r="Z6" s="466"/>
      <c r="AA6" s="467"/>
      <c r="AB6" s="489"/>
      <c r="AC6" s="469"/>
      <c r="AD6" s="470"/>
      <c r="AE6" s="469"/>
      <c r="AF6" s="470"/>
      <c r="AG6" s="471"/>
      <c r="AH6" s="469"/>
      <c r="AI6" s="472"/>
      <c r="AJ6" s="473"/>
      <c r="AK6" s="472"/>
      <c r="AL6" s="436"/>
      <c r="AM6" s="490"/>
      <c r="AN6" s="490"/>
      <c r="AO6" s="466"/>
      <c r="AP6" s="475"/>
      <c r="AQ6" s="491"/>
      <c r="AR6" s="492"/>
      <c r="AS6" s="493"/>
      <c r="AT6" s="477"/>
      <c r="AU6" s="477"/>
      <c r="AV6" s="477"/>
      <c r="AW6" s="478"/>
      <c r="AX6" s="478"/>
      <c r="AY6" s="478"/>
      <c r="AZ6" s="479"/>
      <c r="BA6" s="480"/>
      <c r="BB6" s="480"/>
      <c r="BC6" s="480"/>
      <c r="BD6" s="480"/>
    </row>
    <row r="7" s="427" customFormat="1" ht="108.75" customHeight="1" spans="1:88">
      <c r="A7" s="362"/>
      <c r="B7" s="362"/>
      <c r="C7" s="362"/>
      <c r="D7" s="436"/>
      <c r="E7" s="436"/>
      <c r="F7" s="362"/>
      <c r="G7" s="362"/>
      <c r="H7" s="436"/>
      <c r="I7" s="436"/>
      <c r="J7" s="436"/>
      <c r="K7" s="494"/>
      <c r="L7" s="495" t="s">
        <v>74</v>
      </c>
      <c r="M7" s="495" t="s">
        <v>75</v>
      </c>
      <c r="N7" s="495" t="s">
        <v>76</v>
      </c>
      <c r="O7" s="496"/>
      <c r="P7" s="497"/>
      <c r="Q7" s="488"/>
      <c r="R7" s="488"/>
      <c r="S7" s="443"/>
      <c r="T7" s="369"/>
      <c r="U7" s="369"/>
      <c r="V7" s="465"/>
      <c r="W7" s="444"/>
      <c r="X7" s="465"/>
      <c r="Y7" s="444"/>
      <c r="Z7" s="466"/>
      <c r="AA7" s="466"/>
      <c r="AB7" s="498"/>
      <c r="AC7" s="499"/>
      <c r="AD7" s="500"/>
      <c r="AE7" s="499"/>
      <c r="AF7" s="500"/>
      <c r="AG7" s="501"/>
      <c r="AH7" s="499"/>
      <c r="AI7" s="502"/>
      <c r="AJ7" s="503"/>
      <c r="AK7" s="502"/>
      <c r="AL7" s="436"/>
      <c r="AM7" s="504"/>
      <c r="AN7" s="505"/>
      <c r="AO7" s="466"/>
      <c r="AP7" s="506"/>
      <c r="AQ7" s="507"/>
      <c r="AR7" s="492"/>
      <c r="AS7" s="493"/>
      <c r="AT7" s="508"/>
      <c r="AU7" s="508"/>
      <c r="AV7" s="508"/>
      <c r="AW7" s="508"/>
      <c r="AX7" s="508"/>
      <c r="AY7" s="508"/>
      <c r="AZ7" s="509"/>
      <c r="BA7" s="509"/>
      <c r="BB7" s="428"/>
      <c r="BC7" s="428"/>
      <c r="BD7" s="428"/>
    </row>
    <row r="8" s="428" customFormat="1" ht="108.75" customHeight="1" spans="1:88">
      <c r="A8"/>
      <c r="B8"/>
      <c r="C8"/>
      <c r="D8"/>
      <c r="E8" s="510"/>
      <c r="F8"/>
      <c r="G8"/>
      <c r="H8"/>
      <c r="I8"/>
      <c r="J8"/>
      <c r="K8"/>
      <c r="L8" s="495" t="s">
        <v>77</v>
      </c>
      <c r="M8" s="433" t="s">
        <v>1</v>
      </c>
      <c r="N8" s="511" t="s">
        <v>78</v>
      </c>
      <c r="O8"/>
      <c r="P8" s="429"/>
      <c r="Q8" s="512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 s="429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</row>
    <row r="9" s="428" customFormat="1" ht="108.75" customHeight="1" spans="1:88">
      <c r="A9"/>
      <c r="B9"/>
      <c r="C9"/>
      <c r="D9"/>
      <c r="E9" s="510"/>
      <c r="F9"/>
      <c r="G9"/>
      <c r="H9"/>
      <c r="I9"/>
      <c r="J9"/>
      <c r="K9"/>
      <c r="L9" s="495" t="s">
        <v>79</v>
      </c>
      <c r="M9" s="433" t="s">
        <v>2</v>
      </c>
      <c r="N9" s="513" t="s">
        <v>80</v>
      </c>
      <c r="O9" s="514"/>
      <c r="P9" s="514"/>
      <c r="Q9" s="514"/>
      <c r="R9" s="514"/>
      <c r="S9" s="514"/>
      <c r="T9" s="515"/>
      <c r="U9" s="515"/>
      <c r="V9" s="515"/>
      <c r="W9" s="515"/>
      <c r="X9" s="515"/>
      <c r="Y9" s="515"/>
      <c r="Z9" s="515"/>
      <c r="AA9" s="514"/>
      <c r="AB9" s="515"/>
      <c r="AC9" s="515"/>
      <c r="AD9" s="515"/>
      <c r="AE9" s="515"/>
      <c r="AF9" s="515"/>
      <c r="AG9" s="515"/>
      <c r="AH9" s="515"/>
      <c r="AI9" s="515"/>
      <c r="AJ9" s="515"/>
      <c r="AK9" s="515"/>
      <c r="AL9" s="515"/>
      <c r="AM9" s="515"/>
      <c r="AN9" s="515"/>
      <c r="AO9" s="515"/>
      <c r="AP9" s="515"/>
      <c r="AQ9" s="515"/>
      <c r="AR9" s="515"/>
      <c r="AS9" s="515"/>
      <c r="AT9" s="514"/>
      <c r="AU9" s="515"/>
      <c r="AV9"/>
      <c r="AW9"/>
      <c r="AX9"/>
      <c r="AY9"/>
      <c r="AZ9"/>
      <c r="BA9"/>
      <c r="BB9" s="515"/>
      <c r="BC9" s="515"/>
      <c r="BD9" s="515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</row>
    <row r="10" s="428" customFormat="1" ht="108.75" customHeight="1" spans="1:88">
      <c r="A10"/>
      <c r="B10"/>
      <c r="C10"/>
      <c r="D10"/>
      <c r="E10" s="510"/>
      <c r="F10"/>
      <c r="G10"/>
      <c r="H10"/>
      <c r="I10"/>
      <c r="J10"/>
      <c r="K10"/>
      <c r="L10" s="495" t="s">
        <v>81</v>
      </c>
      <c r="M10" s="433" t="s">
        <v>3</v>
      </c>
      <c r="N10" s="513" t="s">
        <v>80</v>
      </c>
      <c r="O10" s="514"/>
      <c r="P10" s="514"/>
      <c r="Q10" s="516"/>
      <c r="R10" s="514"/>
      <c r="S10" s="514"/>
      <c r="T10" s="515"/>
      <c r="U10" s="515"/>
      <c r="V10" s="515"/>
      <c r="W10" s="515"/>
      <c r="X10" s="515"/>
      <c r="Y10" s="515"/>
      <c r="Z10" s="515"/>
      <c r="AA10" s="515"/>
      <c r="AB10" s="515"/>
      <c r="AC10" s="515"/>
      <c r="AD10" s="515"/>
      <c r="AE10" s="515"/>
      <c r="AF10" s="515"/>
      <c r="AG10" s="515"/>
      <c r="AH10" s="515"/>
      <c r="AI10" s="515"/>
      <c r="AJ10" s="515"/>
      <c r="AK10" s="515"/>
      <c r="AL10" s="515"/>
      <c r="AM10" s="515"/>
      <c r="AN10" s="515"/>
      <c r="AO10" s="515"/>
      <c r="AP10" s="515"/>
      <c r="AQ10" s="515"/>
      <c r="AR10" s="515"/>
      <c r="AS10" s="515"/>
      <c r="AT10" s="514"/>
      <c r="AU10" s="515"/>
      <c r="AV10"/>
      <c r="AW10"/>
      <c r="AX10"/>
      <c r="AY10"/>
      <c r="AZ10"/>
      <c r="BA10"/>
      <c r="BB10" s="515"/>
      <c r="BC10" s="515"/>
      <c r="BD10" s="515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</row>
    <row r="11" s="428" customFormat="1" ht="108.75" customHeight="1" spans="1:88">
      <c r="A11"/>
      <c r="B11"/>
      <c r="C11"/>
      <c r="D11"/>
      <c r="E11" s="510"/>
      <c r="F11"/>
      <c r="G11"/>
      <c r="H11"/>
      <c r="I11"/>
      <c r="J11"/>
      <c r="K11"/>
      <c r="L11" s="495" t="s">
        <v>82</v>
      </c>
      <c r="M11" s="433" t="s">
        <v>4</v>
      </c>
      <c r="N11" s="511" t="s">
        <v>83</v>
      </c>
      <c r="O11"/>
      <c r="P11"/>
      <c r="Q11" s="512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 s="429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</row>
    <row r="12" s="428" customFormat="1" ht="108.75" customHeight="1" spans="1:88">
      <c r="A12"/>
      <c r="B12"/>
      <c r="C12"/>
      <c r="D12"/>
      <c r="E12" s="510"/>
      <c r="F12"/>
      <c r="G12"/>
      <c r="H12"/>
      <c r="I12"/>
      <c r="J12"/>
      <c r="K12"/>
      <c r="L12" s="495" t="s">
        <v>84</v>
      </c>
      <c r="M12" s="434" t="s">
        <v>5</v>
      </c>
      <c r="N12" s="517" t="s">
        <v>85</v>
      </c>
      <c r="O12"/>
      <c r="P12"/>
      <c r="Q12" s="5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 s="429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</row>
    <row r="13" s="428" customFormat="1" ht="108.75" customHeight="1" spans="1:88">
      <c r="A13"/>
      <c r="B13"/>
      <c r="C13"/>
      <c r="D13"/>
      <c r="E13" s="510"/>
      <c r="F13"/>
      <c r="G13"/>
      <c r="H13"/>
      <c r="I13"/>
      <c r="J13"/>
      <c r="K13"/>
      <c r="L13" s="495" t="s">
        <v>86</v>
      </c>
      <c r="M13" s="433" t="s">
        <v>6</v>
      </c>
      <c r="N13" s="511" t="s">
        <v>87</v>
      </c>
      <c r="O13"/>
      <c r="P13"/>
      <c r="Q13" s="512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 s="429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</row>
    <row r="14" s="428" customFormat="1" ht="108.75" customHeight="1" spans="1:88">
      <c r="A14"/>
      <c r="B14"/>
      <c r="C14"/>
      <c r="D14"/>
      <c r="E14" s="510"/>
      <c r="F14"/>
      <c r="G14"/>
      <c r="H14"/>
      <c r="I14"/>
      <c r="J14"/>
      <c r="K14"/>
      <c r="L14" s="495" t="s">
        <v>88</v>
      </c>
      <c r="M14" s="433" t="s">
        <v>7</v>
      </c>
      <c r="N14" s="511" t="s">
        <v>89</v>
      </c>
      <c r="O14"/>
      <c r="P14"/>
      <c r="Q14" s="512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 s="429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</row>
    <row r="15" s="428" customFormat="1" ht="45" customHeight="1" spans="1:88">
      <c r="A15"/>
      <c r="B15"/>
      <c r="C15"/>
      <c r="D15"/>
      <c r="E15" s="510"/>
      <c r="F15"/>
      <c r="G15"/>
      <c r="H15"/>
      <c r="I15"/>
      <c r="J15"/>
      <c r="K15"/>
      <c r="L15" s="495" t="s">
        <v>90</v>
      </c>
      <c r="M15" s="362" t="s">
        <v>8</v>
      </c>
      <c r="N15" s="511" t="s">
        <v>91</v>
      </c>
      <c r="O15"/>
      <c r="P15"/>
      <c r="Q15" s="512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 s="429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</row>
    <row r="16" s="428" customFormat="1" ht="66" customHeight="1" spans="1:88">
      <c r="A16"/>
      <c r="B16"/>
      <c r="C16"/>
      <c r="D16"/>
      <c r="E16" s="510"/>
      <c r="F16"/>
      <c r="G16"/>
      <c r="H16"/>
      <c r="I16"/>
      <c r="J16"/>
      <c r="K16"/>
      <c r="L16" s="495" t="s">
        <v>92</v>
      </c>
      <c r="M16" s="436" t="s">
        <v>9</v>
      </c>
      <c r="N16" s="511" t="s">
        <v>93</v>
      </c>
      <c r="O16"/>
      <c r="P16"/>
      <c r="Q16" s="512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 s="429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</row>
    <row r="17" s="428" customFormat="1" ht="45" customHeight="1" spans="1:88">
      <c r="A17"/>
      <c r="B17"/>
      <c r="C17"/>
      <c r="D17"/>
      <c r="E17" s="510"/>
      <c r="F17"/>
      <c r="G17"/>
      <c r="H17"/>
      <c r="I17"/>
      <c r="J17"/>
      <c r="K17"/>
      <c r="L17" s="495" t="s">
        <v>94</v>
      </c>
      <c r="M17" s="436" t="s">
        <v>10</v>
      </c>
      <c r="N17" s="517" t="s">
        <v>95</v>
      </c>
      <c r="O17"/>
      <c r="P17"/>
      <c r="Q17" s="512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 s="429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</row>
    <row r="18" s="428" customFormat="1" ht="86" customHeight="1" spans="1:88">
      <c r="A18"/>
      <c r="B18"/>
      <c r="C18"/>
      <c r="D18"/>
      <c r="E18" s="510"/>
      <c r="F18"/>
      <c r="G18"/>
      <c r="H18"/>
      <c r="I18"/>
      <c r="J18"/>
      <c r="K18"/>
      <c r="L18" s="495" t="s">
        <v>96</v>
      </c>
      <c r="M18" s="518" t="s">
        <v>11</v>
      </c>
      <c r="N18" s="511" t="s">
        <v>97</v>
      </c>
      <c r="O18"/>
      <c r="P18"/>
      <c r="Q18" s="512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 s="429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</row>
    <row r="19" s="428" customFormat="1" ht="87" customHeight="1" spans="1:88">
      <c r="A19"/>
      <c r="B19"/>
      <c r="C19"/>
      <c r="D19"/>
      <c r="E19" s="510"/>
      <c r="F19"/>
      <c r="G19"/>
      <c r="H19"/>
      <c r="I19"/>
      <c r="J19"/>
      <c r="K19"/>
      <c r="L19" s="495" t="s">
        <v>98</v>
      </c>
      <c r="M19" s="438" t="s">
        <v>12</v>
      </c>
      <c r="N19" s="511" t="s">
        <v>99</v>
      </c>
      <c r="O19"/>
      <c r="P19"/>
      <c r="Q19" s="512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 s="42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</row>
    <row r="20" customFormat="1" ht="45" customHeight="1" spans="1:88">
      <c r="E20" s="510"/>
      <c r="L20" s="495" t="s">
        <v>100</v>
      </c>
      <c r="M20" s="439" t="s">
        <v>10</v>
      </c>
      <c r="N20" s="511" t="s">
        <v>10</v>
      </c>
      <c r="Q20" s="512"/>
      <c r="AT20" s="429"/>
    </row>
    <row r="21" customFormat="1" ht="45" customHeight="1" spans="1:88">
      <c r="E21" s="510"/>
      <c r="L21" s="495" t="s">
        <v>101</v>
      </c>
      <c r="M21" s="440" t="s">
        <v>13</v>
      </c>
      <c r="N21" s="517" t="s">
        <v>102</v>
      </c>
      <c r="Q21" s="512"/>
      <c r="AT21" s="429"/>
    </row>
    <row r="22" customFormat="1" ht="45" customHeight="1" spans="1:88">
      <c r="E22" s="510"/>
      <c r="L22" s="495" t="s">
        <v>103</v>
      </c>
      <c r="M22" s="440" t="s">
        <v>14</v>
      </c>
      <c r="N22" s="517" t="s">
        <v>102</v>
      </c>
      <c r="Q22" s="512"/>
      <c r="AT22" s="429"/>
    </row>
    <row r="23" customFormat="1" ht="92" customHeight="1" spans="1:88">
      <c r="E23" s="510"/>
      <c r="L23" s="495" t="s">
        <v>104</v>
      </c>
      <c r="M23" s="441" t="s">
        <v>15</v>
      </c>
      <c r="N23" s="511" t="s">
        <v>105</v>
      </c>
      <c r="Q23" s="512"/>
      <c r="AT23" s="429"/>
    </row>
    <row r="24" customFormat="1" ht="90" customHeight="1" spans="1:88">
      <c r="E24" s="510"/>
      <c r="L24" s="495" t="s">
        <v>106</v>
      </c>
      <c r="M24" s="441" t="s">
        <v>16</v>
      </c>
      <c r="N24" s="511" t="s">
        <v>107</v>
      </c>
      <c r="Q24" s="512"/>
      <c r="AT24" s="429"/>
    </row>
    <row r="25" customFormat="1" ht="45" customHeight="1" spans="1:88">
      <c r="E25" s="510"/>
      <c r="L25" s="495" t="s">
        <v>108</v>
      </c>
      <c r="M25" s="442" t="s">
        <v>17</v>
      </c>
      <c r="N25" s="511" t="s">
        <v>109</v>
      </c>
      <c r="Q25" s="512"/>
      <c r="AT25" s="429"/>
    </row>
    <row r="26" customFormat="1" ht="45" customHeight="1" spans="1:88">
      <c r="E26" s="510"/>
      <c r="L26" s="495" t="s">
        <v>110</v>
      </c>
      <c r="M26" s="443" t="s">
        <v>18</v>
      </c>
      <c r="N26" s="511" t="s">
        <v>111</v>
      </c>
      <c r="Q26" s="512"/>
      <c r="AT26" s="429"/>
    </row>
    <row r="27" customFormat="1" ht="45" customHeight="1" spans="1:88">
      <c r="E27" s="510"/>
      <c r="L27" s="495" t="s">
        <v>112</v>
      </c>
      <c r="M27" s="362" t="s">
        <v>19</v>
      </c>
      <c r="N27" s="517" t="s">
        <v>113</v>
      </c>
      <c r="Q27" s="512"/>
      <c r="AT27" s="429"/>
    </row>
    <row r="28" customFormat="1" ht="45" customHeight="1" spans="1:88">
      <c r="E28" s="510"/>
      <c r="L28" s="495" t="s">
        <v>114</v>
      </c>
      <c r="M28" s="362" t="s">
        <v>20</v>
      </c>
      <c r="N28" s="511" t="s">
        <v>115</v>
      </c>
      <c r="Q28" s="512"/>
      <c r="AT28" s="429"/>
    </row>
    <row r="29" customFormat="1" ht="45" customHeight="1" spans="1:88">
      <c r="E29" s="510"/>
      <c r="L29" s="495" t="s">
        <v>116</v>
      </c>
      <c r="M29" s="362" t="s">
        <v>21</v>
      </c>
      <c r="N29" s="517" t="s">
        <v>102</v>
      </c>
      <c r="Q29" s="512"/>
      <c r="AT29" s="429"/>
    </row>
    <row r="30" customFormat="1" ht="45" customHeight="1" spans="1:88">
      <c r="E30" s="510"/>
      <c r="L30" s="495" t="s">
        <v>117</v>
      </c>
      <c r="M30" s="444" t="s">
        <v>22</v>
      </c>
      <c r="N30" s="517" t="s">
        <v>102</v>
      </c>
      <c r="Q30" s="512"/>
      <c r="AT30" s="429"/>
    </row>
    <row r="31" customFormat="1" ht="45" customHeight="1" spans="1:88">
      <c r="E31" s="510"/>
      <c r="L31" s="495" t="s">
        <v>118</v>
      </c>
      <c r="M31" s="362" t="s">
        <v>23</v>
      </c>
      <c r="N31" s="517" t="s">
        <v>102</v>
      </c>
      <c r="Q31" s="512"/>
      <c r="AT31" s="429"/>
    </row>
    <row r="32" customFormat="1" ht="45" customHeight="1" spans="1:88">
      <c r="E32" s="510"/>
      <c r="L32" s="495" t="s">
        <v>119</v>
      </c>
      <c r="M32" s="444" t="s">
        <v>24</v>
      </c>
      <c r="N32" s="517" t="s">
        <v>102</v>
      </c>
      <c r="Q32" s="512"/>
      <c r="AT32" s="429"/>
    </row>
    <row r="33" ht="45" customHeight="1" spans="12:14">
      <c r="L33" s="495" t="s">
        <v>120</v>
      </c>
      <c r="M33" s="440" t="s">
        <v>25</v>
      </c>
      <c r="N33" s="517" t="s">
        <v>102</v>
      </c>
    </row>
    <row r="34" ht="45" customHeight="1" spans="12:14">
      <c r="L34" s="495" t="s">
        <v>121</v>
      </c>
      <c r="M34" s="445" t="s">
        <v>26</v>
      </c>
      <c r="N34" s="517" t="s">
        <v>102</v>
      </c>
    </row>
    <row r="35" ht="45" customHeight="1" spans="12:14">
      <c r="L35" s="495" t="s">
        <v>122</v>
      </c>
      <c r="M35" s="440" t="s">
        <v>27</v>
      </c>
      <c r="N35" s="517" t="s">
        <v>102</v>
      </c>
    </row>
    <row r="36" ht="45" customHeight="1" spans="12:14">
      <c r="L36" s="495" t="s">
        <v>123</v>
      </c>
      <c r="M36" s="446" t="s">
        <v>28</v>
      </c>
      <c r="N36" s="517" t="s">
        <v>102</v>
      </c>
    </row>
    <row r="37" ht="45" customHeight="1" spans="12:14">
      <c r="L37" s="495" t="s">
        <v>124</v>
      </c>
      <c r="M37" s="446" t="s">
        <v>29</v>
      </c>
      <c r="N37" s="517" t="s">
        <v>102</v>
      </c>
    </row>
    <row r="38" ht="45" customHeight="1" spans="12:14">
      <c r="L38" s="495" t="s">
        <v>125</v>
      </c>
      <c r="M38" s="446" t="s">
        <v>30</v>
      </c>
      <c r="N38" s="517" t="s">
        <v>102</v>
      </c>
    </row>
    <row r="39" ht="45" customHeight="1" spans="12:14">
      <c r="L39" s="495" t="s">
        <v>126</v>
      </c>
      <c r="M39" s="446" t="s">
        <v>31</v>
      </c>
      <c r="N39" s="517" t="s">
        <v>102</v>
      </c>
    </row>
    <row r="40" ht="45" customHeight="1" spans="12:14">
      <c r="L40" s="495" t="s">
        <v>127</v>
      </c>
      <c r="M40" s="446" t="s">
        <v>32</v>
      </c>
      <c r="N40" s="517" t="s">
        <v>102</v>
      </c>
    </row>
    <row r="41" ht="45" customHeight="1" spans="12:14">
      <c r="L41" s="495" t="s">
        <v>128</v>
      </c>
      <c r="M41" s="447" t="s">
        <v>33</v>
      </c>
      <c r="N41" s="517" t="s">
        <v>102</v>
      </c>
    </row>
    <row r="42" ht="45" customHeight="1" spans="12:14">
      <c r="L42" s="495" t="s">
        <v>129</v>
      </c>
      <c r="M42" s="446" t="s">
        <v>34</v>
      </c>
      <c r="N42" s="517" t="s">
        <v>102</v>
      </c>
    </row>
    <row r="43" ht="68" customHeight="1" spans="12:14">
      <c r="L43" s="495" t="s">
        <v>130</v>
      </c>
      <c r="M43" s="446" t="s">
        <v>35</v>
      </c>
      <c r="N43" s="517" t="s">
        <v>102</v>
      </c>
    </row>
    <row r="44" ht="45" customHeight="1" spans="12:14">
      <c r="L44" s="495" t="s">
        <v>131</v>
      </c>
      <c r="M44" s="446" t="s">
        <v>36</v>
      </c>
      <c r="N44" s="517" t="s">
        <v>102</v>
      </c>
    </row>
    <row r="45" ht="45" customHeight="1" spans="12:14">
      <c r="L45" s="495" t="s">
        <v>132</v>
      </c>
      <c r="M45" s="362" t="s">
        <v>37</v>
      </c>
      <c r="N45" s="517" t="s">
        <v>133</v>
      </c>
    </row>
    <row r="46" ht="45" customHeight="1" spans="12:14">
      <c r="L46" s="495" t="s">
        <v>134</v>
      </c>
      <c r="M46" s="444" t="s">
        <v>38</v>
      </c>
      <c r="N46" s="517" t="s">
        <v>135</v>
      </c>
    </row>
    <row r="47" ht="45" customHeight="1" spans="12:14">
      <c r="L47" s="495" t="s">
        <v>136</v>
      </c>
      <c r="M47" s="449" t="s">
        <v>39</v>
      </c>
      <c r="N47" s="517" t="s">
        <v>137</v>
      </c>
    </row>
    <row r="48" ht="45" customHeight="1" spans="12:14">
      <c r="L48" s="495" t="s">
        <v>138</v>
      </c>
      <c r="M48" s="440" t="s">
        <v>40</v>
      </c>
      <c r="N48" s="511" t="s">
        <v>139</v>
      </c>
    </row>
    <row r="49" ht="45" customHeight="1" spans="12:14">
      <c r="L49" s="495" t="s">
        <v>140</v>
      </c>
      <c r="M49" s="440" t="s">
        <v>14</v>
      </c>
      <c r="N49" s="511" t="s">
        <v>141</v>
      </c>
    </row>
    <row r="50" ht="45" customHeight="1" spans="12:14">
      <c r="L50" s="495" t="s">
        <v>142</v>
      </c>
      <c r="M50" s="440" t="s">
        <v>41</v>
      </c>
      <c r="N50" s="511" t="s">
        <v>143</v>
      </c>
    </row>
    <row r="51" ht="110" customHeight="1" spans="12:14">
      <c r="L51" s="495" t="s">
        <v>144</v>
      </c>
      <c r="M51" s="450" t="s">
        <v>42</v>
      </c>
      <c r="N51" s="511" t="s">
        <v>145</v>
      </c>
    </row>
    <row r="52" ht="68" customHeight="1" spans="12:14">
      <c r="L52" s="495" t="s">
        <v>146</v>
      </c>
      <c r="M52" s="451" t="s">
        <v>43</v>
      </c>
      <c r="N52" s="511" t="s">
        <v>147</v>
      </c>
    </row>
    <row r="53" ht="45" customHeight="1" spans="12:14">
      <c r="L53" s="495" t="s">
        <v>148</v>
      </c>
      <c r="M53" s="452" t="s">
        <v>44</v>
      </c>
      <c r="N53" s="511" t="s">
        <v>149</v>
      </c>
    </row>
    <row r="54" ht="45" customHeight="1" spans="12:14">
      <c r="L54" s="495" t="s">
        <v>150</v>
      </c>
      <c r="M54" s="452" t="s">
        <v>45</v>
      </c>
      <c r="N54" s="517" t="s">
        <v>151</v>
      </c>
    </row>
    <row r="55" ht="45" customHeight="1" spans="12:14">
      <c r="L55" s="495" t="s">
        <v>152</v>
      </c>
      <c r="M55" s="452" t="s">
        <v>46</v>
      </c>
      <c r="N55" s="511" t="s">
        <v>153</v>
      </c>
    </row>
    <row r="56" ht="45" customHeight="1" spans="12:14">
      <c r="L56" s="495" t="s">
        <v>154</v>
      </c>
      <c r="M56" s="453" t="s">
        <v>47</v>
      </c>
      <c r="N56" s="517" t="s">
        <v>155</v>
      </c>
    </row>
    <row r="57" ht="45" customHeight="1" spans="12:14">
      <c r="L57" s="495" t="s">
        <v>156</v>
      </c>
      <c r="M57" s="453" t="s">
        <v>48</v>
      </c>
      <c r="N57" s="517" t="s">
        <v>157</v>
      </c>
    </row>
    <row r="58" ht="45" customHeight="1" spans="12:14">
      <c r="L58" s="495" t="s">
        <v>158</v>
      </c>
      <c r="M58" s="453" t="s">
        <v>49</v>
      </c>
      <c r="N58" s="517" t="s">
        <v>159</v>
      </c>
    </row>
    <row r="59" ht="45" customHeight="1" spans="12:14">
      <c r="L59" s="495" t="s">
        <v>160</v>
      </c>
      <c r="M59" s="442" t="s">
        <v>50</v>
      </c>
      <c r="N59" s="517" t="s">
        <v>161</v>
      </c>
    </row>
    <row r="60" ht="45" customHeight="1" spans="12:14">
      <c r="L60" s="495" t="s">
        <v>162</v>
      </c>
      <c r="M60" s="442" t="s">
        <v>51</v>
      </c>
      <c r="N60" s="511" t="s">
        <v>163</v>
      </c>
    </row>
    <row r="61" ht="45" customHeight="1" spans="12:14">
      <c r="L61" s="495" t="s">
        <v>164</v>
      </c>
      <c r="M61" s="453" t="s">
        <v>52</v>
      </c>
      <c r="N61" s="517" t="s">
        <v>165</v>
      </c>
    </row>
    <row r="62" ht="45" customHeight="1" spans="12:14">
      <c r="L62" s="495" t="s">
        <v>166</v>
      </c>
      <c r="M62" s="453" t="s">
        <v>53</v>
      </c>
      <c r="N62" s="511" t="s">
        <v>167</v>
      </c>
    </row>
    <row r="63" ht="45" customHeight="1" spans="12:14">
      <c r="L63" s="495" t="s">
        <v>168</v>
      </c>
      <c r="M63" s="441" t="s">
        <v>54</v>
      </c>
      <c r="N63" s="511" t="s">
        <v>169</v>
      </c>
    </row>
    <row r="64" ht="45" customHeight="1" spans="12:14">
      <c r="L64" s="495" t="s">
        <v>170</v>
      </c>
      <c r="M64" s="517" t="s">
        <v>55</v>
      </c>
      <c r="N64" s="511" t="s">
        <v>171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3:CJ64" etc:filterBottomFollowUsedRange="0">
    <extLst/>
  </autoFilter>
  <dataValidations count="2">
    <dataValidation type="list" allowBlank="1" showInputMessage="1" showErrorMessage="1" sqref="I3 M16 I10:I1048576">
      <formula1>类别金额!$B$4:$B$39</formula1>
    </dataValidation>
    <dataValidation type="list" allowBlank="1" showInputMessage="1" showErrorMessage="1" sqref="I8:I9">
      <formula1>类别金额!$B$4:$B$26</formula1>
    </dataValidation>
  </dataValidations>
  <pageMargins left="1.18055555555556" right="0.75" top="0.236111111111111" bottom="1" header="0.236111111111111" footer="0.5"/>
  <pageSetup paperSize="1" scale="40" orientation="landscape"/>
  <headerFooter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3" sqref="A3"/>
    </sheetView>
  </sheetViews>
  <sheetFormatPr defaultColWidth="8.89166666666667" defaultRowHeight="13.5" outlineLevelCol="1"/>
  <cols>
    <col min="1" max="2" width="13.4416666666667" customWidth="1"/>
  </cols>
  <sheetData>
    <row r="1" spans="1:2">
      <c r="A1" s="1" t="s">
        <v>195</v>
      </c>
      <c r="B1" s="1" t="s">
        <v>196</v>
      </c>
    </row>
    <row r="2" spans="1:2">
      <c r="A2" s="1" t="s">
        <v>60</v>
      </c>
      <c r="B2" s="1" t="s">
        <v>197</v>
      </c>
    </row>
    <row r="3" spans="1:2">
      <c r="A3" s="1" t="s">
        <v>198</v>
      </c>
      <c r="B3" s="1" t="s">
        <v>199</v>
      </c>
    </row>
    <row r="4" spans="1:2">
      <c r="A4" s="1" t="s">
        <v>200</v>
      </c>
      <c r="B4" s="1" t="s">
        <v>201</v>
      </c>
    </row>
    <row r="5" spans="1:2">
      <c r="A5" s="1" t="s">
        <v>202</v>
      </c>
      <c r="B5" s="1" t="s">
        <v>203</v>
      </c>
    </row>
    <row r="6" spans="1:2">
      <c r="A6" s="1" t="s">
        <v>204</v>
      </c>
      <c r="B6" s="1" t="s">
        <v>205</v>
      </c>
    </row>
    <row r="7" spans="1:2">
      <c r="A7" s="1" t="s">
        <v>206</v>
      </c>
      <c r="B7" s="1" t="s">
        <v>207</v>
      </c>
    </row>
    <row r="8" spans="1:2">
      <c r="A8" s="1" t="s">
        <v>208</v>
      </c>
      <c r="B8" s="1" t="s">
        <v>209</v>
      </c>
    </row>
    <row r="9" spans="1:2">
      <c r="A9" s="1" t="s">
        <v>210</v>
      </c>
      <c r="B9" s="1" t="s">
        <v>211</v>
      </c>
    </row>
    <row r="10" spans="1:2">
      <c r="A10" s="1" t="s">
        <v>212</v>
      </c>
      <c r="B10" s="1" t="s">
        <v>213</v>
      </c>
    </row>
    <row r="11" spans="1:2">
      <c r="A11" s="1" t="s">
        <v>214</v>
      </c>
      <c r="B11" s="1" t="s">
        <v>215</v>
      </c>
    </row>
    <row r="12" spans="1:2">
      <c r="A12" s="1" t="s">
        <v>216</v>
      </c>
      <c r="B12" s="1" t="s">
        <v>217</v>
      </c>
    </row>
    <row r="13" spans="1:2">
      <c r="A13" s="1" t="s">
        <v>218</v>
      </c>
      <c r="B13" s="1" t="s">
        <v>219</v>
      </c>
    </row>
    <row r="14" spans="1:2">
      <c r="A14" s="1" t="s">
        <v>220</v>
      </c>
      <c r="B14" s="1" t="s">
        <v>221</v>
      </c>
    </row>
    <row r="15" spans="1:2">
      <c r="A15" s="1" t="s">
        <v>222</v>
      </c>
      <c r="B15" s="1" t="s">
        <v>223</v>
      </c>
    </row>
    <row r="16" spans="1:2">
      <c r="A16" s="1" t="s">
        <v>224</v>
      </c>
      <c r="B16" s="1" t="s">
        <v>225</v>
      </c>
    </row>
    <row r="17" spans="1:2">
      <c r="A17" s="1" t="s">
        <v>226</v>
      </c>
      <c r="B17" s="1" t="s">
        <v>227</v>
      </c>
    </row>
    <row r="18" spans="1:2">
      <c r="A18" s="1" t="s">
        <v>228</v>
      </c>
      <c r="B18" s="1" t="s">
        <v>229</v>
      </c>
    </row>
  </sheetData>
  <pageMargins left="0.75" right="0.75" top="1" bottom="1" header="0.5" footer="0.5"/>
  <pageSetup paperSize="9" orientation="portrait"/>
  <headerFooter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伍健梅</cp:lastModifiedBy>
  <dcterms:created xsi:type="dcterms:W3CDTF">2018-06-16T00:28:00Z</dcterms:created>
  <dcterms:modified xsi:type="dcterms:W3CDTF">2026-08-03T06:15:35Z</dcterms:modified>
</cp:coreProperties>
</file>