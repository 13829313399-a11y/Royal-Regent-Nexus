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66bc35a61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导入" sheetId="1" r:id="Rdff9845a52f2429c"/>
    <x:sheet xmlns:r="http://schemas.openxmlformats.org/officeDocument/2006/relationships" name="填写说明" sheetId="2" r:id="R9e1bb7092b464cb8"/>
    <x:sheet xmlns:r="http://schemas.openxmlformats.org/officeDocument/2006/relationships" name="字段说明" sheetId="3" r:id="Reefa7381d5774460"/>
    <x:sheet xmlns:r="http://schemas.openxmlformats.org/officeDocument/2006/relationships" name="填写示例" sheetId="4" r:id="Rd65b63a071104312"/>
    <x:sheet xmlns:r="http://schemas.openxmlformats.org/officeDocument/2006/relationships" name="枚举字典" sheetId="5" r:id="R91af75c79728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.###"/>
    <x:numFmt numFmtId="203" formatCode="yyyy-mm-dd hh:mm"/>
  </x:numFmts>
  <x:fonts count="23">
    <x:font>
      <x:sz val="11"/>
      <x:name val="Carlito"/>
    </x:font>
    <x:font>
      <x:b/>
      <x:sz val="18"/>
      <x:color rgb="FFFFFFFF"/>
      <x:name val="Carlito"/>
    </x:font>
    <x:font>
      <x:sz val="10"/>
      <x:color rgb="FF17324D"/>
      <x:name val="Carlito"/>
    </x:font>
    <x:font>
      <x:b/>
      <x:sz val="10"/>
      <x:color rgb="FF115E59"/>
      <x:name val="Carlito"/>
    </x:font>
    <x:font>
      <x:b/>
      <x:sz val="10"/>
      <x:color rgb="FF92400E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b/>
      <x:sz val="15"/>
      <x:color rgb="FF92400E"/>
      <x:name val="Carlito"/>
    </x:font>
    <x:font>
      <x:b/>
      <x:sz val="15"/>
      <x:color rgb="FF6D28D9"/>
      <x:name val="Carlito"/>
    </x:font>
    <x:font>
      <x:b/>
      <x:sz val="15"/>
      <x:color rgb="FF1D4ED8"/>
      <x:name val="Carlito"/>
    </x:font>
    <x:font>
      <x:b/>
      <x:sz val="15"/>
      <x:color rgb="FF4B5563"/>
      <x:name val="Carlito"/>
    </x:font>
    <x:font>
      <x:b/>
      <x:sz val="12"/>
      <x:color rgb="FFFFFFFF"/>
      <x:name val="Carlito"/>
    </x:font>
    <x:font>
      <x:b/>
      <x:sz val="10"/>
      <x:color rgb="FF17324D"/>
      <x:name val="Carlito"/>
    </x:font>
    <x:font>
      <x:b/>
      <x:sz val="10"/>
      <x:color rgb="FF1D4ED8"/>
      <x:name val="Carlito"/>
    </x:font>
    <x:font>
      <x:b/>
      <x:sz val="10"/>
      <x:color rgb="FFB91C1C"/>
      <x:name val="Carlito"/>
    </x:font>
    <x:font>
      <x:b/>
      <x:sz val="10"/>
      <x:color rgb="FF166534"/>
      <x:name val="Carlito"/>
    </x:font>
    <x:font>
      <x:b/>
      <x:sz val="11"/>
      <x:color rgb="FF92400E"/>
      <x:name val="Carlito"/>
    </x:font>
    <x:font>
      <x:b/>
      <x:sz val="17"/>
      <x:color rgb="FFFFFFFF"/>
      <x:name val="Carlito"/>
    </x:font>
    <x:font>
      <x:sz val="9"/>
      <x:color rgb="FF111827"/>
      <x:name val="Carlito"/>
    </x:font>
    <x:font>
      <x:b/>
      <x:sz val="9"/>
      <x:color rgb="FF4B5563"/>
      <x:name val="Carlito"/>
    </x:font>
    <x:font>
      <x:b/>
      <x:sz val="9"/>
      <x:color rgb="FF92400E"/>
      <x:name val="Carlito"/>
    </x:font>
    <x:font>
      <x:b/>
      <x:sz val="9"/>
      <x:color rgb="FF1D4ED8"/>
      <x:name val="Carlito"/>
    </x:font>
    <x:font>
      <x:b/>
      <x:sz val="9"/>
      <x:color rgb="FF6D28D9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EF3C7"/>
      </x:patternFill>
    </x:fill>
    <x:fill>
      <x:patternFill patternType="solid">
        <x:fgColor rgb="FFECFDF5"/>
      </x:patternFill>
    </x:fill>
    <x:fill>
      <x:patternFill patternType="solid">
        <x:fgColor rgb="FF0F766E"/>
      </x:patternFill>
    </x:fill>
    <x:fill>
      <x:patternFill patternType="solid">
        <x:fgColor rgb="FFD97706"/>
      </x:patternFill>
    </x:fill>
    <x:fill>
      <x:patternFill patternType="solid">
        <x:fgColor rgb="FF7C3AED"/>
      </x:patternFill>
    </x:fill>
    <x:fill>
      <x:patternFill patternType="solid">
        <x:fgColor rgb="FF2563EB"/>
      </x:patternFill>
    </x:fill>
    <x:fill>
      <x:patternFill patternType="solid">
        <x:fgColor rgb="FF64748B"/>
      </x:patternFill>
    </x:fill>
    <x:fill>
      <x:patternFill patternType="solid">
        <x:fgColor rgb="FFB45309"/>
      </x:patternFill>
    </x:fill>
    <x:fill>
      <x:patternFill patternType="solid">
        <x:fgColor rgb="FF6D28D9"/>
      </x:patternFill>
    </x:fill>
    <x:fill>
      <x:patternFill patternType="solid">
        <x:fgColor rgb="FF1D4ED8"/>
      </x:patternFill>
    </x:fill>
    <x:fill>
      <x:patternFill patternType="solid">
        <x:fgColor rgb="FF475569"/>
      </x:patternFill>
    </x:fill>
    <x:fill>
      <x:patternFill patternType="solid">
        <x:fgColor rgb="FFF3F4F6"/>
      </x:patternFill>
    </x:fill>
    <x:fill>
      <x:patternFill patternType="solid">
        <x:fgColor rgb="FFFFF7D6"/>
      </x:patternFill>
    </x:fill>
    <x:fill>
      <x:patternFill patternType="solid">
        <x:fgColor rgb="FFF7F3FF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EDE9FE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FFF7ED"/>
      </x:patternFill>
    </x:fill>
    <x:fill>
      <x:patternFill patternType="solid">
        <x:fgColor rgb="FFF0FDFA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</x:fills>
  <x:borders count="52">
    <x:border/>
    <x:border/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A7D7C5"/>
      </x:left>
      <x:top style="thin">
        <x:color rgb="FFA7D7C5"/>
      </x:top>
      <x:bottom style="thin">
        <x:color rgb="FFA7D7C5"/>
      </x:bottom>
    </x:border>
    <x:border>
      <x:top style="thin">
        <x:color rgb="FFA7D7C5"/>
      </x:top>
      <x:bottom style="thin">
        <x:color rgb="FFA7D7C5"/>
      </x:bottom>
    </x:border>
    <x:border>
      <x:right style="thin">
        <x:color rgb="FFA7D7C5"/>
      </x:right>
      <x:top style="thin">
        <x:color rgb="FFA7D7C5"/>
      </x:top>
      <x:bottom style="thin">
        <x:color rgb="FFA7D7C5"/>
      </x:bottom>
    </x:border>
    <x:border>
      <x:left style="thin">
        <x:color rgb="FFA7D7C5"/>
      </x:left>
      <x:top style="thin">
        <x:color rgb="FFA7D7C5"/>
      </x:top>
      <x:bottom style="thin">
        <x:color rgb="FFA7D7C5"/>
      </x:bottom>
    </x:border>
    <x:border>
      <x:top style="thin">
        <x:color rgb="FFA7D7C5"/>
      </x:top>
      <x:bottom style="thin">
        <x:color rgb="FFA7D7C5"/>
      </x:bottom>
    </x:border>
    <x:border>
      <x:right style="thin">
        <x:color rgb="FFA7D7C5"/>
      </x:right>
      <x:top style="thin">
        <x:color rgb="FFA7D7C5"/>
      </x:top>
      <x:bottom style="thin">
        <x:color rgb="FFA7D7C5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6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horizontal="left" wrapText="1"/>
    </x:xf>
    <x:xf numFmtId="0" fontId="3" fillId="5" borderId="5" xfId="0" applyNumberFormat="1" applyFont="1" applyFill="1" applyBorder="1" applyAlignment="1">
      <x:alignment horizontal="left" wrapText="1"/>
    </x:xf>
    <x:xf numFmtId="0" fontId="3" fillId="5" borderId="6" xfId="0" applyNumberFormat="1" applyFont="1" applyFill="1" applyBorder="1" applyAlignment="1">
      <x:alignment horizontal="left" wrapText="1"/>
    </x:xf>
    <x:xf numFmtId="0" fontId="3" fillId="5" borderId="4" xfId="0" applyNumberFormat="1" applyFont="1" applyFill="1" applyBorder="1" applyAlignment="1">
      <x:alignment horizontal="left" vertical="center" wrapText="1"/>
    </x:xf>
    <x:xf numFmtId="0" fontId="3" fillId="5" borderId="5" xfId="0" applyNumberFormat="1" applyFont="1" applyFill="1" applyBorder="1" applyAlignment="1">
      <x:alignment horizontal="left" vertical="center" wrapText="1"/>
    </x:xf>
    <x:xf numFmtId="0" fontId="3" fillId="5" borderId="6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horizontal="left" wrapText="1"/>
    </x:xf>
    <x:xf numFmtId="0" fontId="3" fillId="5" borderId="8" xfId="0" applyNumberFormat="1" applyFont="1" applyFill="1" applyBorder="1" applyAlignment="1">
      <x:alignment horizontal="left" wrapText="1"/>
    </x:xf>
    <x:xf numFmtId="0" fontId="3" fillId="5" borderId="9" xfId="0" applyNumberFormat="1" applyFont="1" applyFill="1" applyBorder="1" applyAlignment="1">
      <x:alignment horizontal="left" wrapText="1"/>
    </x:xf>
    <x:xf numFmtId="0" fontId="3" fillId="5" borderId="7" xfId="0" applyNumberFormat="1" applyFont="1" applyFill="1" applyBorder="1" applyAlignment="1">
      <x:alignment horizontal="left" vertical="center" wrapText="1"/>
    </x:xf>
    <x:xf numFmtId="0" fontId="3" fillId="5" borderId="8" xfId="0" applyNumberFormat="1" applyFont="1" applyFill="1" applyBorder="1" applyAlignment="1">
      <x:alignment horizontal="left" vertical="center" wrapText="1"/>
    </x:xf>
    <x:xf numFmtId="0" fontId="3" fillId="5" borderId="9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0" xfId="0" applyNumberFormat="1" applyFont="1" applyFill="1" applyBorder="1" applyAlignment="1">
      <x:alignment horizontal="center"/>
    </x:xf>
    <x:xf numFmtId="0" fontId="5" fillId="6" borderId="11" xfId="0" applyNumberFormat="1" applyFont="1" applyFill="1" applyBorder="1" applyAlignment="1">
      <x:alignment horizontal="center"/>
    </x:xf>
    <x:xf numFmtId="0" fontId="5" fillId="6" borderId="12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5" fillId="6" borderId="11" xfId="0" applyNumberFormat="1" applyFont="1" applyFill="1" applyBorder="1" applyAlignment="1">
      <x:alignment horizontal="center" vertical="center"/>
    </x:xf>
    <x:xf numFmtId="0" fontId="5" fillId="6" borderId="12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horizontal="center"/>
    </x:xf>
    <x:xf numFmtId="0" fontId="5" fillId="6" borderId="14" xfId="0" applyNumberFormat="1" applyFont="1" applyFill="1" applyBorder="1" applyAlignment="1">
      <x:alignment horizontal="center"/>
    </x:xf>
    <x:xf numFmtId="0" fontId="5" fillId="6" borderId="15" xfId="0" applyNumberFormat="1" applyFont="1" applyFill="1" applyBorder="1" applyAlignment="1">
      <x:alignment horizontal="center"/>
    </x:xf>
    <x:xf numFmtId="0" fontId="5" fillId="6" borderId="13" xfId="0" applyNumberFormat="1" applyFont="1" applyFill="1" applyBorder="1" applyAlignment="1">
      <x:alignment horizontal="center" vertical="center"/>
    </x:xf>
    <x:xf numFmtId="0" fontId="5" fillId="6" borderId="14" xfId="0" applyNumberFormat="1" applyFont="1" applyFill="1" applyBorder="1" applyAlignment="1">
      <x:alignment horizontal="center" vertical="center"/>
    </x:xf>
    <x:xf numFmtId="0" fontId="5" fillId="6" borderId="1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0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0" xfId="0" applyNumberFormat="1" applyFont="1" applyFill="1" applyBorder="1" applyAlignment="1">
      <x:alignment horizontal="center"/>
    </x:xf>
    <x:xf numFmtId="0" fontId="5" fillId="7" borderId="11" xfId="0" applyNumberFormat="1" applyFont="1" applyFill="1" applyBorder="1" applyAlignment="1">
      <x:alignment horizontal="center"/>
    </x:xf>
    <x:xf numFmtId="0" fontId="5" fillId="7" borderId="12" xfId="0" applyNumberFormat="1" applyFont="1" applyFill="1" applyBorder="1" applyAlignment="1">
      <x:alignment horizontal="center"/>
    </x:xf>
    <x:xf numFmtId="0" fontId="5" fillId="7" borderId="10" xfId="0" applyNumberFormat="1" applyFont="1" applyFill="1" applyBorder="1" applyAlignment="1">
      <x:alignment horizontal="center" vertical="center"/>
    </x:xf>
    <x:xf numFmtId="0" fontId="5" fillId="7" borderId="11" xfId="0" applyNumberFormat="1" applyFont="1" applyFill="1" applyBorder="1" applyAlignment="1">
      <x:alignment horizontal="center" vertical="center"/>
    </x:xf>
    <x:xf numFmtId="0" fontId="5" fillId="7" borderId="12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13" xfId="0" applyNumberFormat="1" applyFont="1" applyFill="1" applyBorder="1" applyAlignment="1">
      <x:alignment horizontal="center"/>
    </x:xf>
    <x:xf numFmtId="0" fontId="5" fillId="7" borderId="14" xfId="0" applyNumberFormat="1" applyFont="1" applyFill="1" applyBorder="1" applyAlignment="1">
      <x:alignment horizontal="center"/>
    </x:xf>
    <x:xf numFmtId="0" fontId="5" fillId="7" borderId="15" xfId="0" applyNumberFormat="1" applyFont="1" applyFill="1" applyBorder="1" applyAlignment="1">
      <x:alignment horizontal="center"/>
    </x:xf>
    <x:xf numFmtId="0" fontId="5" fillId="7" borderId="13" xfId="0" applyNumberFormat="1" applyFont="1" applyFill="1" applyBorder="1" applyAlignment="1">
      <x:alignment horizontal="center" vertical="center"/>
    </x:xf>
    <x:xf numFmtId="0" fontId="5" fillId="7" borderId="14" xfId="0" applyNumberFormat="1" applyFont="1" applyFill="1" applyBorder="1" applyAlignment="1">
      <x:alignment horizontal="center" vertical="center"/>
    </x:xf>
    <x:xf numFmtId="0" fontId="5" fillId="7" borderId="1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0" xfId="0" applyNumberFormat="1" applyFont="1" applyFill="1" applyBorder="1"/>
    <x:xf numFmtId="0" fontId="5" fillId="8" borderId="11" xfId="0" applyNumberFormat="1" applyFont="1" applyFill="1" applyBorder="1"/>
    <x:xf numFmtId="0" fontId="5" fillId="8" borderId="12" xfId="0" applyNumberFormat="1" applyFont="1" applyFill="1" applyBorder="1"/>
    <x:xf numFmtId="0" fontId="5" fillId="8" borderId="10" xfId="0" applyNumberFormat="1" applyFont="1" applyFill="1" applyBorder="1" applyAlignment="1">
      <x:alignment horizontal="center"/>
    </x:xf>
    <x:xf numFmtId="0" fontId="5" fillId="8" borderId="11" xfId="0" applyNumberFormat="1" applyFont="1" applyFill="1" applyBorder="1" applyAlignment="1">
      <x:alignment horizontal="center"/>
    </x:xf>
    <x:xf numFmtId="0" fontId="5" fillId="8" borderId="12" xfId="0" applyNumberFormat="1" applyFont="1" applyFill="1" applyBorder="1" applyAlignment="1">
      <x:alignment horizontal="center"/>
    </x:xf>
    <x:xf numFmtId="0" fontId="5" fillId="8" borderId="10" xfId="0" applyNumberFormat="1" applyFont="1" applyFill="1" applyBorder="1" applyAlignment="1">
      <x:alignment horizontal="center" vertical="center"/>
    </x:xf>
    <x:xf numFmtId="0" fontId="5" fillId="8" borderId="11" xfId="0" applyNumberFormat="1" applyFont="1" applyFill="1" applyBorder="1" applyAlignment="1">
      <x:alignment horizontal="center" vertical="center"/>
    </x:xf>
    <x:xf numFmtId="0" fontId="5" fillId="8" borderId="12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3" xfId="0" applyNumberFormat="1" applyFont="1" applyFill="1" applyBorder="1"/>
    <x:xf numFmtId="0" fontId="5" fillId="8" borderId="14" xfId="0" applyNumberFormat="1" applyFont="1" applyFill="1" applyBorder="1"/>
    <x:xf numFmtId="0" fontId="5" fillId="8" borderId="15" xfId="0" applyNumberFormat="1" applyFont="1" applyFill="1" applyBorder="1"/>
    <x:xf numFmtId="0" fontId="5" fillId="8" borderId="13" xfId="0" applyNumberFormat="1" applyFont="1" applyFill="1" applyBorder="1" applyAlignment="1">
      <x:alignment horizontal="center"/>
    </x:xf>
    <x:xf numFmtId="0" fontId="5" fillId="8" borderId="14" xfId="0" applyNumberFormat="1" applyFont="1" applyFill="1" applyBorder="1" applyAlignment="1">
      <x:alignment horizontal="center"/>
    </x:xf>
    <x:xf numFmtId="0" fontId="5" fillId="8" borderId="15" xfId="0" applyNumberFormat="1" applyFont="1" applyFill="1" applyBorder="1" applyAlignment="1">
      <x:alignment horizontal="center"/>
    </x:xf>
    <x:xf numFmtId="0" fontId="5" fillId="8" borderId="13" xfId="0" applyNumberFormat="1" applyFont="1" applyFill="1" applyBorder="1" applyAlignment="1">
      <x:alignment horizontal="center" vertical="center"/>
    </x:xf>
    <x:xf numFmtId="0" fontId="5" fillId="8" borderId="14" xfId="0" applyNumberFormat="1" applyFont="1" applyFill="1" applyBorder="1" applyAlignment="1">
      <x:alignment horizontal="center" vertical="center"/>
    </x:xf>
    <x:xf numFmtId="0" fontId="5" fillId="8" borderId="1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0" xfId="0" applyNumberFormat="1" applyFont="1" applyFill="1" applyBorder="1"/>
    <x:xf numFmtId="0" fontId="5" fillId="9" borderId="11" xfId="0" applyNumberFormat="1" applyFont="1" applyFill="1" applyBorder="1"/>
    <x:xf numFmtId="0" fontId="5" fillId="9" borderId="12" xfId="0" applyNumberFormat="1" applyFont="1" applyFill="1" applyBorder="1"/>
    <x:xf numFmtId="0" fontId="5" fillId="9" borderId="10" xfId="0" applyNumberFormat="1" applyFont="1" applyFill="1" applyBorder="1" applyAlignment="1">
      <x:alignment horizontal="center"/>
    </x:xf>
    <x:xf numFmtId="0" fontId="5" fillId="9" borderId="11" xfId="0" applyNumberFormat="1" applyFont="1" applyFill="1" applyBorder="1" applyAlignment="1">
      <x:alignment horizontal="center"/>
    </x:xf>
    <x:xf numFmtId="0" fontId="5" fillId="9" borderId="12" xfId="0" applyNumberFormat="1" applyFont="1" applyFill="1" applyBorder="1" applyAlignment="1">
      <x:alignment horizontal="center"/>
    </x:xf>
    <x:xf numFmtId="0" fontId="5" fillId="9" borderId="10" xfId="0" applyNumberFormat="1" applyFont="1" applyFill="1" applyBorder="1" applyAlignment="1">
      <x:alignment horizontal="center" vertical="center"/>
    </x:xf>
    <x:xf numFmtId="0" fontId="5" fillId="9" borderId="11" xfId="0" applyNumberFormat="1" applyFont="1" applyFill="1" applyBorder="1" applyAlignment="1">
      <x:alignment horizontal="center" vertical="center"/>
    </x:xf>
    <x:xf numFmtId="0" fontId="5" fillId="9" borderId="12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3" xfId="0" applyNumberFormat="1" applyFont="1" applyFill="1" applyBorder="1"/>
    <x:xf numFmtId="0" fontId="5" fillId="9" borderId="14" xfId="0" applyNumberFormat="1" applyFont="1" applyFill="1" applyBorder="1"/>
    <x:xf numFmtId="0" fontId="5" fillId="9" borderId="15" xfId="0" applyNumberFormat="1" applyFont="1" applyFill="1" applyBorder="1"/>
    <x:xf numFmtId="0" fontId="5" fillId="9" borderId="13" xfId="0" applyNumberFormat="1" applyFont="1" applyFill="1" applyBorder="1" applyAlignment="1">
      <x:alignment horizontal="center"/>
    </x:xf>
    <x:xf numFmtId="0" fontId="5" fillId="9" borderId="14" xfId="0" applyNumberFormat="1" applyFont="1" applyFill="1" applyBorder="1" applyAlignment="1">
      <x:alignment horizontal="center"/>
    </x:xf>
    <x:xf numFmtId="0" fontId="5" fillId="9" borderId="15" xfId="0" applyNumberFormat="1" applyFont="1" applyFill="1" applyBorder="1" applyAlignment="1">
      <x:alignment horizontal="center"/>
    </x:xf>
    <x:xf numFmtId="0" fontId="5" fillId="9" borderId="13" xfId="0" applyNumberFormat="1" applyFont="1" applyFill="1" applyBorder="1" applyAlignment="1">
      <x:alignment horizontal="center" vertical="center"/>
    </x:xf>
    <x:xf numFmtId="0" fontId="5" fillId="9" borderId="14" xfId="0" applyNumberFormat="1" applyFont="1" applyFill="1" applyBorder="1" applyAlignment="1">
      <x:alignment horizontal="center" vertical="center"/>
    </x:xf>
    <x:xf numFmtId="0" fontId="5" fillId="9" borderId="15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0" xfId="0" applyNumberFormat="1" applyFont="1" applyFill="1" applyBorder="1"/>
    <x:xf numFmtId="0" fontId="5" fillId="10" borderId="12" xfId="0" applyNumberFormat="1" applyFont="1" applyFill="1" applyBorder="1"/>
    <x:xf numFmtId="0" fontId="5" fillId="10" borderId="10" xfId="0" applyNumberFormat="1" applyFont="1" applyFill="1" applyBorder="1" applyAlignment="1">
      <x:alignment horizontal="center"/>
    </x:xf>
    <x:xf numFmtId="0" fontId="5" fillId="10" borderId="12" xfId="0" applyNumberFormat="1" applyFont="1" applyFill="1" applyBorder="1" applyAlignment="1">
      <x:alignment horizontal="center"/>
    </x:xf>
    <x:xf numFmtId="0" fontId="5" fillId="10" borderId="10" xfId="0" applyNumberFormat="1" applyFont="1" applyFill="1" applyBorder="1" applyAlignment="1">
      <x:alignment horizontal="center" vertical="center"/>
    </x:xf>
    <x:xf numFmtId="0" fontId="5" fillId="10" borderId="12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3" xfId="0" applyNumberFormat="1" applyFont="1" applyFill="1" applyBorder="1"/>
    <x:xf numFmtId="0" fontId="5" fillId="10" borderId="15" xfId="0" applyNumberFormat="1" applyFont="1" applyFill="1" applyBorder="1"/>
    <x:xf numFmtId="0" fontId="5" fillId="10" borderId="13" xfId="0" applyNumberFormat="1" applyFont="1" applyFill="1" applyBorder="1" applyAlignment="1">
      <x:alignment horizontal="center"/>
    </x:xf>
    <x:xf numFmtId="0" fontId="5" fillId="10" borderId="15" xfId="0" applyNumberFormat="1" applyFont="1" applyFill="1" applyBorder="1" applyAlignment="1">
      <x:alignment horizontal="center"/>
    </x:xf>
    <x:xf numFmtId="0" fontId="5" fillId="10" borderId="13" xfId="0" applyNumberFormat="1" applyFont="1" applyFill="1" applyBorder="1" applyAlignment="1">
      <x:alignment horizontal="center" vertical="center"/>
    </x:xf>
    <x:xf numFmtId="0" fontId="5" fillId="10" borderId="15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16" xfId="0" applyNumberFormat="1" applyFont="1" applyFill="1" applyBorder="1"/>
    <x:xf numFmtId="0" fontId="5" fillId="2" borderId="16" xfId="0" applyNumberFormat="1" applyFont="1" applyFill="1" applyBorder="1" applyAlignment="1">
      <x:alignment wrapText="1"/>
    </x:xf>
    <x:xf numFmtId="0" fontId="5" fillId="2" borderId="16" xfId="0" applyNumberFormat="1" applyFont="1" applyFill="1" applyBorder="1" applyAlignment="1">
      <x:alignment horizontal="center" wrapText="1"/>
    </x:xf>
    <x:xf numFmtId="0" fontId="5" fillId="2" borderId="16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7" xfId="0" applyNumberFormat="1" applyFont="1" applyFill="1" applyBorder="1"/>
    <x:xf numFmtId="0" fontId="5" fillId="2" borderId="17" xfId="0" applyNumberFormat="1" applyFont="1" applyFill="1" applyBorder="1" applyAlignment="1">
      <x:alignment wrapText="1"/>
    </x:xf>
    <x:xf numFmtId="0" fontId="5" fillId="2" borderId="17" xfId="0" applyNumberFormat="1" applyFont="1" applyFill="1" applyBorder="1" applyAlignment="1">
      <x:alignment horizontal="center" wrapText="1"/>
    </x:xf>
    <x:xf numFmtId="0" fontId="5" fillId="2" borderId="17" xfId="0" applyNumberFormat="1" applyFont="1" applyFill="1" applyBorder="1" applyAlignment="1">
      <x:alignment horizontal="center" vertical="center" wrapText="1"/>
    </x:xf>
    <x:xf numFmtId="0" fontId="5" fillId="11" borderId="16" xfId="0" applyNumberFormat="1" applyFont="1" applyFill="1" applyBorder="1" applyAlignment="1">
      <x:alignment horizontal="center" vertical="center" wrapText="1"/>
    </x:xf>
    <x:xf numFmtId="0" fontId="5" fillId="11" borderId="17" xfId="0" applyNumberFormat="1" applyFont="1" applyFill="1" applyBorder="1" applyAlignment="1">
      <x:alignment horizontal="center" vertical="center" wrapText="1"/>
    </x:xf>
    <x:xf numFmtId="0" fontId="5" fillId="12" borderId="16" xfId="0" applyNumberFormat="1" applyFont="1" applyFill="1" applyBorder="1" applyAlignment="1">
      <x:alignment horizontal="center" vertical="center" wrapText="1"/>
    </x:xf>
    <x:xf numFmtId="0" fontId="5" fillId="12" borderId="17" xfId="0" applyNumberFormat="1" applyFont="1" applyFill="1" applyBorder="1" applyAlignment="1">
      <x:alignment horizontal="center" vertical="center" wrapText="1"/>
    </x:xf>
    <x:xf numFmtId="0" fontId="5" fillId="13" borderId="16" xfId="0" applyNumberFormat="1" applyFont="1" applyFill="1" applyBorder="1" applyAlignment="1">
      <x:alignment horizontal="center" vertical="center" wrapText="1"/>
    </x:xf>
    <x:xf numFmtId="0" fontId="5" fillId="13" borderId="17" xfId="0" applyNumberFormat="1" applyFont="1" applyFill="1" applyBorder="1" applyAlignment="1">
      <x:alignment horizontal="center" vertical="center" wrapText="1"/>
    </x:xf>
    <x:xf numFmtId="0" fontId="5" fillId="14" borderId="16" xfId="0" applyNumberFormat="1" applyFont="1" applyFill="1" applyBorder="1" applyAlignment="1">
      <x:alignment horizontal="center" vertical="center" wrapText="1"/>
    </x:xf>
    <x:xf numFmtId="0" fontId="5" fillId="14" borderId="1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8" xfId="0" applyNumberFormat="1" applyFont="1" applyFill="1" applyBorder="1"/>
    <x:xf numFmtId="0" fontId="6" fillId="0" borderId="18" xfId="0" applyNumberFormat="1" applyFont="1" applyFill="1" applyBorder="1" applyAlignment="1">
      <x:alignment wrapText="0"/>
    </x:xf>
    <x:xf numFmtId="0" fontId="6" fillId="0" borderId="18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/>
    <x:xf numFmtId="0" fontId="6" fillId="0" borderId="19" xfId="0" applyNumberFormat="1" applyFont="1" applyFill="1" applyBorder="1"/>
    <x:xf numFmtId="0" fontId="6" fillId="0" borderId="19" xfId="0" applyNumberFormat="1" applyFont="1" applyFill="1" applyBorder="1" applyAlignment="1">
      <x:alignment wrapText="0"/>
    </x:xf>
    <x:xf numFmtId="0" fontId="6" fillId="0" borderId="19" xfId="0" applyNumberFormat="1" applyFont="1" applyFill="1" applyBorder="1" applyAlignment="1">
      <x:alignment vertical="center" wrapText="0"/>
    </x:xf>
    <x:xf numFmtId="0" fontId="6" fillId="15" borderId="18" xfId="0" applyNumberFormat="1" applyFont="1" applyFill="1" applyBorder="1" applyAlignment="1">
      <x:alignment vertical="center" wrapText="0"/>
    </x:xf>
    <x:xf numFmtId="0" fontId="6" fillId="15" borderId="19" xfId="0" applyNumberFormat="1" applyFont="1" applyFill="1" applyBorder="1" applyAlignment="1">
      <x:alignment vertical="center" wrapText="0"/>
    </x:xf>
    <x:xf numFmtId="0" fontId="6" fillId="16" borderId="18" xfId="0" applyNumberFormat="1" applyFont="1" applyFill="1" applyBorder="1" applyAlignment="1">
      <x:alignment vertical="center" wrapText="0"/>
    </x:xf>
    <x:xf numFmtId="0" fontId="6" fillId="16" borderId="19" xfId="0" applyNumberFormat="1" applyFont="1" applyFill="1" applyBorder="1" applyAlignment="1">
      <x:alignment vertical="center" wrapText="0"/>
    </x:xf>
    <x:xf numFmtId="0" fontId="6" fillId="17" borderId="18" xfId="0" applyNumberFormat="1" applyFont="1" applyFill="1" applyBorder="1" applyAlignment="1">
      <x:alignment vertical="center" wrapText="0"/>
    </x:xf>
    <x:xf numFmtId="0" fontId="6" fillId="17" borderId="19" xfId="0" applyNumberFormat="1" applyFont="1" applyFill="1" applyBorder="1" applyAlignment="1">
      <x:alignment vertical="center" wrapText="0"/>
    </x:xf>
    <x:xf numFmtId="0" fontId="6" fillId="18" borderId="18" xfId="0" applyNumberFormat="1" applyFont="1" applyFill="1" applyBorder="1" applyAlignment="1">
      <x:alignment vertical="center" wrapText="0"/>
    </x:xf>
    <x:xf numFmtId="0" fontId="6" fillId="18" borderId="19" xfId="0" applyNumberFormat="1" applyFont="1" applyFill="1" applyBorder="1" applyAlignment="1">
      <x:alignment vertical="center" wrapText="0"/>
    </x:xf>
    <x:xf numFmtId="0" fontId="6" fillId="19" borderId="18" xfId="0" applyNumberFormat="1" applyFont="1" applyFill="1" applyBorder="1" applyAlignment="1">
      <x:alignment vertical="center" wrapText="0"/>
    </x:xf>
    <x:xf numFmtId="0" fontId="6" fillId="19" borderId="19" xfId="0" applyNumberFormat="1" applyFont="1" applyFill="1" applyBorder="1" applyAlignment="1">
      <x:alignment vertical="center" wrapText="0"/>
    </x:xf>
    <x:xf numFmtId="201" fontId="6" fillId="16" borderId="18" xfId="0" applyNumberFormat="1" applyFont="1" applyFill="1" applyBorder="1" applyAlignment="1">
      <x:alignment vertical="center" wrapText="0"/>
    </x:xf>
    <x:xf numFmtId="201" fontId="6" fillId="16" borderId="19" xfId="0" applyNumberFormat="1" applyFont="1" applyFill="1" applyBorder="1" applyAlignment="1">
      <x:alignment vertical="center" wrapText="0"/>
    </x:xf>
    <x:xf numFmtId="201" fontId="6" fillId="0" borderId="18" xfId="0" applyNumberFormat="1" applyFont="1" applyFill="1" applyBorder="1" applyAlignment="1">
      <x:alignment vertical="center" wrapText="0"/>
    </x:xf>
    <x:xf numFmtId="201" fontId="6" fillId="0" borderId="19" xfId="0" applyNumberFormat="1" applyFont="1" applyFill="1" applyBorder="1" applyAlignment="1">
      <x:alignment vertical="center" wrapText="0"/>
    </x:xf>
    <x:xf numFmtId="201" fontId="6" fillId="18" borderId="18" xfId="0" applyNumberFormat="1" applyFont="1" applyFill="1" applyBorder="1" applyAlignment="1">
      <x:alignment vertical="center" wrapText="0"/>
    </x:xf>
    <x:xf numFmtId="201" fontId="6" fillId="18" borderId="19" xfId="0" applyNumberFormat="1" applyFont="1" applyFill="1" applyBorder="1" applyAlignment="1">
      <x:alignment vertical="center" wrapText="0"/>
    </x:xf>
    <x:xf numFmtId="202" fontId="6" fillId="16" borderId="18" xfId="0" applyNumberFormat="1" applyFont="1" applyFill="1" applyBorder="1" applyAlignment="1">
      <x:alignment vertical="center" wrapText="0"/>
    </x:xf>
    <x:xf numFmtId="202" fontId="6" fillId="16" borderId="19" xfId="0" applyNumberFormat="1" applyFont="1" applyFill="1" applyBorder="1" applyAlignment="1">
      <x:alignment vertical="center" wrapText="0"/>
    </x:xf>
    <x:xf numFmtId="202" fontId="6" fillId="0" borderId="18" xfId="0" applyNumberFormat="1" applyFont="1" applyFill="1" applyBorder="1" applyAlignment="1">
      <x:alignment vertical="center" wrapText="0"/>
    </x:xf>
    <x:xf numFmtId="202" fontId="6" fillId="0" borderId="19" xfId="0" applyNumberFormat="1" applyFont="1" applyFill="1" applyBorder="1" applyAlignment="1">
      <x:alignment vertical="center" wrapText="0"/>
    </x:xf>
    <x:xf numFmtId="202" fontId="6" fillId="15" borderId="18" xfId="0" applyNumberFormat="1" applyFont="1" applyFill="1" applyBorder="1" applyAlignment="1">
      <x:alignment vertical="center" wrapText="0"/>
    </x:xf>
    <x:xf numFmtId="202" fontId="6" fillId="15" borderId="19" xfId="0" applyNumberFormat="1" applyFont="1" applyFill="1" applyBorder="1" applyAlignment="1">
      <x:alignment vertical="center" wrapText="0"/>
    </x:xf>
    <x:xf numFmtId="202" fontId="6" fillId="17" borderId="18" xfId="0" applyNumberFormat="1" applyFont="1" applyFill="1" applyBorder="1" applyAlignment="1">
      <x:alignment vertical="center" wrapText="0"/>
    </x:xf>
    <x:xf numFmtId="202" fontId="6" fillId="17" borderId="19" xfId="0" applyNumberFormat="1" applyFont="1" applyFill="1" applyBorder="1" applyAlignment="1">
      <x:alignment vertical="center" wrapText="0"/>
    </x:xf>
    <x:xf numFmtId="200" fontId="6" fillId="16" borderId="18" xfId="0" applyNumberFormat="1" applyFont="1" applyFill="1" applyBorder="1" applyAlignment="1">
      <x:alignment vertical="center" wrapText="0"/>
    </x:xf>
    <x:xf numFmtId="200" fontId="6" fillId="16" borderId="19" xfId="0" applyNumberFormat="1" applyFont="1" applyFill="1" applyBorder="1" applyAlignment="1">
      <x:alignment vertical="center" wrapText="0"/>
    </x:xf>
    <x:xf numFmtId="200" fontId="6" fillId="17" borderId="18" xfId="0" applyNumberFormat="1" applyFont="1" applyFill="1" applyBorder="1" applyAlignment="1">
      <x:alignment vertical="center" wrapText="0"/>
    </x:xf>
    <x:xf numFmtId="200" fontId="6" fillId="17" borderId="19" xfId="0" applyNumberFormat="1" applyFont="1" applyFill="1" applyBorder="1" applyAlignment="1">
      <x:alignment vertical="center" wrapText="0"/>
    </x:xf>
    <x:xf numFmtId="203" fontId="6" fillId="18" borderId="18" xfId="0" applyNumberFormat="1" applyFont="1" applyFill="1" applyBorder="1" applyAlignment="1">
      <x:alignment vertical="center" wrapText="0"/>
    </x:xf>
    <x:xf numFmtId="203" fontId="6" fillId="18" borderId="19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20" xfId="0" applyNumberFormat="1" applyFont="1" applyFill="1" applyBorder="1"/>
    <x:xf numFmtId="0" fontId="7" fillId="4" borderId="21" xfId="0" applyNumberFormat="1" applyFont="1" applyFill="1" applyBorder="1"/>
    <x:xf numFmtId="0" fontId="7" fillId="4" borderId="22" xfId="0" applyNumberFormat="1" applyFont="1" applyFill="1" applyBorder="1"/>
    <x:xf numFmtId="0" fontId="7" fillId="4" borderId="23" xfId="0" applyNumberFormat="1" applyFont="1" applyFill="1" applyBorder="1"/>
    <x:xf numFmtId="0" fontId="7" fillId="4" borderId="24" xfId="0" applyNumberFormat="1" applyFont="1" applyFill="1" applyBorder="1"/>
    <x:xf numFmtId="0" fontId="7" fillId="4" borderId="25" xfId="0" applyNumberFormat="1" applyFont="1" applyFill="1" applyBorder="1"/>
    <x:xf numFmtId="0" fontId="7" fillId="4" borderId="20" xfId="0" applyNumberFormat="1" applyFont="1" applyFill="1" applyBorder="1" applyAlignment="1">
      <x:alignment wrapText="1"/>
    </x:xf>
    <x:xf numFmtId="0" fontId="7" fillId="4" borderId="21" xfId="0" applyNumberFormat="1" applyFont="1" applyFill="1" applyBorder="1" applyAlignment="1">
      <x:alignment wrapText="1"/>
    </x:xf>
    <x:xf numFmtId="0" fontId="7" fillId="4" borderId="22" xfId="0" applyNumberFormat="1" applyFont="1" applyFill="1" applyBorder="1" applyAlignment="1">
      <x:alignment wrapText="1"/>
    </x:xf>
    <x:xf numFmtId="0" fontId="7" fillId="4" borderId="23" xfId="0" applyNumberFormat="1" applyFont="1" applyFill="1" applyBorder="1" applyAlignment="1">
      <x:alignment wrapText="1"/>
    </x:xf>
    <x:xf numFmtId="0" fontId="7" fillId="4" borderId="24" xfId="0" applyNumberFormat="1" applyFont="1" applyFill="1" applyBorder="1" applyAlignment="1">
      <x:alignment wrapText="1"/>
    </x:xf>
    <x:xf numFmtId="0" fontId="7" fillId="4" borderId="25" xfId="0" applyNumberFormat="1" applyFont="1" applyFill="1" applyBorder="1" applyAlignment="1">
      <x:alignment wrapText="1"/>
    </x:xf>
    <x:xf numFmtId="0" fontId="7" fillId="4" borderId="20" xfId="0" applyNumberFormat="1" applyFont="1" applyFill="1" applyBorder="1" applyAlignment="1">
      <x:alignment horizontal="center" wrapText="1"/>
    </x:xf>
    <x:xf numFmtId="0" fontId="7" fillId="4" borderId="21" xfId="0" applyNumberFormat="1" applyFont="1" applyFill="1" applyBorder="1" applyAlignment="1">
      <x:alignment horizontal="center" wrapText="1"/>
    </x:xf>
    <x:xf numFmtId="0" fontId="7" fillId="4" borderId="22" xfId="0" applyNumberFormat="1" applyFont="1" applyFill="1" applyBorder="1" applyAlignment="1">
      <x:alignment horizontal="center" wrapText="1"/>
    </x:xf>
    <x:xf numFmtId="0" fontId="7" fillId="4" borderId="23" xfId="0" applyNumberFormat="1" applyFont="1" applyFill="1" applyBorder="1" applyAlignment="1">
      <x:alignment horizontal="center" wrapText="1"/>
    </x:xf>
    <x:xf numFmtId="0" fontId="7" fillId="4" borderId="24" xfId="0" applyNumberFormat="1" applyFont="1" applyFill="1" applyBorder="1" applyAlignment="1">
      <x:alignment horizontal="center" wrapText="1"/>
    </x:xf>
    <x:xf numFmtId="0" fontId="7" fillId="4" borderId="25" xfId="0" applyNumberFormat="1" applyFont="1" applyFill="1" applyBorder="1" applyAlignment="1">
      <x:alignment horizontal="center" wrapText="1"/>
    </x:xf>
    <x:xf numFmtId="0" fontId="7" fillId="4" borderId="20" xfId="0" applyNumberFormat="1" applyFont="1" applyFill="1" applyBorder="1" applyAlignment="1">
      <x:alignment horizontal="center" vertical="center" wrapText="1"/>
    </x:xf>
    <x:xf numFmtId="0" fontId="7" fillId="4" borderId="21" xfId="0" applyNumberFormat="1" applyFont="1" applyFill="1" applyBorder="1" applyAlignment="1">
      <x:alignment horizontal="center" vertical="center" wrapText="1"/>
    </x:xf>
    <x:xf numFmtId="0" fontId="7" fillId="4" borderId="22" xfId="0" applyNumberFormat="1" applyFont="1" applyFill="1" applyBorder="1" applyAlignment="1">
      <x:alignment horizontal="center" vertical="center" wrapText="1"/>
    </x:xf>
    <x:xf numFmtId="0" fontId="7" fillId="4" borderId="23" xfId="0" applyNumberFormat="1" applyFont="1" applyFill="1" applyBorder="1" applyAlignment="1">
      <x:alignment horizontal="center" vertical="center" wrapText="1"/>
    </x:xf>
    <x:xf numFmtId="0" fontId="7" fillId="4" borderId="24" xfId="0" applyNumberFormat="1" applyFont="1" applyFill="1" applyBorder="1" applyAlignment="1">
      <x:alignment horizontal="center" vertical="center" wrapText="1"/>
    </x:xf>
    <x:xf numFmtId="0" fontId="7" fillId="4" borderId="25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7" fillId="4" borderId="26" xfId="0" applyNumberFormat="1" applyFont="1" applyFill="1" applyBorder="1"/>
    <x:xf numFmtId="0" fontId="7" fillId="4" borderId="27" xfId="0" applyNumberFormat="1" applyFont="1" applyFill="1" applyBorder="1"/>
    <x:xf numFmtId="0" fontId="7" fillId="4" borderId="28" xfId="0" applyNumberFormat="1" applyFont="1" applyFill="1" applyBorder="1"/>
    <x:xf numFmtId="0" fontId="7" fillId="4" borderId="29" xfId="0" applyNumberFormat="1" applyFont="1" applyFill="1" applyBorder="1"/>
    <x:xf numFmtId="0" fontId="7" fillId="4" borderId="30" xfId="0" applyNumberFormat="1" applyFont="1" applyFill="1" applyBorder="1"/>
    <x:xf numFmtId="0" fontId="7" fillId="4" borderId="31" xfId="0" applyNumberFormat="1" applyFont="1" applyFill="1" applyBorder="1"/>
    <x:xf numFmtId="0" fontId="7" fillId="4" borderId="26" xfId="0" applyNumberFormat="1" applyFont="1" applyFill="1" applyBorder="1" applyAlignment="1">
      <x:alignment wrapText="1"/>
    </x:xf>
    <x:xf numFmtId="0" fontId="7" fillId="4" borderId="27" xfId="0" applyNumberFormat="1" applyFont="1" applyFill="1" applyBorder="1" applyAlignment="1">
      <x:alignment wrapText="1"/>
    </x:xf>
    <x:xf numFmtId="0" fontId="7" fillId="4" borderId="28" xfId="0" applyNumberFormat="1" applyFont="1" applyFill="1" applyBorder="1" applyAlignment="1">
      <x:alignment wrapText="1"/>
    </x:xf>
    <x:xf numFmtId="0" fontId="7" fillId="4" borderId="29" xfId="0" applyNumberFormat="1" applyFont="1" applyFill="1" applyBorder="1" applyAlignment="1">
      <x:alignment wrapText="1"/>
    </x:xf>
    <x:xf numFmtId="0" fontId="7" fillId="4" borderId="30" xfId="0" applyNumberFormat="1" applyFont="1" applyFill="1" applyBorder="1" applyAlignment="1">
      <x:alignment wrapText="1"/>
    </x:xf>
    <x:xf numFmtId="0" fontId="7" fillId="4" borderId="31" xfId="0" applyNumberFormat="1" applyFont="1" applyFill="1" applyBorder="1" applyAlignment="1">
      <x:alignment wrapText="1"/>
    </x:xf>
    <x:xf numFmtId="0" fontId="7" fillId="4" borderId="26" xfId="0" applyNumberFormat="1" applyFont="1" applyFill="1" applyBorder="1" applyAlignment="1">
      <x:alignment horizontal="center" wrapText="1"/>
    </x:xf>
    <x:xf numFmtId="0" fontId="7" fillId="4" borderId="27" xfId="0" applyNumberFormat="1" applyFont="1" applyFill="1" applyBorder="1" applyAlignment="1">
      <x:alignment horizontal="center" wrapText="1"/>
    </x:xf>
    <x:xf numFmtId="0" fontId="7" fillId="4" borderId="28" xfId="0" applyNumberFormat="1" applyFont="1" applyFill="1" applyBorder="1" applyAlignment="1">
      <x:alignment horizontal="center" wrapText="1"/>
    </x:xf>
    <x:xf numFmtId="0" fontId="7" fillId="4" borderId="29" xfId="0" applyNumberFormat="1" applyFont="1" applyFill="1" applyBorder="1" applyAlignment="1">
      <x:alignment horizontal="center" wrapText="1"/>
    </x:xf>
    <x:xf numFmtId="0" fontId="7" fillId="4" borderId="30" xfId="0" applyNumberFormat="1" applyFont="1" applyFill="1" applyBorder="1" applyAlignment="1">
      <x:alignment horizontal="center" wrapText="1"/>
    </x:xf>
    <x:xf numFmtId="0" fontId="7" fillId="4" borderId="31" xfId="0" applyNumberFormat="1" applyFont="1" applyFill="1" applyBorder="1" applyAlignment="1">
      <x:alignment horizontal="center" wrapText="1"/>
    </x:xf>
    <x:xf numFmtId="0" fontId="7" fillId="4" borderId="26" xfId="0" applyNumberFormat="1" applyFont="1" applyFill="1" applyBorder="1" applyAlignment="1">
      <x:alignment horizontal="center" vertical="center" wrapText="1"/>
    </x:xf>
    <x:xf numFmtId="0" fontId="7" fillId="4" borderId="27" xfId="0" applyNumberFormat="1" applyFont="1" applyFill="1" applyBorder="1" applyAlignment="1">
      <x:alignment horizontal="center" vertical="center" wrapText="1"/>
    </x:xf>
    <x:xf numFmtId="0" fontId="7" fillId="4" borderId="28" xfId="0" applyNumberFormat="1" applyFont="1" applyFill="1" applyBorder="1" applyAlignment="1">
      <x:alignment horizontal="center" vertical="center" wrapText="1"/>
    </x:xf>
    <x:xf numFmtId="0" fontId="7" fillId="4" borderId="29" xfId="0" applyNumberFormat="1" applyFont="1" applyFill="1" applyBorder="1" applyAlignment="1">
      <x:alignment horizontal="center" vertical="center" wrapText="1"/>
    </x:xf>
    <x:xf numFmtId="0" fontId="7" fillId="4" borderId="30" xfId="0" applyNumberFormat="1" applyFont="1" applyFill="1" applyBorder="1" applyAlignment="1">
      <x:alignment horizontal="center" vertical="center" wrapText="1"/>
    </x:xf>
    <x:xf numFmtId="0" fontId="7" fillId="4" borderId="3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20" xfId="0" applyNumberFormat="1" applyFont="1" applyFill="1" applyBorder="1"/>
    <x:xf numFmtId="0" fontId="8" fillId="20" borderId="21" xfId="0" applyNumberFormat="1" applyFont="1" applyFill="1" applyBorder="1"/>
    <x:xf numFmtId="0" fontId="8" fillId="20" borderId="22" xfId="0" applyNumberFormat="1" applyFont="1" applyFill="1" applyBorder="1"/>
    <x:xf numFmtId="0" fontId="8" fillId="20" borderId="23" xfId="0" applyNumberFormat="1" applyFont="1" applyFill="1" applyBorder="1"/>
    <x:xf numFmtId="0" fontId="8" fillId="20" borderId="24" xfId="0" applyNumberFormat="1" applyFont="1" applyFill="1" applyBorder="1"/>
    <x:xf numFmtId="0" fontId="8" fillId="20" borderId="25" xfId="0" applyNumberFormat="1" applyFont="1" applyFill="1" applyBorder="1"/>
    <x:xf numFmtId="0" fontId="8" fillId="20" borderId="20" xfId="0" applyNumberFormat="1" applyFont="1" applyFill="1" applyBorder="1" applyAlignment="1">
      <x:alignment wrapText="1"/>
    </x:xf>
    <x:xf numFmtId="0" fontId="8" fillId="20" borderId="21" xfId="0" applyNumberFormat="1" applyFont="1" applyFill="1" applyBorder="1" applyAlignment="1">
      <x:alignment wrapText="1"/>
    </x:xf>
    <x:xf numFmtId="0" fontId="8" fillId="20" borderId="22" xfId="0" applyNumberFormat="1" applyFont="1" applyFill="1" applyBorder="1" applyAlignment="1">
      <x:alignment wrapText="1"/>
    </x:xf>
    <x:xf numFmtId="0" fontId="8" fillId="20" borderId="23" xfId="0" applyNumberFormat="1" applyFont="1" applyFill="1" applyBorder="1" applyAlignment="1">
      <x:alignment wrapText="1"/>
    </x:xf>
    <x:xf numFmtId="0" fontId="8" fillId="20" borderId="24" xfId="0" applyNumberFormat="1" applyFont="1" applyFill="1" applyBorder="1" applyAlignment="1">
      <x:alignment wrapText="1"/>
    </x:xf>
    <x:xf numFmtId="0" fontId="8" fillId="20" borderId="25" xfId="0" applyNumberFormat="1" applyFont="1" applyFill="1" applyBorder="1" applyAlignment="1">
      <x:alignment wrapText="1"/>
    </x:xf>
    <x:xf numFmtId="0" fontId="8" fillId="20" borderId="20" xfId="0" applyNumberFormat="1" applyFont="1" applyFill="1" applyBorder="1" applyAlignment="1">
      <x:alignment horizontal="center" wrapText="1"/>
    </x:xf>
    <x:xf numFmtId="0" fontId="8" fillId="20" borderId="21" xfId="0" applyNumberFormat="1" applyFont="1" applyFill="1" applyBorder="1" applyAlignment="1">
      <x:alignment horizontal="center" wrapText="1"/>
    </x:xf>
    <x:xf numFmtId="0" fontId="8" fillId="20" borderId="22" xfId="0" applyNumberFormat="1" applyFont="1" applyFill="1" applyBorder="1" applyAlignment="1">
      <x:alignment horizontal="center" wrapText="1"/>
    </x:xf>
    <x:xf numFmtId="0" fontId="8" fillId="20" borderId="23" xfId="0" applyNumberFormat="1" applyFont="1" applyFill="1" applyBorder="1" applyAlignment="1">
      <x:alignment horizontal="center" wrapText="1"/>
    </x:xf>
    <x:xf numFmtId="0" fontId="8" fillId="20" borderId="24" xfId="0" applyNumberFormat="1" applyFont="1" applyFill="1" applyBorder="1" applyAlignment="1">
      <x:alignment horizontal="center" wrapText="1"/>
    </x:xf>
    <x:xf numFmtId="0" fontId="8" fillId="20" borderId="25" xfId="0" applyNumberFormat="1" applyFont="1" applyFill="1" applyBorder="1" applyAlignment="1">
      <x:alignment horizontal="center" wrapText="1"/>
    </x:xf>
    <x:xf numFmtId="0" fontId="8" fillId="20" borderId="20" xfId="0" applyNumberFormat="1" applyFont="1" applyFill="1" applyBorder="1" applyAlignment="1">
      <x:alignment horizontal="center" vertical="center" wrapText="1"/>
    </x:xf>
    <x:xf numFmtId="0" fontId="8" fillId="20" borderId="21" xfId="0" applyNumberFormat="1" applyFont="1" applyFill="1" applyBorder="1" applyAlignment="1">
      <x:alignment horizontal="center" vertical="center" wrapText="1"/>
    </x:xf>
    <x:xf numFmtId="0" fontId="8" fillId="20" borderId="22" xfId="0" applyNumberFormat="1" applyFont="1" applyFill="1" applyBorder="1" applyAlignment="1">
      <x:alignment horizontal="center" vertical="center" wrapText="1"/>
    </x:xf>
    <x:xf numFmtId="0" fontId="8" fillId="20" borderId="23" xfId="0" applyNumberFormat="1" applyFont="1" applyFill="1" applyBorder="1" applyAlignment="1">
      <x:alignment horizontal="center" vertical="center" wrapText="1"/>
    </x:xf>
    <x:xf numFmtId="0" fontId="8" fillId="20" borderId="24" xfId="0" applyNumberFormat="1" applyFont="1" applyFill="1" applyBorder="1" applyAlignment="1">
      <x:alignment horizontal="center" vertical="center" wrapText="1"/>
    </x:xf>
    <x:xf numFmtId="0" fontId="8" fillId="20" borderId="25" xfId="0" applyNumberFormat="1" applyFont="1" applyFill="1" applyBorder="1" applyAlignment="1">
      <x:alignment horizontal="center" vertical="center" wrapText="1"/>
    </x:xf>
    <x:xf numFmtId="0" fontId="0" fillId="20" borderId="1" xfId="0" applyNumberFormat="1" applyFont="1" applyFill="1" applyBorder="1"/>
    <x:xf numFmtId="0" fontId="8" fillId="20" borderId="1" xfId="0" applyNumberFormat="1" applyFont="1" applyFill="1" applyBorder="1"/>
    <x:xf numFmtId="0" fontId="8" fillId="20" borderId="26" xfId="0" applyNumberFormat="1" applyFont="1" applyFill="1" applyBorder="1"/>
    <x:xf numFmtId="0" fontId="8" fillId="20" borderId="27" xfId="0" applyNumberFormat="1" applyFont="1" applyFill="1" applyBorder="1"/>
    <x:xf numFmtId="0" fontId="8" fillId="20" borderId="28" xfId="0" applyNumberFormat="1" applyFont="1" applyFill="1" applyBorder="1"/>
    <x:xf numFmtId="0" fontId="8" fillId="20" borderId="29" xfId="0" applyNumberFormat="1" applyFont="1" applyFill="1" applyBorder="1"/>
    <x:xf numFmtId="0" fontId="8" fillId="20" borderId="30" xfId="0" applyNumberFormat="1" applyFont="1" applyFill="1" applyBorder="1"/>
    <x:xf numFmtId="0" fontId="8" fillId="20" borderId="31" xfId="0" applyNumberFormat="1" applyFont="1" applyFill="1" applyBorder="1"/>
    <x:xf numFmtId="0" fontId="8" fillId="20" borderId="26" xfId="0" applyNumberFormat="1" applyFont="1" applyFill="1" applyBorder="1" applyAlignment="1">
      <x:alignment wrapText="1"/>
    </x:xf>
    <x:xf numFmtId="0" fontId="8" fillId="20" borderId="27" xfId="0" applyNumberFormat="1" applyFont="1" applyFill="1" applyBorder="1" applyAlignment="1">
      <x:alignment wrapText="1"/>
    </x:xf>
    <x:xf numFmtId="0" fontId="8" fillId="20" borderId="28" xfId="0" applyNumberFormat="1" applyFont="1" applyFill="1" applyBorder="1" applyAlignment="1">
      <x:alignment wrapText="1"/>
    </x:xf>
    <x:xf numFmtId="0" fontId="8" fillId="20" borderId="29" xfId="0" applyNumberFormat="1" applyFont="1" applyFill="1" applyBorder="1" applyAlignment="1">
      <x:alignment wrapText="1"/>
    </x:xf>
    <x:xf numFmtId="0" fontId="8" fillId="20" borderId="30" xfId="0" applyNumberFormat="1" applyFont="1" applyFill="1" applyBorder="1" applyAlignment="1">
      <x:alignment wrapText="1"/>
    </x:xf>
    <x:xf numFmtId="0" fontId="8" fillId="20" borderId="31" xfId="0" applyNumberFormat="1" applyFont="1" applyFill="1" applyBorder="1" applyAlignment="1">
      <x:alignment wrapText="1"/>
    </x:xf>
    <x:xf numFmtId="0" fontId="8" fillId="20" borderId="26" xfId="0" applyNumberFormat="1" applyFont="1" applyFill="1" applyBorder="1" applyAlignment="1">
      <x:alignment horizontal="center" wrapText="1"/>
    </x:xf>
    <x:xf numFmtId="0" fontId="8" fillId="20" borderId="27" xfId="0" applyNumberFormat="1" applyFont="1" applyFill="1" applyBorder="1" applyAlignment="1">
      <x:alignment horizontal="center" wrapText="1"/>
    </x:xf>
    <x:xf numFmtId="0" fontId="8" fillId="20" borderId="28" xfId="0" applyNumberFormat="1" applyFont="1" applyFill="1" applyBorder="1" applyAlignment="1">
      <x:alignment horizontal="center" wrapText="1"/>
    </x:xf>
    <x:xf numFmtId="0" fontId="8" fillId="20" borderId="29" xfId="0" applyNumberFormat="1" applyFont="1" applyFill="1" applyBorder="1" applyAlignment="1">
      <x:alignment horizontal="center" wrapText="1"/>
    </x:xf>
    <x:xf numFmtId="0" fontId="8" fillId="20" borderId="30" xfId="0" applyNumberFormat="1" applyFont="1" applyFill="1" applyBorder="1" applyAlignment="1">
      <x:alignment horizontal="center" wrapText="1"/>
    </x:xf>
    <x:xf numFmtId="0" fontId="8" fillId="20" borderId="31" xfId="0" applyNumberFormat="1" applyFont="1" applyFill="1" applyBorder="1" applyAlignment="1">
      <x:alignment horizontal="center" wrapText="1"/>
    </x:xf>
    <x:xf numFmtId="0" fontId="8" fillId="20" borderId="26" xfId="0" applyNumberFormat="1" applyFont="1" applyFill="1" applyBorder="1" applyAlignment="1">
      <x:alignment horizontal="center" vertical="center" wrapText="1"/>
    </x:xf>
    <x:xf numFmtId="0" fontId="8" fillId="20" borderId="27" xfId="0" applyNumberFormat="1" applyFont="1" applyFill="1" applyBorder="1" applyAlignment="1">
      <x:alignment horizontal="center" vertical="center" wrapText="1"/>
    </x:xf>
    <x:xf numFmtId="0" fontId="8" fillId="20" borderId="28" xfId="0" applyNumberFormat="1" applyFont="1" applyFill="1" applyBorder="1" applyAlignment="1">
      <x:alignment horizontal="center" vertical="center" wrapText="1"/>
    </x:xf>
    <x:xf numFmtId="0" fontId="8" fillId="20" borderId="29" xfId="0" applyNumberFormat="1" applyFont="1" applyFill="1" applyBorder="1" applyAlignment="1">
      <x:alignment horizontal="center" vertical="center" wrapText="1"/>
    </x:xf>
    <x:xf numFmtId="0" fontId="8" fillId="20" borderId="30" xfId="0" applyNumberFormat="1" applyFont="1" applyFill="1" applyBorder="1" applyAlignment="1">
      <x:alignment horizontal="center" vertical="center" wrapText="1"/>
    </x:xf>
    <x:xf numFmtId="0" fontId="8" fillId="20" borderId="31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20" xfId="0" applyNumberFormat="1" applyFont="1" applyFill="1" applyBorder="1"/>
    <x:xf numFmtId="0" fontId="9" fillId="21" borderId="21" xfId="0" applyNumberFormat="1" applyFont="1" applyFill="1" applyBorder="1"/>
    <x:xf numFmtId="0" fontId="9" fillId="21" borderId="22" xfId="0" applyNumberFormat="1" applyFont="1" applyFill="1" applyBorder="1"/>
    <x:xf numFmtId="0" fontId="9" fillId="21" borderId="23" xfId="0" applyNumberFormat="1" applyFont="1" applyFill="1" applyBorder="1"/>
    <x:xf numFmtId="0" fontId="9" fillId="21" borderId="24" xfId="0" applyNumberFormat="1" applyFont="1" applyFill="1" applyBorder="1"/>
    <x:xf numFmtId="0" fontId="9" fillId="21" borderId="25" xfId="0" applyNumberFormat="1" applyFont="1" applyFill="1" applyBorder="1"/>
    <x:xf numFmtId="0" fontId="9" fillId="21" borderId="20" xfId="0" applyNumberFormat="1" applyFont="1" applyFill="1" applyBorder="1" applyAlignment="1">
      <x:alignment wrapText="1"/>
    </x:xf>
    <x:xf numFmtId="0" fontId="9" fillId="21" borderId="21" xfId="0" applyNumberFormat="1" applyFont="1" applyFill="1" applyBorder="1" applyAlignment="1">
      <x:alignment wrapText="1"/>
    </x:xf>
    <x:xf numFmtId="0" fontId="9" fillId="21" borderId="22" xfId="0" applyNumberFormat="1" applyFont="1" applyFill="1" applyBorder="1" applyAlignment="1">
      <x:alignment wrapText="1"/>
    </x:xf>
    <x:xf numFmtId="0" fontId="9" fillId="21" borderId="23" xfId="0" applyNumberFormat="1" applyFont="1" applyFill="1" applyBorder="1" applyAlignment="1">
      <x:alignment wrapText="1"/>
    </x:xf>
    <x:xf numFmtId="0" fontId="9" fillId="21" borderId="24" xfId="0" applyNumberFormat="1" applyFont="1" applyFill="1" applyBorder="1" applyAlignment="1">
      <x:alignment wrapText="1"/>
    </x:xf>
    <x:xf numFmtId="0" fontId="9" fillId="21" borderId="25" xfId="0" applyNumberFormat="1" applyFont="1" applyFill="1" applyBorder="1" applyAlignment="1">
      <x:alignment wrapText="1"/>
    </x:xf>
    <x:xf numFmtId="0" fontId="9" fillId="21" borderId="20" xfId="0" applyNumberFormat="1" applyFont="1" applyFill="1" applyBorder="1" applyAlignment="1">
      <x:alignment horizontal="center" wrapText="1"/>
    </x:xf>
    <x:xf numFmtId="0" fontId="9" fillId="21" borderId="21" xfId="0" applyNumberFormat="1" applyFont="1" applyFill="1" applyBorder="1" applyAlignment="1">
      <x:alignment horizontal="center" wrapText="1"/>
    </x:xf>
    <x:xf numFmtId="0" fontId="9" fillId="21" borderId="22" xfId="0" applyNumberFormat="1" applyFont="1" applyFill="1" applyBorder="1" applyAlignment="1">
      <x:alignment horizontal="center" wrapText="1"/>
    </x:xf>
    <x:xf numFmtId="0" fontId="9" fillId="21" borderId="23" xfId="0" applyNumberFormat="1" applyFont="1" applyFill="1" applyBorder="1" applyAlignment="1">
      <x:alignment horizontal="center" wrapText="1"/>
    </x:xf>
    <x:xf numFmtId="0" fontId="9" fillId="21" borderId="24" xfId="0" applyNumberFormat="1" applyFont="1" applyFill="1" applyBorder="1" applyAlignment="1">
      <x:alignment horizontal="center" wrapText="1"/>
    </x:xf>
    <x:xf numFmtId="0" fontId="9" fillId="21" borderId="25" xfId="0" applyNumberFormat="1" applyFont="1" applyFill="1" applyBorder="1" applyAlignment="1">
      <x:alignment horizontal="center" wrapText="1"/>
    </x:xf>
    <x:xf numFmtId="0" fontId="9" fillId="21" borderId="20" xfId="0" applyNumberFormat="1" applyFont="1" applyFill="1" applyBorder="1" applyAlignment="1">
      <x:alignment horizontal="center" vertical="center" wrapText="1"/>
    </x:xf>
    <x:xf numFmtId="0" fontId="9" fillId="21" borderId="21" xfId="0" applyNumberFormat="1" applyFont="1" applyFill="1" applyBorder="1" applyAlignment="1">
      <x:alignment horizontal="center" vertical="center" wrapText="1"/>
    </x:xf>
    <x:xf numFmtId="0" fontId="9" fillId="21" borderId="22" xfId="0" applyNumberFormat="1" applyFont="1" applyFill="1" applyBorder="1" applyAlignment="1">
      <x:alignment horizontal="center" vertical="center" wrapText="1"/>
    </x:xf>
    <x:xf numFmtId="0" fontId="9" fillId="21" borderId="23" xfId="0" applyNumberFormat="1" applyFont="1" applyFill="1" applyBorder="1" applyAlignment="1">
      <x:alignment horizontal="center" vertical="center" wrapText="1"/>
    </x:xf>
    <x:xf numFmtId="0" fontId="9" fillId="21" borderId="24" xfId="0" applyNumberFormat="1" applyFont="1" applyFill="1" applyBorder="1" applyAlignment="1">
      <x:alignment horizontal="center" vertical="center" wrapText="1"/>
    </x:xf>
    <x:xf numFmtId="0" fontId="9" fillId="21" borderId="25" xfId="0" applyNumberFormat="1" applyFont="1" applyFill="1" applyBorder="1" applyAlignment="1">
      <x:alignment horizontal="center" vertical="center" wrapText="1"/>
    </x:xf>
    <x:xf numFmtId="0" fontId="0" fillId="21" borderId="1" xfId="0" applyNumberFormat="1" applyFont="1" applyFill="1" applyBorder="1"/>
    <x:xf numFmtId="0" fontId="9" fillId="21" borderId="1" xfId="0" applyNumberFormat="1" applyFont="1" applyFill="1" applyBorder="1"/>
    <x:xf numFmtId="0" fontId="9" fillId="21" borderId="26" xfId="0" applyNumberFormat="1" applyFont="1" applyFill="1" applyBorder="1"/>
    <x:xf numFmtId="0" fontId="9" fillId="21" borderId="27" xfId="0" applyNumberFormat="1" applyFont="1" applyFill="1" applyBorder="1"/>
    <x:xf numFmtId="0" fontId="9" fillId="21" borderId="28" xfId="0" applyNumberFormat="1" applyFont="1" applyFill="1" applyBorder="1"/>
    <x:xf numFmtId="0" fontId="9" fillId="21" borderId="29" xfId="0" applyNumberFormat="1" applyFont="1" applyFill="1" applyBorder="1"/>
    <x:xf numFmtId="0" fontId="9" fillId="21" borderId="30" xfId="0" applyNumberFormat="1" applyFont="1" applyFill="1" applyBorder="1"/>
    <x:xf numFmtId="0" fontId="9" fillId="21" borderId="31" xfId="0" applyNumberFormat="1" applyFont="1" applyFill="1" applyBorder="1"/>
    <x:xf numFmtId="0" fontId="9" fillId="21" borderId="26" xfId="0" applyNumberFormat="1" applyFont="1" applyFill="1" applyBorder="1" applyAlignment="1">
      <x:alignment wrapText="1"/>
    </x:xf>
    <x:xf numFmtId="0" fontId="9" fillId="21" borderId="27" xfId="0" applyNumberFormat="1" applyFont="1" applyFill="1" applyBorder="1" applyAlignment="1">
      <x:alignment wrapText="1"/>
    </x:xf>
    <x:xf numFmtId="0" fontId="9" fillId="21" borderId="28" xfId="0" applyNumberFormat="1" applyFont="1" applyFill="1" applyBorder="1" applyAlignment="1">
      <x:alignment wrapText="1"/>
    </x:xf>
    <x:xf numFmtId="0" fontId="9" fillId="21" borderId="29" xfId="0" applyNumberFormat="1" applyFont="1" applyFill="1" applyBorder="1" applyAlignment="1">
      <x:alignment wrapText="1"/>
    </x:xf>
    <x:xf numFmtId="0" fontId="9" fillId="21" borderId="30" xfId="0" applyNumberFormat="1" applyFont="1" applyFill="1" applyBorder="1" applyAlignment="1">
      <x:alignment wrapText="1"/>
    </x:xf>
    <x:xf numFmtId="0" fontId="9" fillId="21" borderId="31" xfId="0" applyNumberFormat="1" applyFont="1" applyFill="1" applyBorder="1" applyAlignment="1">
      <x:alignment wrapText="1"/>
    </x:xf>
    <x:xf numFmtId="0" fontId="9" fillId="21" borderId="26" xfId="0" applyNumberFormat="1" applyFont="1" applyFill="1" applyBorder="1" applyAlignment="1">
      <x:alignment horizontal="center" wrapText="1"/>
    </x:xf>
    <x:xf numFmtId="0" fontId="9" fillId="21" borderId="27" xfId="0" applyNumberFormat="1" applyFont="1" applyFill="1" applyBorder="1" applyAlignment="1">
      <x:alignment horizontal="center" wrapText="1"/>
    </x:xf>
    <x:xf numFmtId="0" fontId="9" fillId="21" borderId="28" xfId="0" applyNumberFormat="1" applyFont="1" applyFill="1" applyBorder="1" applyAlignment="1">
      <x:alignment horizontal="center" wrapText="1"/>
    </x:xf>
    <x:xf numFmtId="0" fontId="9" fillId="21" borderId="29" xfId="0" applyNumberFormat="1" applyFont="1" applyFill="1" applyBorder="1" applyAlignment="1">
      <x:alignment horizontal="center" wrapText="1"/>
    </x:xf>
    <x:xf numFmtId="0" fontId="9" fillId="21" borderId="30" xfId="0" applyNumberFormat="1" applyFont="1" applyFill="1" applyBorder="1" applyAlignment="1">
      <x:alignment horizontal="center" wrapText="1"/>
    </x:xf>
    <x:xf numFmtId="0" fontId="9" fillId="21" borderId="31" xfId="0" applyNumberFormat="1" applyFont="1" applyFill="1" applyBorder="1" applyAlignment="1">
      <x:alignment horizontal="center" wrapText="1"/>
    </x:xf>
    <x:xf numFmtId="0" fontId="9" fillId="21" borderId="26" xfId="0" applyNumberFormat="1" applyFont="1" applyFill="1" applyBorder="1" applyAlignment="1">
      <x:alignment horizontal="center" vertical="center" wrapText="1"/>
    </x:xf>
    <x:xf numFmtId="0" fontId="9" fillId="21" borderId="27" xfId="0" applyNumberFormat="1" applyFont="1" applyFill="1" applyBorder="1" applyAlignment="1">
      <x:alignment horizontal="center" vertical="center" wrapText="1"/>
    </x:xf>
    <x:xf numFmtId="0" fontId="9" fillId="21" borderId="28" xfId="0" applyNumberFormat="1" applyFont="1" applyFill="1" applyBorder="1" applyAlignment="1">
      <x:alignment horizontal="center" vertical="center" wrapText="1"/>
    </x:xf>
    <x:xf numFmtId="0" fontId="9" fillId="21" borderId="29" xfId="0" applyNumberFormat="1" applyFont="1" applyFill="1" applyBorder="1" applyAlignment="1">
      <x:alignment horizontal="center" vertical="center" wrapText="1"/>
    </x:xf>
    <x:xf numFmtId="0" fontId="9" fillId="21" borderId="30" xfId="0" applyNumberFormat="1" applyFont="1" applyFill="1" applyBorder="1" applyAlignment="1">
      <x:alignment horizontal="center" vertical="center" wrapText="1"/>
    </x:xf>
    <x:xf numFmtId="0" fontId="9" fillId="21" borderId="3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20" xfId="0" applyNumberFormat="1" applyFont="1" applyFill="1" applyBorder="1"/>
    <x:xf numFmtId="0" fontId="10" fillId="15" borderId="21" xfId="0" applyNumberFormat="1" applyFont="1" applyFill="1" applyBorder="1"/>
    <x:xf numFmtId="0" fontId="10" fillId="15" borderId="22" xfId="0" applyNumberFormat="1" applyFont="1" applyFill="1" applyBorder="1"/>
    <x:xf numFmtId="0" fontId="10" fillId="15" borderId="23" xfId="0" applyNumberFormat="1" applyFont="1" applyFill="1" applyBorder="1"/>
    <x:xf numFmtId="0" fontId="10" fillId="15" borderId="24" xfId="0" applyNumberFormat="1" applyFont="1" applyFill="1" applyBorder="1"/>
    <x:xf numFmtId="0" fontId="10" fillId="15" borderId="25" xfId="0" applyNumberFormat="1" applyFont="1" applyFill="1" applyBorder="1"/>
    <x:xf numFmtId="0" fontId="10" fillId="15" borderId="20" xfId="0" applyNumberFormat="1" applyFont="1" applyFill="1" applyBorder="1" applyAlignment="1">
      <x:alignment wrapText="1"/>
    </x:xf>
    <x:xf numFmtId="0" fontId="10" fillId="15" borderId="21" xfId="0" applyNumberFormat="1" applyFont="1" applyFill="1" applyBorder="1" applyAlignment="1">
      <x:alignment wrapText="1"/>
    </x:xf>
    <x:xf numFmtId="0" fontId="10" fillId="15" borderId="22" xfId="0" applyNumberFormat="1" applyFont="1" applyFill="1" applyBorder="1" applyAlignment="1">
      <x:alignment wrapText="1"/>
    </x:xf>
    <x:xf numFmtId="0" fontId="10" fillId="15" borderId="23" xfId="0" applyNumberFormat="1" applyFont="1" applyFill="1" applyBorder="1" applyAlignment="1">
      <x:alignment wrapText="1"/>
    </x:xf>
    <x:xf numFmtId="0" fontId="10" fillId="15" borderId="24" xfId="0" applyNumberFormat="1" applyFont="1" applyFill="1" applyBorder="1" applyAlignment="1">
      <x:alignment wrapText="1"/>
    </x:xf>
    <x:xf numFmtId="0" fontId="10" fillId="15" borderId="25" xfId="0" applyNumberFormat="1" applyFont="1" applyFill="1" applyBorder="1" applyAlignment="1">
      <x:alignment wrapText="1"/>
    </x:xf>
    <x:xf numFmtId="0" fontId="10" fillId="15" borderId="20" xfId="0" applyNumberFormat="1" applyFont="1" applyFill="1" applyBorder="1" applyAlignment="1">
      <x:alignment horizontal="center" wrapText="1"/>
    </x:xf>
    <x:xf numFmtId="0" fontId="10" fillId="15" borderId="21" xfId="0" applyNumberFormat="1" applyFont="1" applyFill="1" applyBorder="1" applyAlignment="1">
      <x:alignment horizontal="center" wrapText="1"/>
    </x:xf>
    <x:xf numFmtId="0" fontId="10" fillId="15" borderId="22" xfId="0" applyNumberFormat="1" applyFont="1" applyFill="1" applyBorder="1" applyAlignment="1">
      <x:alignment horizontal="center" wrapText="1"/>
    </x:xf>
    <x:xf numFmtId="0" fontId="10" fillId="15" borderId="23" xfId="0" applyNumberFormat="1" applyFont="1" applyFill="1" applyBorder="1" applyAlignment="1">
      <x:alignment horizontal="center" wrapText="1"/>
    </x:xf>
    <x:xf numFmtId="0" fontId="10" fillId="15" borderId="24" xfId="0" applyNumberFormat="1" applyFont="1" applyFill="1" applyBorder="1" applyAlignment="1">
      <x:alignment horizontal="center" wrapText="1"/>
    </x:xf>
    <x:xf numFmtId="0" fontId="10" fillId="15" borderId="25" xfId="0" applyNumberFormat="1" applyFont="1" applyFill="1" applyBorder="1" applyAlignment="1">
      <x:alignment horizontal="center" wrapText="1"/>
    </x:xf>
    <x:xf numFmtId="0" fontId="10" fillId="15" borderId="20" xfId="0" applyNumberFormat="1" applyFont="1" applyFill="1" applyBorder="1" applyAlignment="1">
      <x:alignment horizontal="center" vertical="center" wrapText="1"/>
    </x:xf>
    <x:xf numFmtId="0" fontId="10" fillId="15" borderId="21" xfId="0" applyNumberFormat="1" applyFont="1" applyFill="1" applyBorder="1" applyAlignment="1">
      <x:alignment horizontal="center" vertical="center" wrapText="1"/>
    </x:xf>
    <x:xf numFmtId="0" fontId="10" fillId="15" borderId="22" xfId="0" applyNumberFormat="1" applyFont="1" applyFill="1" applyBorder="1" applyAlignment="1">
      <x:alignment horizontal="center" vertical="center" wrapText="1"/>
    </x:xf>
    <x:xf numFmtId="0" fontId="10" fillId="15" borderId="23" xfId="0" applyNumberFormat="1" applyFont="1" applyFill="1" applyBorder="1" applyAlignment="1">
      <x:alignment horizontal="center" vertical="center" wrapText="1"/>
    </x:xf>
    <x:xf numFmtId="0" fontId="10" fillId="15" borderId="24" xfId="0" applyNumberFormat="1" applyFont="1" applyFill="1" applyBorder="1" applyAlignment="1">
      <x:alignment horizontal="center" vertical="center" wrapText="1"/>
    </x:xf>
    <x:xf numFmtId="0" fontId="10" fillId="15" borderId="25" xfId="0" applyNumberFormat="1" applyFont="1" applyFill="1" applyBorder="1" applyAlignment="1">
      <x:alignment horizontal="center" vertical="center" wrapText="1"/>
    </x:xf>
    <x:xf numFmtId="0" fontId="0" fillId="15" borderId="1" xfId="0" applyNumberFormat="1" applyFont="1" applyFill="1" applyBorder="1"/>
    <x:xf numFmtId="0" fontId="10" fillId="15" borderId="1" xfId="0" applyNumberFormat="1" applyFont="1" applyFill="1" applyBorder="1"/>
    <x:xf numFmtId="0" fontId="10" fillId="15" borderId="26" xfId="0" applyNumberFormat="1" applyFont="1" applyFill="1" applyBorder="1"/>
    <x:xf numFmtId="0" fontId="10" fillId="15" borderId="27" xfId="0" applyNumberFormat="1" applyFont="1" applyFill="1" applyBorder="1"/>
    <x:xf numFmtId="0" fontId="10" fillId="15" borderId="28" xfId="0" applyNumberFormat="1" applyFont="1" applyFill="1" applyBorder="1"/>
    <x:xf numFmtId="0" fontId="10" fillId="15" borderId="29" xfId="0" applyNumberFormat="1" applyFont="1" applyFill="1" applyBorder="1"/>
    <x:xf numFmtId="0" fontId="10" fillId="15" borderId="30" xfId="0" applyNumberFormat="1" applyFont="1" applyFill="1" applyBorder="1"/>
    <x:xf numFmtId="0" fontId="10" fillId="15" borderId="31" xfId="0" applyNumberFormat="1" applyFont="1" applyFill="1" applyBorder="1"/>
    <x:xf numFmtId="0" fontId="10" fillId="15" borderId="26" xfId="0" applyNumberFormat="1" applyFont="1" applyFill="1" applyBorder="1" applyAlignment="1">
      <x:alignment wrapText="1"/>
    </x:xf>
    <x:xf numFmtId="0" fontId="10" fillId="15" borderId="27" xfId="0" applyNumberFormat="1" applyFont="1" applyFill="1" applyBorder="1" applyAlignment="1">
      <x:alignment wrapText="1"/>
    </x:xf>
    <x:xf numFmtId="0" fontId="10" fillId="15" borderId="28" xfId="0" applyNumberFormat="1" applyFont="1" applyFill="1" applyBorder="1" applyAlignment="1">
      <x:alignment wrapText="1"/>
    </x:xf>
    <x:xf numFmtId="0" fontId="10" fillId="15" borderId="29" xfId="0" applyNumberFormat="1" applyFont="1" applyFill="1" applyBorder="1" applyAlignment="1">
      <x:alignment wrapText="1"/>
    </x:xf>
    <x:xf numFmtId="0" fontId="10" fillId="15" borderId="30" xfId="0" applyNumberFormat="1" applyFont="1" applyFill="1" applyBorder="1" applyAlignment="1">
      <x:alignment wrapText="1"/>
    </x:xf>
    <x:xf numFmtId="0" fontId="10" fillId="15" borderId="31" xfId="0" applyNumberFormat="1" applyFont="1" applyFill="1" applyBorder="1" applyAlignment="1">
      <x:alignment wrapText="1"/>
    </x:xf>
    <x:xf numFmtId="0" fontId="10" fillId="15" borderId="26" xfId="0" applyNumberFormat="1" applyFont="1" applyFill="1" applyBorder="1" applyAlignment="1">
      <x:alignment horizontal="center" wrapText="1"/>
    </x:xf>
    <x:xf numFmtId="0" fontId="10" fillId="15" borderId="27" xfId="0" applyNumberFormat="1" applyFont="1" applyFill="1" applyBorder="1" applyAlignment="1">
      <x:alignment horizontal="center" wrapText="1"/>
    </x:xf>
    <x:xf numFmtId="0" fontId="10" fillId="15" borderId="28" xfId="0" applyNumberFormat="1" applyFont="1" applyFill="1" applyBorder="1" applyAlignment="1">
      <x:alignment horizontal="center" wrapText="1"/>
    </x:xf>
    <x:xf numFmtId="0" fontId="10" fillId="15" borderId="29" xfId="0" applyNumberFormat="1" applyFont="1" applyFill="1" applyBorder="1" applyAlignment="1">
      <x:alignment horizontal="center" wrapText="1"/>
    </x:xf>
    <x:xf numFmtId="0" fontId="10" fillId="15" borderId="30" xfId="0" applyNumberFormat="1" applyFont="1" applyFill="1" applyBorder="1" applyAlignment="1">
      <x:alignment horizontal="center" wrapText="1"/>
    </x:xf>
    <x:xf numFmtId="0" fontId="10" fillId="15" borderId="31" xfId="0" applyNumberFormat="1" applyFont="1" applyFill="1" applyBorder="1" applyAlignment="1">
      <x:alignment horizontal="center" wrapText="1"/>
    </x:xf>
    <x:xf numFmtId="0" fontId="10" fillId="15" borderId="26" xfId="0" applyNumberFormat="1" applyFont="1" applyFill="1" applyBorder="1" applyAlignment="1">
      <x:alignment horizontal="center" vertical="center" wrapText="1"/>
    </x:xf>
    <x:xf numFmtId="0" fontId="10" fillId="15" borderId="27" xfId="0" applyNumberFormat="1" applyFont="1" applyFill="1" applyBorder="1" applyAlignment="1">
      <x:alignment horizontal="center" vertical="center" wrapText="1"/>
    </x:xf>
    <x:xf numFmtId="0" fontId="10" fillId="15" borderId="28" xfId="0" applyNumberFormat="1" applyFont="1" applyFill="1" applyBorder="1" applyAlignment="1">
      <x:alignment horizontal="center" vertical="center" wrapText="1"/>
    </x:xf>
    <x:xf numFmtId="0" fontId="10" fillId="15" borderId="29" xfId="0" applyNumberFormat="1" applyFont="1" applyFill="1" applyBorder="1" applyAlignment="1">
      <x:alignment horizontal="center" vertical="center" wrapText="1"/>
    </x:xf>
    <x:xf numFmtId="0" fontId="10" fillId="15" borderId="30" xfId="0" applyNumberFormat="1" applyFont="1" applyFill="1" applyBorder="1" applyAlignment="1">
      <x:alignment horizontal="center" vertical="center" wrapText="1"/>
    </x:xf>
    <x:xf numFmtId="0" fontId="10" fillId="15" borderId="3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/>
    <x:xf numFmtId="0" fontId="11" fillId="6" borderId="1" xfId="0" applyNumberFormat="1" applyFont="1" applyFill="1" applyBorder="1"/>
    <x:xf numFmtId="0" fontId="6" fillId="0" borderId="32" xfId="0" applyNumberFormat="1" applyFont="1" applyFill="1" applyBorder="1"/>
    <x:xf numFmtId="0" fontId="6" fillId="0" borderId="32" xfId="0" applyNumberFormat="1" applyFont="1" applyFill="1" applyBorder="1" applyAlignment="1">
      <x:alignment wrapText="1"/>
    </x:xf>
    <x:xf numFmtId="0" fontId="6" fillId="0" borderId="32" xfId="0" applyNumberFormat="1" applyFont="1" applyFill="1" applyBorder="1" applyAlignment="1">
      <x:alignment vertical="center" wrapText="1"/>
    </x:xf>
    <x:xf numFmtId="0" fontId="6" fillId="0" borderId="33" xfId="0" applyNumberFormat="1" applyFont="1" applyFill="1" applyBorder="1"/>
    <x:xf numFmtId="0" fontId="6" fillId="0" borderId="33" xfId="0" applyNumberFormat="1" applyFont="1" applyFill="1" applyBorder="1" applyAlignment="1">
      <x:alignment wrapText="1"/>
    </x:xf>
    <x:xf numFmtId="0" fontId="6" fillId="0" borderId="33" xfId="0" applyNumberFormat="1" applyFont="1" applyFill="1" applyBorder="1" applyAlignment="1">
      <x:alignment vertical="center" wrapText="1"/>
    </x:xf>
    <x:xf numFmtId="0" fontId="6" fillId="22" borderId="32" xfId="0" applyNumberFormat="1" applyFont="1" applyFill="1" applyBorder="1" applyAlignment="1">
      <x:alignment vertical="center" wrapText="1"/>
    </x:xf>
    <x:xf numFmtId="0" fontId="12" fillId="22" borderId="32" xfId="0" applyNumberFormat="1" applyFont="1" applyFill="1" applyBorder="1" applyAlignment="1">
      <x:alignment vertical="center" wrapText="1"/>
    </x:xf>
    <x:xf numFmtId="0" fontId="12" fillId="22" borderId="34" xfId="0" applyNumberFormat="1" applyFont="1" applyFill="1" applyBorder="1" applyAlignment="1">
      <x:alignment vertical="center" wrapText="1"/>
    </x:xf>
    <x:xf numFmtId="0" fontId="12" fillId="22" borderId="34" xfId="0" applyNumberFormat="1" applyFont="1" applyFill="1" applyBorder="1" applyAlignment="1">
      <x:alignment horizontal="center" vertical="center" wrapText="1"/>
    </x:xf>
    <x:xf numFmtId="0" fontId="6" fillId="22" borderId="33" xfId="0" applyNumberFormat="1" applyFont="1" applyFill="1" applyBorder="1" applyAlignment="1">
      <x:alignment vertical="center" wrapText="1"/>
    </x:xf>
    <x:xf numFmtId="0" fontId="12" fillId="22" borderId="33" xfId="0" applyNumberFormat="1" applyFont="1" applyFill="1" applyBorder="1" applyAlignment="1">
      <x:alignment vertical="center" wrapText="1"/>
    </x:xf>
    <x:xf numFmtId="0" fontId="12" fillId="22" borderId="35" xfId="0" applyNumberFormat="1" applyFont="1" applyFill="1" applyBorder="1" applyAlignment="1">
      <x:alignment vertical="center" wrapText="1"/>
    </x:xf>
    <x:xf numFmtId="0" fontId="12" fillId="22" borderId="35" xfId="0" applyNumberFormat="1" applyFont="1" applyFill="1" applyBorder="1" applyAlignment="1">
      <x:alignment horizontal="center" vertical="center" wrapText="1"/>
    </x:xf>
    <x:xf numFmtId="0" fontId="6" fillId="0" borderId="32" xfId="0" applyNumberFormat="1" applyFont="1" applyFill="1" applyBorder="1" applyAlignment="1">
      <x:alignment horizontal="center" vertical="center" wrapText="1"/>
    </x:xf>
    <x:xf numFmtId="0" fontId="6" fillId="0" borderId="33" xfId="0" applyNumberFormat="1" applyFont="1" applyFill="1" applyBorder="1" applyAlignment="1">
      <x:alignment horizontal="center" vertical="center" wrapText="1"/>
    </x:xf>
    <x:xf numFmtId="0" fontId="3" fillId="0" borderId="32" xfId="0" applyNumberFormat="1" applyFont="1" applyFill="1" applyBorder="1" applyAlignment="1">
      <x:alignment vertical="center" wrapText="1"/>
    </x:xf>
    <x:xf numFmtId="0" fontId="3" fillId="0" borderId="33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/>
    <x:xf numFmtId="0" fontId="11" fillId="8" borderId="1" xfId="0" applyNumberFormat="1" applyFont="1" applyFill="1" applyBorder="1"/>
    <x:xf numFmtId="0" fontId="6" fillId="23" borderId="32" xfId="0" applyNumberFormat="1" applyFont="1" applyFill="1" applyBorder="1" applyAlignment="1">
      <x:alignment vertical="center" wrapText="1"/>
    </x:xf>
    <x:xf numFmtId="0" fontId="6" fillId="23" borderId="33" xfId="0" applyNumberFormat="1" applyFont="1" applyFill="1" applyBorder="1" applyAlignment="1">
      <x:alignment vertical="center" wrapText="1"/>
    </x:xf>
    <x:xf numFmtId="0" fontId="6" fillId="24" borderId="32" xfId="0" applyNumberFormat="1" applyFont="1" applyFill="1" applyBorder="1" applyAlignment="1">
      <x:alignment vertical="center" wrapText="1"/>
    </x:xf>
    <x:xf numFmtId="0" fontId="6" fillId="24" borderId="33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/>
    <x:xf numFmtId="0" fontId="11" fillId="9" borderId="1" xfId="0" applyNumberFormat="1" applyFont="1" applyFill="1" applyBorder="1"/>
    <x:xf numFmtId="0" fontId="13" fillId="0" borderId="32" xfId="0" applyNumberFormat="1" applyFont="1" applyFill="1" applyBorder="1" applyAlignment="1">
      <x:alignment vertical="center" wrapText="1"/>
    </x:xf>
    <x:xf numFmtId="0" fontId="13" fillId="0" borderId="33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1" borderId="1" xfId="0" applyNumberFormat="1" applyFont="1" applyFill="1" applyBorder="1"/>
    <x:xf numFmtId="0" fontId="11" fillId="11" borderId="1" xfId="0" applyNumberFormat="1" applyFont="1" applyFill="1" applyBorder="1"/>
    <x:xf numFmtId="0" fontId="6" fillId="25" borderId="32" xfId="0" applyNumberFormat="1" applyFont="1" applyFill="1" applyBorder="1" applyAlignment="1">
      <x:alignment vertical="center" wrapText="1"/>
    </x:xf>
    <x:xf numFmtId="0" fontId="6" fillId="25" borderId="33" xfId="0" applyNumberFormat="1" applyFont="1" applyFill="1" applyBorder="1" applyAlignment="1">
      <x:alignment vertical="center" wrapText="1"/>
    </x:xf>
    <x:xf numFmtId="0" fontId="14" fillId="25" borderId="32" xfId="0" applyNumberFormat="1" applyFont="1" applyFill="1" applyBorder="1" applyAlignment="1">
      <x:alignment vertical="center" wrapText="1"/>
    </x:xf>
    <x:xf numFmtId="0" fontId="14" fillId="25" borderId="33" xfId="0" applyNumberFormat="1" applyFont="1" applyFill="1" applyBorder="1" applyAlignment="1">
      <x:alignment vertical="center" wrapText="1"/>
    </x:xf>
    <x:xf numFmtId="0" fontId="6" fillId="26" borderId="32" xfId="0" applyNumberFormat="1" applyFont="1" applyFill="1" applyBorder="1" applyAlignment="1">
      <x:alignment vertical="center" wrapText="1"/>
    </x:xf>
    <x:xf numFmtId="0" fontId="6" fillId="26" borderId="33" xfId="0" applyNumberFormat="1" applyFont="1" applyFill="1" applyBorder="1" applyAlignment="1">
      <x:alignment vertical="center" wrapText="1"/>
    </x:xf>
    <x:xf numFmtId="0" fontId="15" fillId="26" borderId="32" xfId="0" applyNumberFormat="1" applyFont="1" applyFill="1" applyBorder="1" applyAlignment="1">
      <x:alignment vertical="center" wrapText="1"/>
    </x:xf>
    <x:xf numFmtId="0" fontId="15" fillId="26" borderId="33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/>
    <x:xf numFmtId="0" fontId="16" fillId="4" borderId="36" xfId="0" applyNumberFormat="1" applyFont="1" applyFill="1" applyBorder="1"/>
    <x:xf numFmtId="0" fontId="16" fillId="4" borderId="37" xfId="0" applyNumberFormat="1" applyFont="1" applyFill="1" applyBorder="1"/>
    <x:xf numFmtId="0" fontId="16" fillId="4" borderId="38" xfId="0" applyNumberFormat="1" applyFont="1" applyFill="1" applyBorder="1"/>
    <x:xf numFmtId="0" fontId="16" fillId="4" borderId="39" xfId="0" applyNumberFormat="1" applyFont="1" applyFill="1" applyBorder="1"/>
    <x:xf numFmtId="0" fontId="16" fillId="4" borderId="40" xfId="0" applyNumberFormat="1" applyFont="1" applyFill="1" applyBorder="1"/>
    <x:xf numFmtId="0" fontId="16" fillId="4" borderId="41" xfId="0" applyNumberFormat="1" applyFont="1" applyFill="1" applyBorder="1"/>
    <x:xf numFmtId="0" fontId="16" fillId="4" borderId="42" xfId="0" applyNumberFormat="1" applyFont="1" applyFill="1" applyBorder="1"/>
    <x:xf numFmtId="0" fontId="16" fillId="4" borderId="43" xfId="0" applyNumberFormat="1" applyFont="1" applyFill="1" applyBorder="1"/>
    <x:xf numFmtId="0" fontId="16" fillId="4" borderId="36" xfId="0" applyNumberFormat="1" applyFont="1" applyFill="1" applyBorder="1" applyAlignment="1">
      <x:alignment wrapText="1"/>
    </x:xf>
    <x:xf numFmtId="0" fontId="16" fillId="4" borderId="37" xfId="0" applyNumberFormat="1" applyFont="1" applyFill="1" applyBorder="1" applyAlignment="1">
      <x:alignment wrapText="1"/>
    </x:xf>
    <x:xf numFmtId="0" fontId="16" fillId="4" borderId="38" xfId="0" applyNumberFormat="1" applyFont="1" applyFill="1" applyBorder="1" applyAlignment="1">
      <x:alignment wrapText="1"/>
    </x:xf>
    <x:xf numFmtId="0" fontId="16" fillId="4" borderId="39" xfId="0" applyNumberFormat="1" applyFont="1" applyFill="1" applyBorder="1" applyAlignment="1">
      <x:alignment wrapText="1"/>
    </x:xf>
    <x:xf numFmtId="0" fontId="16" fillId="4" borderId="0" xfId="0" applyNumberFormat="1" applyFont="1" applyFill="1" applyBorder="1" applyAlignment="1">
      <x:alignment wrapText="1"/>
    </x:xf>
    <x:xf numFmtId="0" fontId="16" fillId="4" borderId="40" xfId="0" applyNumberFormat="1" applyFont="1" applyFill="1" applyBorder="1" applyAlignment="1">
      <x:alignment wrapText="1"/>
    </x:xf>
    <x:xf numFmtId="0" fontId="16" fillId="4" borderId="41" xfId="0" applyNumberFormat="1" applyFont="1" applyFill="1" applyBorder="1" applyAlignment="1">
      <x:alignment wrapText="1"/>
    </x:xf>
    <x:xf numFmtId="0" fontId="16" fillId="4" borderId="42" xfId="0" applyNumberFormat="1" applyFont="1" applyFill="1" applyBorder="1" applyAlignment="1">
      <x:alignment wrapText="1"/>
    </x:xf>
    <x:xf numFmtId="0" fontId="16" fillId="4" borderId="43" xfId="0" applyNumberFormat="1" applyFont="1" applyFill="1" applyBorder="1" applyAlignment="1">
      <x:alignment wrapText="1"/>
    </x:xf>
    <x:xf numFmtId="0" fontId="16" fillId="4" borderId="36" xfId="0" applyNumberFormat="1" applyFont="1" applyFill="1" applyBorder="1" applyAlignment="1">
      <x:alignment horizontal="left" wrapText="1"/>
    </x:xf>
    <x:xf numFmtId="0" fontId="16" fillId="4" borderId="37" xfId="0" applyNumberFormat="1" applyFont="1" applyFill="1" applyBorder="1" applyAlignment="1">
      <x:alignment horizontal="left" wrapText="1"/>
    </x:xf>
    <x:xf numFmtId="0" fontId="16" fillId="4" borderId="38" xfId="0" applyNumberFormat="1" applyFont="1" applyFill="1" applyBorder="1" applyAlignment="1">
      <x:alignment horizontal="left" wrapText="1"/>
    </x:xf>
    <x:xf numFmtId="0" fontId="16" fillId="4" borderId="39" xfId="0" applyNumberFormat="1" applyFont="1" applyFill="1" applyBorder="1" applyAlignment="1">
      <x:alignment horizontal="left" wrapText="1"/>
    </x:xf>
    <x:xf numFmtId="0" fontId="16" fillId="4" borderId="0" xfId="0" applyNumberFormat="1" applyFont="1" applyFill="1" applyBorder="1" applyAlignment="1">
      <x:alignment horizontal="left" wrapText="1"/>
    </x:xf>
    <x:xf numFmtId="0" fontId="16" fillId="4" borderId="40" xfId="0" applyNumberFormat="1" applyFont="1" applyFill="1" applyBorder="1" applyAlignment="1">
      <x:alignment horizontal="left" wrapText="1"/>
    </x:xf>
    <x:xf numFmtId="0" fontId="16" fillId="4" borderId="41" xfId="0" applyNumberFormat="1" applyFont="1" applyFill="1" applyBorder="1" applyAlignment="1">
      <x:alignment horizontal="left" wrapText="1"/>
    </x:xf>
    <x:xf numFmtId="0" fontId="16" fillId="4" borderId="42" xfId="0" applyNumberFormat="1" applyFont="1" applyFill="1" applyBorder="1" applyAlignment="1">
      <x:alignment horizontal="left" wrapText="1"/>
    </x:xf>
    <x:xf numFmtId="0" fontId="16" fillId="4" borderId="43" xfId="0" applyNumberFormat="1" applyFont="1" applyFill="1" applyBorder="1" applyAlignment="1">
      <x:alignment horizontal="left" wrapText="1"/>
    </x:xf>
    <x:xf numFmtId="0" fontId="16" fillId="4" borderId="36" xfId="0" applyNumberFormat="1" applyFont="1" applyFill="1" applyBorder="1" applyAlignment="1">
      <x:alignment horizontal="left" vertical="center" wrapText="1"/>
    </x:xf>
    <x:xf numFmtId="0" fontId="16" fillId="4" borderId="37" xfId="0" applyNumberFormat="1" applyFont="1" applyFill="1" applyBorder="1" applyAlignment="1">
      <x:alignment horizontal="left" vertical="center" wrapText="1"/>
    </x:xf>
    <x:xf numFmtId="0" fontId="16" fillId="4" borderId="38" xfId="0" applyNumberFormat="1" applyFont="1" applyFill="1" applyBorder="1" applyAlignment="1">
      <x:alignment horizontal="left" vertical="center" wrapText="1"/>
    </x:xf>
    <x:xf numFmtId="0" fontId="16" fillId="4" borderId="39" xfId="0" applyNumberFormat="1" applyFont="1" applyFill="1" applyBorder="1" applyAlignment="1">
      <x:alignment horizontal="left" vertical="center" wrapText="1"/>
    </x:xf>
    <x:xf numFmtId="0" fontId="16" fillId="4" borderId="0" xfId="0" applyNumberFormat="1" applyFont="1" applyFill="1" applyBorder="1" applyAlignment="1">
      <x:alignment horizontal="left" vertical="center" wrapText="1"/>
    </x:xf>
    <x:xf numFmtId="0" fontId="16" fillId="4" borderId="40" xfId="0" applyNumberFormat="1" applyFont="1" applyFill="1" applyBorder="1" applyAlignment="1">
      <x:alignment horizontal="left" vertical="center" wrapText="1"/>
    </x:xf>
    <x:xf numFmtId="0" fontId="16" fillId="4" borderId="41" xfId="0" applyNumberFormat="1" applyFont="1" applyFill="1" applyBorder="1" applyAlignment="1">
      <x:alignment horizontal="left" vertical="center" wrapText="1"/>
    </x:xf>
    <x:xf numFmtId="0" fontId="16" fillId="4" borderId="42" xfId="0" applyNumberFormat="1" applyFont="1" applyFill="1" applyBorder="1" applyAlignment="1">
      <x:alignment horizontal="left" vertical="center" wrapText="1"/>
    </x:xf>
    <x:xf numFmtId="0" fontId="16" fillId="4" borderId="43" xfId="0" applyNumberFormat="1" applyFont="1" applyFill="1" applyBorder="1" applyAlignment="1">
      <x:alignment horizontal="left" vertical="center" wrapText="1"/>
    </x:xf>
    <x:xf numFmtId="0" fontId="16" fillId="4" borderId="1" xfId="0" applyNumberFormat="1" applyFont="1" applyFill="1" applyBorder="1"/>
    <x:xf numFmtId="0" fontId="16" fillId="4" borderId="44" xfId="0" applyNumberFormat="1" applyFont="1" applyFill="1" applyBorder="1"/>
    <x:xf numFmtId="0" fontId="16" fillId="4" borderId="45" xfId="0" applyNumberFormat="1" applyFont="1" applyFill="1" applyBorder="1"/>
    <x:xf numFmtId="0" fontId="16" fillId="4" borderId="46" xfId="0" applyNumberFormat="1" applyFont="1" applyFill="1" applyBorder="1"/>
    <x:xf numFmtId="0" fontId="16" fillId="4" borderId="47" xfId="0" applyNumberFormat="1" applyFont="1" applyFill="1" applyBorder="1"/>
    <x:xf numFmtId="0" fontId="16" fillId="4" borderId="48" xfId="0" applyNumberFormat="1" applyFont="1" applyFill="1" applyBorder="1"/>
    <x:xf numFmtId="0" fontId="16" fillId="4" borderId="49" xfId="0" applyNumberFormat="1" applyFont="1" applyFill="1" applyBorder="1"/>
    <x:xf numFmtId="0" fontId="16" fillId="4" borderId="50" xfId="0" applyNumberFormat="1" applyFont="1" applyFill="1" applyBorder="1"/>
    <x:xf numFmtId="0" fontId="16" fillId="4" borderId="51" xfId="0" applyNumberFormat="1" applyFont="1" applyFill="1" applyBorder="1"/>
    <x:xf numFmtId="0" fontId="16" fillId="4" borderId="44" xfId="0" applyNumberFormat="1" applyFont="1" applyFill="1" applyBorder="1" applyAlignment="1">
      <x:alignment wrapText="1"/>
    </x:xf>
    <x:xf numFmtId="0" fontId="16" fillId="4" borderId="45" xfId="0" applyNumberFormat="1" applyFont="1" applyFill="1" applyBorder="1" applyAlignment="1">
      <x:alignment wrapText="1"/>
    </x:xf>
    <x:xf numFmtId="0" fontId="16" fillId="4" borderId="46" xfId="0" applyNumberFormat="1" applyFont="1" applyFill="1" applyBorder="1" applyAlignment="1">
      <x:alignment wrapText="1"/>
    </x:xf>
    <x:xf numFmtId="0" fontId="16" fillId="4" borderId="47" xfId="0" applyNumberFormat="1" applyFont="1" applyFill="1" applyBorder="1" applyAlignment="1">
      <x:alignment wrapText="1"/>
    </x:xf>
    <x:xf numFmtId="0" fontId="16" fillId="4" borderId="1" xfId="0" applyNumberFormat="1" applyFont="1" applyFill="1" applyBorder="1" applyAlignment="1">
      <x:alignment wrapText="1"/>
    </x:xf>
    <x:xf numFmtId="0" fontId="16" fillId="4" borderId="48" xfId="0" applyNumberFormat="1" applyFont="1" applyFill="1" applyBorder="1" applyAlignment="1">
      <x:alignment wrapText="1"/>
    </x:xf>
    <x:xf numFmtId="0" fontId="16" fillId="4" borderId="49" xfId="0" applyNumberFormat="1" applyFont="1" applyFill="1" applyBorder="1" applyAlignment="1">
      <x:alignment wrapText="1"/>
    </x:xf>
    <x:xf numFmtId="0" fontId="16" fillId="4" borderId="50" xfId="0" applyNumberFormat="1" applyFont="1" applyFill="1" applyBorder="1" applyAlignment="1">
      <x:alignment wrapText="1"/>
    </x:xf>
    <x:xf numFmtId="0" fontId="16" fillId="4" borderId="51" xfId="0" applyNumberFormat="1" applyFont="1" applyFill="1" applyBorder="1" applyAlignment="1">
      <x:alignment wrapText="1"/>
    </x:xf>
    <x:xf numFmtId="0" fontId="16" fillId="4" borderId="44" xfId="0" applyNumberFormat="1" applyFont="1" applyFill="1" applyBorder="1" applyAlignment="1">
      <x:alignment horizontal="left" wrapText="1"/>
    </x:xf>
    <x:xf numFmtId="0" fontId="16" fillId="4" borderId="45" xfId="0" applyNumberFormat="1" applyFont="1" applyFill="1" applyBorder="1" applyAlignment="1">
      <x:alignment horizontal="left" wrapText="1"/>
    </x:xf>
    <x:xf numFmtId="0" fontId="16" fillId="4" borderId="46" xfId="0" applyNumberFormat="1" applyFont="1" applyFill="1" applyBorder="1" applyAlignment="1">
      <x:alignment horizontal="left" wrapText="1"/>
    </x:xf>
    <x:xf numFmtId="0" fontId="16" fillId="4" borderId="47" xfId="0" applyNumberFormat="1" applyFont="1" applyFill="1" applyBorder="1" applyAlignment="1">
      <x:alignment horizontal="left" wrapText="1"/>
    </x:xf>
    <x:xf numFmtId="0" fontId="16" fillId="4" borderId="1" xfId="0" applyNumberFormat="1" applyFont="1" applyFill="1" applyBorder="1" applyAlignment="1">
      <x:alignment horizontal="left" wrapText="1"/>
    </x:xf>
    <x:xf numFmtId="0" fontId="16" fillId="4" borderId="48" xfId="0" applyNumberFormat="1" applyFont="1" applyFill="1" applyBorder="1" applyAlignment="1">
      <x:alignment horizontal="left" wrapText="1"/>
    </x:xf>
    <x:xf numFmtId="0" fontId="16" fillId="4" borderId="49" xfId="0" applyNumberFormat="1" applyFont="1" applyFill="1" applyBorder="1" applyAlignment="1">
      <x:alignment horizontal="left" wrapText="1"/>
    </x:xf>
    <x:xf numFmtId="0" fontId="16" fillId="4" borderId="50" xfId="0" applyNumberFormat="1" applyFont="1" applyFill="1" applyBorder="1" applyAlignment="1">
      <x:alignment horizontal="left" wrapText="1"/>
    </x:xf>
    <x:xf numFmtId="0" fontId="16" fillId="4" borderId="51" xfId="0" applyNumberFormat="1" applyFont="1" applyFill="1" applyBorder="1" applyAlignment="1">
      <x:alignment horizontal="left" wrapText="1"/>
    </x:xf>
    <x:xf numFmtId="0" fontId="16" fillId="4" borderId="44" xfId="0" applyNumberFormat="1" applyFont="1" applyFill="1" applyBorder="1" applyAlignment="1">
      <x:alignment horizontal="left" vertical="center" wrapText="1"/>
    </x:xf>
    <x:xf numFmtId="0" fontId="16" fillId="4" borderId="45" xfId="0" applyNumberFormat="1" applyFont="1" applyFill="1" applyBorder="1" applyAlignment="1">
      <x:alignment horizontal="left" vertical="center" wrapText="1"/>
    </x:xf>
    <x:xf numFmtId="0" fontId="16" fillId="4" borderId="46" xfId="0" applyNumberFormat="1" applyFont="1" applyFill="1" applyBorder="1" applyAlignment="1">
      <x:alignment horizontal="left" vertical="center" wrapText="1"/>
    </x:xf>
    <x:xf numFmtId="0" fontId="16" fillId="4" borderId="47" xfId="0" applyNumberFormat="1" applyFont="1" applyFill="1" applyBorder="1" applyAlignment="1">
      <x:alignment horizontal="left" vertical="center" wrapText="1"/>
    </x:xf>
    <x:xf numFmtId="0" fontId="16" fillId="4" borderId="1" xfId="0" applyNumberFormat="1" applyFont="1" applyFill="1" applyBorder="1" applyAlignment="1">
      <x:alignment horizontal="left" vertical="center" wrapText="1"/>
    </x:xf>
    <x:xf numFmtId="0" fontId="16" fillId="4" borderId="48" xfId="0" applyNumberFormat="1" applyFont="1" applyFill="1" applyBorder="1" applyAlignment="1">
      <x:alignment horizontal="left" vertical="center" wrapText="1"/>
    </x:xf>
    <x:xf numFmtId="0" fontId="16" fillId="4" borderId="49" xfId="0" applyNumberFormat="1" applyFont="1" applyFill="1" applyBorder="1" applyAlignment="1">
      <x:alignment horizontal="left" vertical="center" wrapText="1"/>
    </x:xf>
    <x:xf numFmtId="0" fontId="16" fillId="4" borderId="50" xfId="0" applyNumberFormat="1" applyFont="1" applyFill="1" applyBorder="1" applyAlignment="1">
      <x:alignment horizontal="left" vertical="center" wrapText="1"/>
    </x:xf>
    <x:xf numFmtId="0" fontId="16" fillId="4" borderId="51" xfId="0" applyNumberFormat="1" applyFont="1" applyFill="1" applyBorder="1" applyAlignment="1">
      <x:alignment horizontal="left" vertical="center" wrapText="1"/>
    </x:xf>
    <x:xf numFmtId="0" fontId="17" fillId="2" borderId="0" xfId="0" applyNumberFormat="1" applyFont="1" applyFill="1" applyBorder="1"/>
    <x:xf numFmtId="0" fontId="17" fillId="2" borderId="0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1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5" fillId="6" borderId="16" xfId="0" applyNumberFormat="1" applyFont="1" applyFill="1" applyBorder="1"/>
    <x:xf numFmtId="0" fontId="5" fillId="6" borderId="16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horizontal="center" wrapText="1"/>
    </x:xf>
    <x:xf numFmtId="0" fontId="5" fillId="6" borderId="16" xfId="0" applyNumberFormat="1" applyFont="1" applyFill="1" applyBorder="1" applyAlignment="1">
      <x:alignment horizontal="center" vertical="center" wrapText="1"/>
    </x:xf>
    <x:xf numFmtId="0" fontId="5" fillId="6" borderId="17" xfId="0" applyNumberFormat="1" applyFont="1" applyFill="1" applyBorder="1"/>
    <x:xf numFmtId="0" fontId="5" fillId="6" borderId="17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horizontal="center" wrapText="1"/>
    </x:xf>
    <x:xf numFmtId="0" fontId="5" fillId="6" borderId="17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/>
    <x:xf numFmtId="0" fontId="18" fillId="0" borderId="32" xfId="0" applyNumberFormat="1" applyFont="1" applyFill="1" applyBorder="1"/>
    <x:xf numFmtId="0" fontId="18" fillId="0" borderId="32" xfId="0" applyNumberFormat="1" applyFont="1" applyFill="1" applyBorder="1" applyAlignment="1">
      <x:alignment wrapText="1"/>
    </x:xf>
    <x:xf numFmtId="0" fontId="18" fillId="0" borderId="32" xfId="0" applyNumberFormat="1" applyFont="1" applyFill="1" applyBorder="1" applyAlignment="1">
      <x:alignment vertical="center" wrapText="1"/>
    </x:xf>
    <x:xf numFmtId="0" fontId="18" fillId="0" borderId="1" xfId="0" applyNumberFormat="1" applyFont="1" applyFill="1" applyBorder="1"/>
    <x:xf numFmtId="0" fontId="18" fillId="0" borderId="33" xfId="0" applyNumberFormat="1" applyFont="1" applyFill="1" applyBorder="1"/>
    <x:xf numFmtId="0" fontId="18" fillId="0" borderId="33" xfId="0" applyNumberFormat="1" applyFont="1" applyFill="1" applyBorder="1" applyAlignment="1">
      <x:alignment wrapText="1"/>
    </x:xf>
    <x:xf numFmtId="0" fontId="18" fillId="0" borderId="33" xfId="0" applyNumberFormat="1" applyFont="1" applyFill="1" applyBorder="1" applyAlignment="1">
      <x:alignment vertical="center" wrapText="1"/>
    </x:xf>
    <x:xf numFmtId="0" fontId="18" fillId="15" borderId="32" xfId="0" applyNumberFormat="1" applyFont="1" applyFill="1" applyBorder="1" applyAlignment="1">
      <x:alignment vertical="center" wrapText="1"/>
    </x:xf>
    <x:xf numFmtId="0" fontId="19" fillId="15" borderId="32" xfId="0" applyNumberFormat="1" applyFont="1" applyFill="1" applyBorder="1" applyAlignment="1">
      <x:alignment vertical="center" wrapText="1"/>
    </x:xf>
    <x:xf numFmtId="0" fontId="18" fillId="15" borderId="33" xfId="0" applyNumberFormat="1" applyFont="1" applyFill="1" applyBorder="1" applyAlignment="1">
      <x:alignment vertical="center" wrapText="1"/>
    </x:xf>
    <x:xf numFmtId="0" fontId="19" fillId="15" borderId="33" xfId="0" applyNumberFormat="1" applyFont="1" applyFill="1" applyBorder="1" applyAlignment="1">
      <x:alignment vertical="center" wrapText="1"/>
    </x:xf>
    <x:xf numFmtId="0" fontId="18" fillId="4" borderId="32" xfId="0" applyNumberFormat="1" applyFont="1" applyFill="1" applyBorder="1" applyAlignment="1">
      <x:alignment vertical="center" wrapText="1"/>
    </x:xf>
    <x:xf numFmtId="0" fontId="20" fillId="4" borderId="32" xfId="0" applyNumberFormat="1" applyFont="1" applyFill="1" applyBorder="1" applyAlignment="1">
      <x:alignment vertical="center" wrapText="1"/>
    </x:xf>
    <x:xf numFmtId="0" fontId="18" fillId="4" borderId="33" xfId="0" applyNumberFormat="1" applyFont="1" applyFill="1" applyBorder="1" applyAlignment="1">
      <x:alignment vertical="center" wrapText="1"/>
    </x:xf>
    <x:xf numFmtId="0" fontId="20" fillId="4" borderId="33" xfId="0" applyNumberFormat="1" applyFont="1" applyFill="1" applyBorder="1" applyAlignment="1">
      <x:alignment vertical="center" wrapText="1"/>
    </x:xf>
    <x:xf numFmtId="0" fontId="18" fillId="21" borderId="32" xfId="0" applyNumberFormat="1" applyFont="1" applyFill="1" applyBorder="1" applyAlignment="1">
      <x:alignment vertical="center" wrapText="1"/>
    </x:xf>
    <x:xf numFmtId="0" fontId="21" fillId="21" borderId="32" xfId="0" applyNumberFormat="1" applyFont="1" applyFill="1" applyBorder="1" applyAlignment="1">
      <x:alignment vertical="center" wrapText="1"/>
    </x:xf>
    <x:xf numFmtId="0" fontId="18" fillId="21" borderId="33" xfId="0" applyNumberFormat="1" applyFont="1" applyFill="1" applyBorder="1" applyAlignment="1">
      <x:alignment vertical="center" wrapText="1"/>
    </x:xf>
    <x:xf numFmtId="0" fontId="21" fillId="21" borderId="33" xfId="0" applyNumberFormat="1" applyFont="1" applyFill="1" applyBorder="1" applyAlignment="1">
      <x:alignment vertical="center" wrapText="1"/>
    </x:xf>
    <x:xf numFmtId="0" fontId="18" fillId="20" borderId="32" xfId="0" applyNumberFormat="1" applyFont="1" applyFill="1" applyBorder="1" applyAlignment="1">
      <x:alignment vertical="center" wrapText="1"/>
    </x:xf>
    <x:xf numFmtId="0" fontId="22" fillId="20" borderId="32" xfId="0" applyNumberFormat="1" applyFont="1" applyFill="1" applyBorder="1" applyAlignment="1">
      <x:alignment vertical="center" wrapText="1"/>
    </x:xf>
    <x:xf numFmtId="0" fontId="18" fillId="20" borderId="33" xfId="0" applyNumberFormat="1" applyFont="1" applyFill="1" applyBorder="1" applyAlignment="1">
      <x:alignment vertical="center" wrapText="1"/>
    </x:xf>
    <x:xf numFmtId="0" fontId="22" fillId="20" borderId="33" xfId="0" applyNumberFormat="1" applyFont="1" applyFill="1" applyBorder="1" applyAlignment="1">
      <x:alignment vertical="center" wrapText="1"/>
    </x:xf>
    <x:xf numFmtId="0" fontId="6" fillId="15" borderId="32" xfId="0" applyNumberFormat="1" applyFont="1" applyFill="1" applyBorder="1" applyAlignment="1">
      <x:alignment vertical="center" wrapText="1"/>
    </x:xf>
    <x:xf numFmtId="0" fontId="6" fillId="15" borderId="33" xfId="0" applyNumberFormat="1" applyFont="1" applyFill="1" applyBorder="1" applyAlignment="1">
      <x:alignment vertical="center" wrapText="1"/>
    </x:xf>
    <x:xf numFmtId="0" fontId="6" fillId="16" borderId="32" xfId="0" applyNumberFormat="1" applyFont="1" applyFill="1" applyBorder="1" applyAlignment="1">
      <x:alignment vertical="center" wrapText="1"/>
    </x:xf>
    <x:xf numFmtId="0" fontId="6" fillId="16" borderId="33" xfId="0" applyNumberFormat="1" applyFont="1" applyFill="1" applyBorder="1" applyAlignment="1">
      <x:alignment vertical="center" wrapText="1"/>
    </x:xf>
    <x:xf numFmtId="0" fontId="6" fillId="17" borderId="32" xfId="0" applyNumberFormat="1" applyFont="1" applyFill="1" applyBorder="1" applyAlignment="1">
      <x:alignment vertical="center" wrapText="1"/>
    </x:xf>
    <x:xf numFmtId="0" fontId="6" fillId="17" borderId="33" xfId="0" applyNumberFormat="1" applyFont="1" applyFill="1" applyBorder="1" applyAlignment="1">
      <x:alignment vertical="center" wrapText="1"/>
    </x:xf>
    <x:xf numFmtId="0" fontId="6" fillId="18" borderId="32" xfId="0" applyNumberFormat="1" applyFont="1" applyFill="1" applyBorder="1" applyAlignment="1">
      <x:alignment vertical="center" wrapText="1"/>
    </x:xf>
    <x:xf numFmtId="0" fontId="6" fillId="18" borderId="33" xfId="0" applyNumberFormat="1" applyFont="1" applyFill="1" applyBorder="1" applyAlignment="1">
      <x:alignment vertical="center" wrapText="1"/>
    </x:xf>
    <x:xf numFmtId="201" fontId="6" fillId="16" borderId="32" xfId="0" applyNumberFormat="1" applyFont="1" applyFill="1" applyBorder="1" applyAlignment="1">
      <x:alignment vertical="center" wrapText="1"/>
    </x:xf>
    <x:xf numFmtId="201" fontId="6" fillId="16" borderId="33" xfId="0" applyNumberFormat="1" applyFont="1" applyFill="1" applyBorder="1" applyAlignment="1">
      <x:alignment vertical="center" wrapText="1"/>
    </x:xf>
    <x:xf numFmtId="201" fontId="6" fillId="0" borderId="32" xfId="0" applyNumberFormat="1" applyFont="1" applyFill="1" applyBorder="1" applyAlignment="1">
      <x:alignment vertical="center" wrapText="1"/>
    </x:xf>
    <x:xf numFmtId="201" fontId="6" fillId="0" borderId="33" xfId="0" applyNumberFormat="1" applyFont="1" applyFill="1" applyBorder="1" applyAlignment="1">
      <x:alignment vertical="center" wrapText="1"/>
    </x:xf>
    <x:xf numFmtId="201" fontId="6" fillId="18" borderId="32" xfId="0" applyNumberFormat="1" applyFont="1" applyFill="1" applyBorder="1" applyAlignment="1">
      <x:alignment vertical="center" wrapText="1"/>
    </x:xf>
    <x:xf numFmtId="201" fontId="6" fillId="18" borderId="33" xfId="0" applyNumberFormat="1" applyFont="1" applyFill="1" applyBorder="1" applyAlignment="1">
      <x:alignment vertical="center" wrapText="1"/>
    </x:xf>
    <x:xf numFmtId="202" fontId="6" fillId="16" borderId="32" xfId="0" applyNumberFormat="1" applyFont="1" applyFill="1" applyBorder="1" applyAlignment="1">
      <x:alignment vertical="center" wrapText="1"/>
    </x:xf>
    <x:xf numFmtId="202" fontId="6" fillId="16" borderId="33" xfId="0" applyNumberFormat="1" applyFont="1" applyFill="1" applyBorder="1" applyAlignment="1">
      <x:alignment vertical="center" wrapText="1"/>
    </x:xf>
    <x:xf numFmtId="202" fontId="6" fillId="0" borderId="32" xfId="0" applyNumberFormat="1" applyFont="1" applyFill="1" applyBorder="1" applyAlignment="1">
      <x:alignment vertical="center" wrapText="1"/>
    </x:xf>
    <x:xf numFmtId="202" fontId="6" fillId="0" borderId="33" xfId="0" applyNumberFormat="1" applyFont="1" applyFill="1" applyBorder="1" applyAlignment="1">
      <x:alignment vertical="center" wrapText="1"/>
    </x:xf>
    <x:xf numFmtId="202" fontId="6" fillId="15" borderId="32" xfId="0" applyNumberFormat="1" applyFont="1" applyFill="1" applyBorder="1" applyAlignment="1">
      <x:alignment vertical="center" wrapText="1"/>
    </x:xf>
    <x:xf numFmtId="202" fontId="6" fillId="15" borderId="33" xfId="0" applyNumberFormat="1" applyFont="1" applyFill="1" applyBorder="1" applyAlignment="1">
      <x:alignment vertical="center" wrapText="1"/>
    </x:xf>
    <x:xf numFmtId="202" fontId="6" fillId="17" borderId="32" xfId="0" applyNumberFormat="1" applyFont="1" applyFill="1" applyBorder="1" applyAlignment="1">
      <x:alignment vertical="center" wrapText="1"/>
    </x:xf>
    <x:xf numFmtId="202" fontId="6" fillId="17" borderId="33" xfId="0" applyNumberFormat="1" applyFont="1" applyFill="1" applyBorder="1" applyAlignment="1">
      <x:alignment vertical="center" wrapText="1"/>
    </x:xf>
    <x:xf numFmtId="200" fontId="6" fillId="16" borderId="32" xfId="0" applyNumberFormat="1" applyFont="1" applyFill="1" applyBorder="1" applyAlignment="1">
      <x:alignment vertical="center" wrapText="1"/>
    </x:xf>
    <x:xf numFmtId="200" fontId="6" fillId="16" borderId="33" xfId="0" applyNumberFormat="1" applyFont="1" applyFill="1" applyBorder="1" applyAlignment="1">
      <x:alignment vertical="center" wrapText="1"/>
    </x:xf>
    <x:xf numFmtId="200" fontId="6" fillId="17" borderId="32" xfId="0" applyNumberFormat="1" applyFont="1" applyFill="1" applyBorder="1" applyAlignment="1">
      <x:alignment vertical="center" wrapText="1"/>
    </x:xf>
    <x:xf numFmtId="200" fontId="6" fillId="17" borderId="33" xfId="0" applyNumberFormat="1" applyFont="1" applyFill="1" applyBorder="1" applyAlignment="1">
      <x:alignment vertical="center" wrapText="1"/>
    </x:xf>
    <x:xf numFmtId="203" fontId="6" fillId="18" borderId="32" xfId="0" applyNumberFormat="1" applyFont="1" applyFill="1" applyBorder="1" applyAlignment="1">
      <x:alignment vertical="center" wrapText="1"/>
    </x:xf>
    <x:xf numFmtId="203" fontId="6" fillId="18" borderId="33" xfId="0" applyNumberFormat="1" applyFont="1" applyFill="1" applyBorder="1" applyAlignment="1">
      <x:alignment vertical="center" wrapText="1"/>
    </x:xf>
    <x:xf numFmtId="0" fontId="6" fillId="6" borderId="32" xfId="0" applyNumberFormat="1" applyFont="1" applyFill="1" applyBorder="1" applyAlignment="1">
      <x:alignment vertical="center" wrapText="1"/>
    </x:xf>
    <x:xf numFmtId="0" fontId="5" fillId="6" borderId="32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vertical="center" wrapText="1"/>
    </x:xf>
    <x:xf numFmtId="0" fontId="6" fillId="6" borderId="33" xfId="0" applyNumberFormat="1" applyFont="1" applyFill="1" applyBorder="1" applyAlignment="1">
      <x:alignment vertical="center" wrapText="1"/>
    </x:xf>
    <x:xf numFmtId="0" fontId="5" fillId="6" borderId="33" xfId="0" applyNumberFormat="1" applyFont="1" applyFill="1" applyBorder="1" applyAlignment="1">
      <x:alignment vertical="center" wrapText="1"/>
    </x:xf>
    <x:xf numFmtId="0" fontId="5" fillId="6" borderId="1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9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b06194fda4b85" /><Relationship Type="http://schemas.openxmlformats.org/officeDocument/2006/relationships/theme" Target="/xl/theme/theme1.xml" Id="Rac9a2aab00c34394" /><Relationship Type="http://schemas.openxmlformats.org/officeDocument/2006/relationships/sharedStrings" Target="/xl/sharedStrings.xml" Id="Rccb7aae6f0b04bd3" /><Relationship Type="http://schemas.openxmlformats.org/officeDocument/2006/relationships/worksheet" Target="/xl/worksheets/sheet1.xml" Id="Rdff9845a52f2429c" /><Relationship Type="http://schemas.openxmlformats.org/officeDocument/2006/relationships/worksheet" Target="/xl/worksheets/sheet2.xml" Id="R9e1bb7092b464cb8" /><Relationship Type="http://schemas.openxmlformats.org/officeDocument/2006/relationships/worksheet" Target="/xl/worksheets/sheet3.xml" Id="Reefa7381d5774460" /><Relationship Type="http://schemas.openxmlformats.org/officeDocument/2006/relationships/worksheet" Target="/xl/worksheets/sheet4.xml" Id="Rd65b63a071104312" /><Relationship Type="http://schemas.openxmlformats.org/officeDocument/2006/relationships/worksheet" Target="/xl/worksheets/sheet5.xml" Id="R91af75c797284a00" /></Relationships>
</file>

<file path=xl/tables/table1.xml><?xml version="1.0" encoding="utf-8"?>
<x:table xmlns:x="http://schemas.openxmlformats.org/spreadsheetml/2006/main" id="1" name="UnifiedInjectionPlanTable" displayName="UnifiedInjectionPlanTable" ref="A5:AD1005" headerRowCount="1" totalsRowCount="0" totalsRowShown="0">
  <x:tableColumns count="30">
    <x:tableColumn id="1" name="行号（自动）"/>
    <x:tableColumn id="2" name="单号*"/>
    <x:tableColumn id="3" name="货号"/>
    <x:tableColumn id="4" name="工模编号*"/>
    <x:tableColumn id="5" name="产品名称*"/>
    <x:tableColumn id="6" name="仓库"/>
    <x:tableColumn id="7" name="订单数量*"/>
    <x:tableColumn id="8" name="已完成数量"/>
    <x:tableColumn id="9" name="欠数（自动）"/>
    <x:tableColumn id="10" name="交货完成期*"/>
    <x:tableColumn id="11" name="优先级"/>
    <x:tableColumn id="12" name="模具安数"/>
    <x:tableColumn id="13" name="整啤净重(g)"/>
    <x:tableColumn id="14" name="整啤毛重(g)"/>
    <x:tableColumn id="15" name="标准日产量"/>
    <x:tableColumn id="16" name="材料"/>
    <x:tableColumn id="17" name="颜色/色号"/>
    <x:tableColumn id="18" name="颜色深浅"/>
    <x:tableColumn id="19" name="单双臂"/>
    <x:tableColumn id="20" name="夹具"/>
    <x:tableColumn id="21" name="特殊工艺"/>
    <x:tableColumn id="22" name="齐料日期"/>
    <x:tableColumn id="23" name="模具可用日期"/>
    <x:tableColumn id="24" name="当前机台"/>
    <x:tableColumn id="25" name="执行状态"/>
    <x:tableColumn id="26" name="计划开始"/>
    <x:tableColumn id="27" name="计划完成"/>
    <x:tableColumn id="28" name="锁定"/>
    <x:tableColumn id="29" name="备注"/>
    <x:tableColumn id="30" name="填表检查（自动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fiedFieldSpecTable" displayName="UnifiedFieldSpecTable" ref="A3:H33" headerRowCount="1" totalsRowCount="0" totalsRowShown="0">
  <x:tableColumns count="8">
    <x:tableColumn id="1" name="序号"/>
    <x:tableColumn id="2" name="表头"/>
    <x:tableColumn id="3" name="系统字段 / 处理"/>
    <x:tableColumn id="4" name="级别"/>
    <x:tableColumn id="5" name="类型 / 格式"/>
    <x:tableColumn id="6" name="旧表字段来源"/>
    <x:tableColumn id="7" name="填写规则"/>
    <x:tableColumn id="8" name="系统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3873501e894c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5352441628483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6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  <x:col min="9" max="9" width="11" hidden="0" customWidth="1"/>
    <x:col min="10" max="10" width="13" hidden="0" customWidth="1"/>
    <x:col min="11" max="11" width="10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14" hidden="0" customWidth="1"/>
    <x:col min="17" max="17" width="18" hidden="0" customWidth="1"/>
    <x:col min="18" max="18" width="10" hidden="0" customWidth="1"/>
    <x:col min="19" max="19" width="10" hidden="0" customWidth="1"/>
    <x:col min="20" max="20" width="12" hidden="0" customWidth="1"/>
    <x:col min="21" max="21" width="20" hidden="0" customWidth="1"/>
    <x:col min="22" max="22" width="13" hidden="0" customWidth="1"/>
    <x:col min="23" max="23" width="13" hidden="0" customWidth="1"/>
    <x:col min="24" max="24" width="12" hidden="0" customWidth="1"/>
    <x:col min="25" max="25" width="11" hidden="0" customWidth="1"/>
    <x:col min="26" max="26" width="18" hidden="0" customWidth="1"/>
    <x:col min="27" max="27" width="18" hidden="0" customWidth="1"/>
    <x:col min="28" max="28" width="9" hidden="0" customWidth="1"/>
    <x:col min="29" max="29" width="26" hidden="0" customWidth="1"/>
    <x:col min="30" max="30" width="22" hidden="0" customWidth="1"/>
  </x:cols>
  <x:sheetData>
    <x:row r="1" ht="34" customHeight="1">
      <x:c r="A1" s="5" t="str">
        <x:v>Royal Regent Nexus｜集团统一注塑排产导入模板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</x:row>
    <x:row r="2" ht="25" customHeight="1">
      <x:c r="A2" s="16" t="str">
        <x:v>模板版本</x:v>
      </x:c>
      <x:c r="B2" s="21" t="str">
        <x:v>RR-ISP-1.0</x:v>
      </x:c>
      <x:c r="C2" s="12"/>
      <x:c r="D2" s="16" t="str">
        <x:v>业务日期</x:v>
      </x:c>
      <x:c r="E2" s="26"/>
      <x:c r="F2" s="12"/>
      <x:c r="G2" s="16" t="str">
        <x:v>填表人</x:v>
      </x:c>
      <x:c r="H2" s="12"/>
      <x:c r="I2" s="12"/>
      <x:c r="J2" s="16" t="str">
        <x:v>厂区</x:v>
      </x:c>
      <x:c r="K2" s="12" t="str">
        <x:v>请在系统导入页面选择厂区；同一个文件不要混合多个厂区的数据。</x:v>
      </x:c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</x:row>
    <x:row r="3" ht="30" customHeight="1">
      <x:c r="A3" s="39" t="str">
        <x:v>使用原则：一行代表一个生产任务；不要增加机台标题行，不要合并业务单元格，不要改名/增删表头。当前机台留空＝进入待排池；填写当前机台＝按本表行顺序接管该机台现有队列。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  <x:c r="AA3" s="40"/>
      <x:c r="AB3" s="40"/>
      <x:c r="AC3" s="40"/>
      <x:c r="AD3" s="41"/>
    </x:row>
    <x:row r="4" ht="22" customHeight="1">
      <x:c r="A4" s="64" t="str">
        <x:v>订单身份</x:v>
      </x:c>
      <x:c r="B4" s="65"/>
      <x:c r="C4" s="65"/>
      <x:c r="D4" s="65"/>
      <x:c r="E4" s="66"/>
      <x:c r="F4" s="86" t="str">
        <x:v>数量与进度</x:v>
      </x:c>
      <x:c r="G4" s="87"/>
      <x:c r="H4" s="87"/>
      <x:c r="I4" s="88"/>
      <x:c r="J4" s="108" t="str">
        <x:v>排机关键资料</x:v>
      </x:c>
      <x:c r="K4" s="109"/>
      <x:c r="L4" s="109"/>
      <x:c r="M4" s="109"/>
      <x:c r="N4" s="109"/>
      <x:c r="O4" s="109"/>
      <x:c r="P4" s="109"/>
      <x:c r="Q4" s="109"/>
      <x:c r="R4" s="109"/>
      <x:c r="S4" s="109"/>
      <x:c r="T4" s="109"/>
      <x:c r="U4" s="109"/>
      <x:c r="V4" s="109"/>
      <x:c r="W4" s="110"/>
      <x:c r="X4" s="130" t="str">
        <x:v>已有排期接管（可选）</x:v>
      </x:c>
      <x:c r="Y4" s="131"/>
      <x:c r="Z4" s="131"/>
      <x:c r="AA4" s="131"/>
      <x:c r="AB4" s="132"/>
      <x:c r="AC4" s="150" t="str">
        <x:v>备注 / 检查</x:v>
      </x:c>
      <x:c r="AD4" s="151"/>
    </x:row>
    <x:row r="5" ht="40" customHeight="1">
      <x:c r="A5" s="176" t="str">
        <x:v>行号（自动）</x:v>
      </x:c>
      <x:c r="B5" s="170" t="str">
        <x:v>单号*</x:v>
      </x:c>
      <x:c r="C5" s="164" t="str">
        <x:v>货号</x:v>
      </x:c>
      <x:c r="D5" s="170" t="str">
        <x:v>工模编号*</x:v>
      </x:c>
      <x:c r="E5" s="170" t="str">
        <x:v>产品名称*</x:v>
      </x:c>
      <x:c r="F5" s="164" t="str">
        <x:v>仓库</x:v>
      </x:c>
      <x:c r="G5" s="170" t="str">
        <x:v>订单数量*</x:v>
      </x:c>
      <x:c r="H5" s="164" t="str">
        <x:v>已完成数量</x:v>
      </x:c>
      <x:c r="I5" s="176" t="str">
        <x:v>欠数（自动）</x:v>
      </x:c>
      <x:c r="J5" s="170" t="str">
        <x:v>交货完成期*</x:v>
      </x:c>
      <x:c r="K5" s="172" t="str">
        <x:v>优先级</x:v>
      </x:c>
      <x:c r="L5" s="172" t="str">
        <x:v>模具安数</x:v>
      </x:c>
      <x:c r="M5" s="172" t="str">
        <x:v>整啤净重(g)</x:v>
      </x:c>
      <x:c r="N5" s="172" t="str">
        <x:v>整啤毛重(g)</x:v>
      </x:c>
      <x:c r="O5" s="172" t="str">
        <x:v>标准日产量</x:v>
      </x:c>
      <x:c r="P5" s="172" t="str">
        <x:v>材料</x:v>
      </x:c>
      <x:c r="Q5" s="172" t="str">
        <x:v>颜色/色号</x:v>
      </x:c>
      <x:c r="R5" s="172" t="str">
        <x:v>颜色深浅</x:v>
      </x:c>
      <x:c r="S5" s="172" t="str">
        <x:v>单双臂</x:v>
      </x:c>
      <x:c r="T5" s="172" t="str">
        <x:v>夹具</x:v>
      </x:c>
      <x:c r="U5" s="172" t="str">
        <x:v>特殊工艺</x:v>
      </x:c>
      <x:c r="V5" s="172" t="str">
        <x:v>齐料日期</x:v>
      </x:c>
      <x:c r="W5" s="172" t="str">
        <x:v>模具可用日期</x:v>
      </x:c>
      <x:c r="X5" s="174" t="str">
        <x:v>当前机台</x:v>
      </x:c>
      <x:c r="Y5" s="174" t="str">
        <x:v>执行状态</x:v>
      </x:c>
      <x:c r="Z5" s="174" t="str">
        <x:v>计划开始</x:v>
      </x:c>
      <x:c r="AA5" s="174" t="str">
        <x:v>计划完成</x:v>
      </x:c>
      <x:c r="AB5" s="174" t="str">
        <x:v>锁定</x:v>
      </x:c>
      <x:c r="AC5" s="164" t="str">
        <x:v>备注</x:v>
      </x:c>
      <x:c r="AD5" s="176" t="str">
        <x:v>填表检查（自动）</x:v>
      </x:c>
    </x:row>
    <x:row r="6" ht="22" customHeight="1">
      <x:c r="A6" s="186" t="str">
        <x:f>IF(B6="","",ROW()-5)</x:f>
      </x:c>
      <x:c r="B6" s="196"/>
      <x:c r="C6" s="198"/>
      <x:c r="D6" s="196"/>
      <x:c r="E6" s="188"/>
      <x:c r="F6" s="198"/>
      <x:c r="G6" s="202"/>
      <x:c r="H6" s="204"/>
      <x:c r="I6" s="206" t="str">
        <x:f>IF(G6="","",MAX(G6-H6,0))</x:f>
      </x:c>
      <x:c r="J6" s="210"/>
      <x:c r="K6" s="190"/>
      <x:c r="L6" s="208"/>
      <x:c r="M6" s="208"/>
      <x:c r="N6" s="208"/>
      <x:c r="O6" s="208"/>
      <x:c r="P6" s="190"/>
      <x:c r="Q6" s="190"/>
      <x:c r="R6" s="190"/>
      <x:c r="S6" s="190"/>
      <x:c r="T6" s="190"/>
      <x:c r="U6" s="190"/>
      <x:c r="V6" s="212"/>
      <x:c r="W6" s="212"/>
      <x:c r="X6" s="200"/>
      <x:c r="Y6" s="192"/>
      <x:c r="Z6" s="214"/>
      <x:c r="AA6" s="214"/>
      <x:c r="AB6" s="192"/>
      <x:c r="AC6" s="194"/>
      <x:c r="AD6" s="186" t="str">
        <x:f>IF(COUNTA(B6:H6)+COUNTA(J6:AC6)=0,"",IF(OR(B6="",D6="",E6="",G6="",J6=""),"缺少必填项",IF(H6&gt;G6,"完成数大于订单数",IF(AND(X6="",OR(Y6="排队",Y6="生产中",Y6="阻塞",Z6&lt;&gt;"",AA6&lt;&gt;"",AB6="是")),"已有排期字段缺少机台",IF(AND(X6&lt;&gt;"",Y6="待排"),"已填机台但状态为待排",IF(AND(Y6="生产中",AB6&lt;&gt;"是"),"需确认：生产中未锁定","可导入"))))))</x:f>
      </x:c>
    </x:row>
    <x:row r="7" ht="22" customHeight="1">
      <x:c r="A7" s="186" t="str">
        <x:f>IF(B7="","",ROW()-5)</x:f>
      </x:c>
      <x:c r="B7" s="196"/>
      <x:c r="C7" s="198"/>
      <x:c r="D7" s="196"/>
      <x:c r="E7" s="188"/>
      <x:c r="F7" s="198"/>
      <x:c r="G7" s="202"/>
      <x:c r="H7" s="204"/>
      <x:c r="I7" s="206" t="str">
        <x:f>IF(G7="","",MAX(G7-H7,0))</x:f>
      </x:c>
      <x:c r="J7" s="210"/>
      <x:c r="K7" s="190"/>
      <x:c r="L7" s="208"/>
      <x:c r="M7" s="208"/>
      <x:c r="N7" s="208"/>
      <x:c r="O7" s="208"/>
      <x:c r="P7" s="190"/>
      <x:c r="Q7" s="190"/>
      <x:c r="R7" s="190"/>
      <x:c r="S7" s="190"/>
      <x:c r="T7" s="190"/>
      <x:c r="U7" s="190"/>
      <x:c r="V7" s="212"/>
      <x:c r="W7" s="212"/>
      <x:c r="X7" s="200"/>
      <x:c r="Y7" s="192"/>
      <x:c r="Z7" s="214"/>
      <x:c r="AA7" s="214"/>
      <x:c r="AB7" s="192"/>
      <x:c r="AC7" s="194"/>
      <x:c r="AD7" s="186" t="str">
        <x:f>IF(COUNTA(B7:H7)+COUNTA(J7:AC7)=0,"",IF(OR(B7="",D7="",E7="",G7="",J7=""),"缺少必填项",IF(H7&gt;G7,"完成数大于订单数",IF(AND(X7="",OR(Y7="排队",Y7="生产中",Y7="阻塞",Z7&lt;&gt;"",AA7&lt;&gt;"",AB7="是")),"已有排期字段缺少机台",IF(AND(X7&lt;&gt;"",Y7="待排"),"已填机台但状态为待排",IF(AND(Y7="生产中",AB7&lt;&gt;"是"),"需确认：生产中未锁定","可导入"))))))</x:f>
      </x:c>
    </x:row>
    <x:row r="8" ht="22" customHeight="1">
      <x:c r="A8" s="186" t="str">
        <x:f>IF(B8="","",ROW()-5)</x:f>
      </x:c>
      <x:c r="B8" s="196"/>
      <x:c r="C8" s="198"/>
      <x:c r="D8" s="196"/>
      <x:c r="E8" s="188"/>
      <x:c r="F8" s="198"/>
      <x:c r="G8" s="202"/>
      <x:c r="H8" s="204"/>
      <x:c r="I8" s="206" t="str">
        <x:f>IF(G8="","",MAX(G8-H8,0))</x:f>
      </x:c>
      <x:c r="J8" s="210"/>
      <x:c r="K8" s="190"/>
      <x:c r="L8" s="208"/>
      <x:c r="M8" s="208"/>
      <x:c r="N8" s="208"/>
      <x:c r="O8" s="208"/>
      <x:c r="P8" s="190"/>
      <x:c r="Q8" s="190"/>
      <x:c r="R8" s="190"/>
      <x:c r="S8" s="190"/>
      <x:c r="T8" s="190"/>
      <x:c r="U8" s="190"/>
      <x:c r="V8" s="212"/>
      <x:c r="W8" s="212"/>
      <x:c r="X8" s="200"/>
      <x:c r="Y8" s="192"/>
      <x:c r="Z8" s="214"/>
      <x:c r="AA8" s="214"/>
      <x:c r="AB8" s="192"/>
      <x:c r="AC8" s="194"/>
      <x:c r="AD8" s="186" t="str">
        <x:f>IF(COUNTA(B8:H8)+COUNTA(J8:AC8)=0,"",IF(OR(B8="",D8="",E8="",G8="",J8=""),"缺少必填项",IF(H8&gt;G8,"完成数大于订单数",IF(AND(X8="",OR(Y8="排队",Y8="生产中",Y8="阻塞",Z8&lt;&gt;"",AA8&lt;&gt;"",AB8="是")),"已有排期字段缺少机台",IF(AND(X8&lt;&gt;"",Y8="待排"),"已填机台但状态为待排",IF(AND(Y8="生产中",AB8&lt;&gt;"是"),"需确认：生产中未锁定","可导入"))))))</x:f>
      </x:c>
    </x:row>
    <x:row r="9" ht="22" customHeight="1">
      <x:c r="A9" s="186" t="str">
        <x:f>IF(B9="","",ROW()-5)</x:f>
      </x:c>
      <x:c r="B9" s="196"/>
      <x:c r="C9" s="198"/>
      <x:c r="D9" s="196"/>
      <x:c r="E9" s="188"/>
      <x:c r="F9" s="198"/>
      <x:c r="G9" s="202"/>
      <x:c r="H9" s="204"/>
      <x:c r="I9" s="206" t="str">
        <x:f>IF(G9="","",MAX(G9-H9,0))</x:f>
      </x:c>
      <x:c r="J9" s="210"/>
      <x:c r="K9" s="190"/>
      <x:c r="L9" s="208"/>
      <x:c r="M9" s="208"/>
      <x:c r="N9" s="208"/>
      <x:c r="O9" s="208"/>
      <x:c r="P9" s="190"/>
      <x:c r="Q9" s="190"/>
      <x:c r="R9" s="190"/>
      <x:c r="S9" s="190"/>
      <x:c r="T9" s="190"/>
      <x:c r="U9" s="190"/>
      <x:c r="V9" s="212"/>
      <x:c r="W9" s="212"/>
      <x:c r="X9" s="200"/>
      <x:c r="Y9" s="192"/>
      <x:c r="Z9" s="214"/>
      <x:c r="AA9" s="214"/>
      <x:c r="AB9" s="192"/>
      <x:c r="AC9" s="194"/>
      <x:c r="AD9" s="186" t="str">
        <x:f>IF(COUNTA(B9:H9)+COUNTA(J9:AC9)=0,"",IF(OR(B9="",D9="",E9="",G9="",J9=""),"缺少必填项",IF(H9&gt;G9,"完成数大于订单数",IF(AND(X9="",OR(Y9="排队",Y9="生产中",Y9="阻塞",Z9&lt;&gt;"",AA9&lt;&gt;"",AB9="是")),"已有排期字段缺少机台",IF(AND(X9&lt;&gt;"",Y9="待排"),"已填机台但状态为待排",IF(AND(Y9="生产中",AB9&lt;&gt;"是"),"需确认：生产中未锁定","可导入"))))))</x:f>
      </x:c>
    </x:row>
    <x:row r="10" ht="22" customHeight="1">
      <x:c r="A10" s="186" t="str">
        <x:f>IF(B10="","",ROW()-5)</x:f>
      </x:c>
      <x:c r="B10" s="196"/>
      <x:c r="C10" s="198"/>
      <x:c r="D10" s="196"/>
      <x:c r="E10" s="188"/>
      <x:c r="F10" s="198"/>
      <x:c r="G10" s="202"/>
      <x:c r="H10" s="204"/>
      <x:c r="I10" s="206" t="str">
        <x:f>IF(G10="","",MAX(G10-H10,0))</x:f>
      </x:c>
      <x:c r="J10" s="210"/>
      <x:c r="K10" s="190"/>
      <x:c r="L10" s="208"/>
      <x:c r="M10" s="208"/>
      <x:c r="N10" s="208"/>
      <x:c r="O10" s="208"/>
      <x:c r="P10" s="190"/>
      <x:c r="Q10" s="190"/>
      <x:c r="R10" s="190"/>
      <x:c r="S10" s="190"/>
      <x:c r="T10" s="190"/>
      <x:c r="U10" s="190"/>
      <x:c r="V10" s="212"/>
      <x:c r="W10" s="212"/>
      <x:c r="X10" s="200"/>
      <x:c r="Y10" s="192"/>
      <x:c r="Z10" s="214"/>
      <x:c r="AA10" s="214"/>
      <x:c r="AB10" s="192"/>
      <x:c r="AC10" s="194"/>
      <x:c r="AD10" s="186" t="str">
        <x:f>IF(COUNTA(B10:H10)+COUNTA(J10:AC10)=0,"",IF(OR(B10="",D10="",E10="",G10="",J10=""),"缺少必填项",IF(H10&gt;G10,"完成数大于订单数",IF(AND(X10="",OR(Y10="排队",Y10="生产中",Y10="阻塞",Z10&lt;&gt;"",AA10&lt;&gt;"",AB10="是")),"已有排期字段缺少机台",IF(AND(X10&lt;&gt;"",Y10="待排"),"已填机台但状态为待排",IF(AND(Y10="生产中",AB10&lt;&gt;"是"),"需确认：生产中未锁定","可导入"))))))</x:f>
      </x:c>
    </x:row>
    <x:row r="11" ht="22" customHeight="1">
      <x:c r="A11" s="186" t="str">
        <x:f>IF(B11="","",ROW()-5)</x:f>
      </x:c>
      <x:c r="B11" s="196"/>
      <x:c r="C11" s="198"/>
      <x:c r="D11" s="196"/>
      <x:c r="E11" s="188"/>
      <x:c r="F11" s="198"/>
      <x:c r="G11" s="202"/>
      <x:c r="H11" s="204"/>
      <x:c r="I11" s="206" t="str">
        <x:f>IF(G11="","",MAX(G11-H11,0))</x:f>
      </x:c>
      <x:c r="J11" s="210"/>
      <x:c r="K11" s="190"/>
      <x:c r="L11" s="208"/>
      <x:c r="M11" s="208"/>
      <x:c r="N11" s="208"/>
      <x:c r="O11" s="208"/>
      <x:c r="P11" s="190"/>
      <x:c r="Q11" s="190"/>
      <x:c r="R11" s="190"/>
      <x:c r="S11" s="190"/>
      <x:c r="T11" s="190"/>
      <x:c r="U11" s="190"/>
      <x:c r="V11" s="212"/>
      <x:c r="W11" s="212"/>
      <x:c r="X11" s="200"/>
      <x:c r="Y11" s="192"/>
      <x:c r="Z11" s="214"/>
      <x:c r="AA11" s="214"/>
      <x:c r="AB11" s="192"/>
      <x:c r="AC11" s="194"/>
      <x:c r="AD11" s="186" t="str">
        <x:f>IF(COUNTA(B11:H11)+COUNTA(J11:AC11)=0,"",IF(OR(B11="",D11="",E11="",G11="",J11=""),"缺少必填项",IF(H11&gt;G11,"完成数大于订单数",IF(AND(X11="",OR(Y11="排队",Y11="生产中",Y11="阻塞",Z11&lt;&gt;"",AA11&lt;&gt;"",AB11="是")),"已有排期字段缺少机台",IF(AND(X11&lt;&gt;"",Y11="待排"),"已填机台但状态为待排",IF(AND(Y11="生产中",AB11&lt;&gt;"是"),"需确认：生产中未锁定","可导入"))))))</x:f>
      </x:c>
    </x:row>
    <x:row r="12" ht="22" customHeight="1">
      <x:c r="A12" s="186" t="str">
        <x:f>IF(B12="","",ROW()-5)</x:f>
      </x:c>
      <x:c r="B12" s="196"/>
      <x:c r="C12" s="198"/>
      <x:c r="D12" s="196"/>
      <x:c r="E12" s="188"/>
      <x:c r="F12" s="198"/>
      <x:c r="G12" s="202"/>
      <x:c r="H12" s="204"/>
      <x:c r="I12" s="206" t="str">
        <x:f>IF(G12="","",MAX(G12-H12,0))</x:f>
      </x:c>
      <x:c r="J12" s="210"/>
      <x:c r="K12" s="190"/>
      <x:c r="L12" s="208"/>
      <x:c r="M12" s="208"/>
      <x:c r="N12" s="208"/>
      <x:c r="O12" s="208"/>
      <x:c r="P12" s="190"/>
      <x:c r="Q12" s="190"/>
      <x:c r="R12" s="190"/>
      <x:c r="S12" s="190"/>
      <x:c r="T12" s="190"/>
      <x:c r="U12" s="190"/>
      <x:c r="V12" s="212"/>
      <x:c r="W12" s="212"/>
      <x:c r="X12" s="200"/>
      <x:c r="Y12" s="192"/>
      <x:c r="Z12" s="214"/>
      <x:c r="AA12" s="214"/>
      <x:c r="AB12" s="192"/>
      <x:c r="AC12" s="194"/>
      <x:c r="AD12" s="186" t="str">
        <x:f>IF(COUNTA(B12:H12)+COUNTA(J12:AC12)=0,"",IF(OR(B12="",D12="",E12="",G12="",J12=""),"缺少必填项",IF(H12&gt;G12,"完成数大于订单数",IF(AND(X12="",OR(Y12="排队",Y12="生产中",Y12="阻塞",Z12&lt;&gt;"",AA12&lt;&gt;"",AB12="是")),"已有排期字段缺少机台",IF(AND(X12&lt;&gt;"",Y12="待排"),"已填机台但状态为待排",IF(AND(Y12="生产中",AB12&lt;&gt;"是"),"需确认：生产中未锁定","可导入"))))))</x:f>
      </x:c>
    </x:row>
    <x:row r="13" ht="22" customHeight="1">
      <x:c r="A13" s="186" t="str">
        <x:f>IF(B13="","",ROW()-5)</x:f>
      </x:c>
      <x:c r="B13" s="196"/>
      <x:c r="C13" s="198"/>
      <x:c r="D13" s="196"/>
      <x:c r="E13" s="188"/>
      <x:c r="F13" s="198"/>
      <x:c r="G13" s="202"/>
      <x:c r="H13" s="204"/>
      <x:c r="I13" s="206" t="str">
        <x:f>IF(G13="","",MAX(G13-H13,0))</x:f>
      </x:c>
      <x:c r="J13" s="210"/>
      <x:c r="K13" s="190"/>
      <x:c r="L13" s="208"/>
      <x:c r="M13" s="208"/>
      <x:c r="N13" s="208"/>
      <x:c r="O13" s="208"/>
      <x:c r="P13" s="190"/>
      <x:c r="Q13" s="190"/>
      <x:c r="R13" s="190"/>
      <x:c r="S13" s="190"/>
      <x:c r="T13" s="190"/>
      <x:c r="U13" s="190"/>
      <x:c r="V13" s="212"/>
      <x:c r="W13" s="212"/>
      <x:c r="X13" s="200"/>
      <x:c r="Y13" s="192"/>
      <x:c r="Z13" s="214"/>
      <x:c r="AA13" s="214"/>
      <x:c r="AB13" s="192"/>
      <x:c r="AC13" s="194"/>
      <x:c r="AD13" s="186" t="str">
        <x:f>IF(COUNTA(B13:H13)+COUNTA(J13:AC13)=0,"",IF(OR(B13="",D13="",E13="",G13="",J13=""),"缺少必填项",IF(H13&gt;G13,"完成数大于订单数",IF(AND(X13="",OR(Y13="排队",Y13="生产中",Y13="阻塞",Z13&lt;&gt;"",AA13&lt;&gt;"",AB13="是")),"已有排期字段缺少机台",IF(AND(X13&lt;&gt;"",Y13="待排"),"已填机台但状态为待排",IF(AND(Y13="生产中",AB13&lt;&gt;"是"),"需确认：生产中未锁定","可导入"))))))</x:f>
      </x:c>
    </x:row>
    <x:row r="14" ht="22" customHeight="1">
      <x:c r="A14" s="186" t="str">
        <x:f>IF(B14="","",ROW()-5)</x:f>
      </x:c>
      <x:c r="B14" s="196"/>
      <x:c r="C14" s="198"/>
      <x:c r="D14" s="196"/>
      <x:c r="E14" s="188"/>
      <x:c r="F14" s="198"/>
      <x:c r="G14" s="202"/>
      <x:c r="H14" s="204"/>
      <x:c r="I14" s="206" t="str">
        <x:f>IF(G14="","",MAX(G14-H14,0))</x:f>
      </x:c>
      <x:c r="J14" s="210"/>
      <x:c r="K14" s="190"/>
      <x:c r="L14" s="208"/>
      <x:c r="M14" s="208"/>
      <x:c r="N14" s="208"/>
      <x:c r="O14" s="208"/>
      <x:c r="P14" s="190"/>
      <x:c r="Q14" s="190"/>
      <x:c r="R14" s="190"/>
      <x:c r="S14" s="190"/>
      <x:c r="T14" s="190"/>
      <x:c r="U14" s="190"/>
      <x:c r="V14" s="212"/>
      <x:c r="W14" s="212"/>
      <x:c r="X14" s="200"/>
      <x:c r="Y14" s="192"/>
      <x:c r="Z14" s="214"/>
      <x:c r="AA14" s="214"/>
      <x:c r="AB14" s="192"/>
      <x:c r="AC14" s="194"/>
      <x:c r="AD14" s="186" t="str">
        <x:f>IF(COUNTA(B14:H14)+COUNTA(J14:AC14)=0,"",IF(OR(B14="",D14="",E14="",G14="",J14=""),"缺少必填项",IF(H14&gt;G14,"完成数大于订单数",IF(AND(X14="",OR(Y14="排队",Y14="生产中",Y14="阻塞",Z14&lt;&gt;"",AA14&lt;&gt;"",AB14="是")),"已有排期字段缺少机台",IF(AND(X14&lt;&gt;"",Y14="待排"),"已填机台但状态为待排",IF(AND(Y14="生产中",AB14&lt;&gt;"是"),"需确认：生产中未锁定","可导入"))))))</x:f>
      </x:c>
    </x:row>
    <x:row r="15" ht="22" customHeight="1">
      <x:c r="A15" s="186" t="str">
        <x:f>IF(B15="","",ROW()-5)</x:f>
      </x:c>
      <x:c r="B15" s="196"/>
      <x:c r="C15" s="198"/>
      <x:c r="D15" s="196"/>
      <x:c r="E15" s="188"/>
      <x:c r="F15" s="198"/>
      <x:c r="G15" s="202"/>
      <x:c r="H15" s="204"/>
      <x:c r="I15" s="206" t="str">
        <x:f>IF(G15="","",MAX(G15-H15,0))</x:f>
      </x:c>
      <x:c r="J15" s="210"/>
      <x:c r="K15" s="190"/>
      <x:c r="L15" s="208"/>
      <x:c r="M15" s="208"/>
      <x:c r="N15" s="208"/>
      <x:c r="O15" s="208"/>
      <x:c r="P15" s="190"/>
      <x:c r="Q15" s="190"/>
      <x:c r="R15" s="190"/>
      <x:c r="S15" s="190"/>
      <x:c r="T15" s="190"/>
      <x:c r="U15" s="190"/>
      <x:c r="V15" s="212"/>
      <x:c r="W15" s="212"/>
      <x:c r="X15" s="200"/>
      <x:c r="Y15" s="192"/>
      <x:c r="Z15" s="214"/>
      <x:c r="AA15" s="214"/>
      <x:c r="AB15" s="192"/>
      <x:c r="AC15" s="194"/>
      <x:c r="AD15" s="186" t="str">
        <x:f>IF(COUNTA(B15:H15)+COUNTA(J15:AC15)=0,"",IF(OR(B15="",D15="",E15="",G15="",J15=""),"缺少必填项",IF(H15&gt;G15,"完成数大于订单数",IF(AND(X15="",OR(Y15="排队",Y15="生产中",Y15="阻塞",Z15&lt;&gt;"",AA15&lt;&gt;"",AB15="是")),"已有排期字段缺少机台",IF(AND(X15&lt;&gt;"",Y15="待排"),"已填机台但状态为待排",IF(AND(Y15="生产中",AB15&lt;&gt;"是"),"需确认：生产中未锁定","可导入"))))))</x:f>
      </x:c>
    </x:row>
    <x:row r="16" ht="22" customHeight="1">
      <x:c r="A16" s="186" t="str">
        <x:f>IF(B16="","",ROW()-5)</x:f>
      </x:c>
      <x:c r="B16" s="196"/>
      <x:c r="C16" s="198"/>
      <x:c r="D16" s="196"/>
      <x:c r="E16" s="188"/>
      <x:c r="F16" s="198"/>
      <x:c r="G16" s="202"/>
      <x:c r="H16" s="204"/>
      <x:c r="I16" s="206" t="str">
        <x:f>IF(G16="","",MAX(G16-H16,0))</x:f>
      </x:c>
      <x:c r="J16" s="210"/>
      <x:c r="K16" s="190"/>
      <x:c r="L16" s="208"/>
      <x:c r="M16" s="208"/>
      <x:c r="N16" s="208"/>
      <x:c r="O16" s="208"/>
      <x:c r="P16" s="190"/>
      <x:c r="Q16" s="190"/>
      <x:c r="R16" s="190"/>
      <x:c r="S16" s="190"/>
      <x:c r="T16" s="190"/>
      <x:c r="U16" s="190"/>
      <x:c r="V16" s="212"/>
      <x:c r="W16" s="212"/>
      <x:c r="X16" s="200"/>
      <x:c r="Y16" s="192"/>
      <x:c r="Z16" s="214"/>
      <x:c r="AA16" s="214"/>
      <x:c r="AB16" s="192"/>
      <x:c r="AC16" s="194"/>
      <x:c r="AD16" s="186" t="str">
        <x:f>IF(COUNTA(B16:H16)+COUNTA(J16:AC16)=0,"",IF(OR(B16="",D16="",E16="",G16="",J16=""),"缺少必填项",IF(H16&gt;G16,"完成数大于订单数",IF(AND(X16="",OR(Y16="排队",Y16="生产中",Y16="阻塞",Z16&lt;&gt;"",AA16&lt;&gt;"",AB16="是")),"已有排期字段缺少机台",IF(AND(X16&lt;&gt;"",Y16="待排"),"已填机台但状态为待排",IF(AND(Y16="生产中",AB16&lt;&gt;"是"),"需确认：生产中未锁定","可导入"))))))</x:f>
      </x:c>
    </x:row>
    <x:row r="17" ht="22" customHeight="1">
      <x:c r="A17" s="186" t="str">
        <x:f>IF(B17="","",ROW()-5)</x:f>
      </x:c>
      <x:c r="B17" s="196"/>
      <x:c r="C17" s="198"/>
      <x:c r="D17" s="196"/>
      <x:c r="E17" s="188"/>
      <x:c r="F17" s="198"/>
      <x:c r="G17" s="202"/>
      <x:c r="H17" s="204"/>
      <x:c r="I17" s="206" t="str">
        <x:f>IF(G17="","",MAX(G17-H17,0))</x:f>
      </x:c>
      <x:c r="J17" s="210"/>
      <x:c r="K17" s="190"/>
      <x:c r="L17" s="208"/>
      <x:c r="M17" s="208"/>
      <x:c r="N17" s="208"/>
      <x:c r="O17" s="208"/>
      <x:c r="P17" s="190"/>
      <x:c r="Q17" s="190"/>
      <x:c r="R17" s="190"/>
      <x:c r="S17" s="190"/>
      <x:c r="T17" s="190"/>
      <x:c r="U17" s="190"/>
      <x:c r="V17" s="212"/>
      <x:c r="W17" s="212"/>
      <x:c r="X17" s="200"/>
      <x:c r="Y17" s="192"/>
      <x:c r="Z17" s="214"/>
      <x:c r="AA17" s="214"/>
      <x:c r="AB17" s="192"/>
      <x:c r="AC17" s="194"/>
      <x:c r="AD17" s="186" t="str">
        <x:f>IF(COUNTA(B17:H17)+COUNTA(J17:AC17)=0,"",IF(OR(B17="",D17="",E17="",G17="",J17=""),"缺少必填项",IF(H17&gt;G17,"完成数大于订单数",IF(AND(X17="",OR(Y17="排队",Y17="生产中",Y17="阻塞",Z17&lt;&gt;"",AA17&lt;&gt;"",AB17="是")),"已有排期字段缺少机台",IF(AND(X17&lt;&gt;"",Y17="待排"),"已填机台但状态为待排",IF(AND(Y17="生产中",AB17&lt;&gt;"是"),"需确认：生产中未锁定","可导入"))))))</x:f>
      </x:c>
    </x:row>
    <x:row r="18" ht="22" customHeight="1">
      <x:c r="A18" s="186" t="str">
        <x:f>IF(B18="","",ROW()-5)</x:f>
      </x:c>
      <x:c r="B18" s="196"/>
      <x:c r="C18" s="198"/>
      <x:c r="D18" s="196"/>
      <x:c r="E18" s="188"/>
      <x:c r="F18" s="198"/>
      <x:c r="G18" s="202"/>
      <x:c r="H18" s="204"/>
      <x:c r="I18" s="206" t="str">
        <x:f>IF(G18="","",MAX(G18-H18,0))</x:f>
      </x:c>
      <x:c r="J18" s="210"/>
      <x:c r="K18" s="190"/>
      <x:c r="L18" s="208"/>
      <x:c r="M18" s="208"/>
      <x:c r="N18" s="208"/>
      <x:c r="O18" s="208"/>
      <x:c r="P18" s="190"/>
      <x:c r="Q18" s="190"/>
      <x:c r="R18" s="190"/>
      <x:c r="S18" s="190"/>
      <x:c r="T18" s="190"/>
      <x:c r="U18" s="190"/>
      <x:c r="V18" s="212"/>
      <x:c r="W18" s="212"/>
      <x:c r="X18" s="200"/>
      <x:c r="Y18" s="192"/>
      <x:c r="Z18" s="214"/>
      <x:c r="AA18" s="214"/>
      <x:c r="AB18" s="192"/>
      <x:c r="AC18" s="194"/>
      <x:c r="AD18" s="186" t="str">
        <x:f>IF(COUNTA(B18:H18)+COUNTA(J18:AC18)=0,"",IF(OR(B18="",D18="",E18="",G18="",J18=""),"缺少必填项",IF(H18&gt;G18,"完成数大于订单数",IF(AND(X18="",OR(Y18="排队",Y18="生产中",Y18="阻塞",Z18&lt;&gt;"",AA18&lt;&gt;"",AB18="是")),"已有排期字段缺少机台",IF(AND(X18&lt;&gt;"",Y18="待排"),"已填机台但状态为待排",IF(AND(Y18="生产中",AB18&lt;&gt;"是"),"需确认：生产中未锁定","可导入"))))))</x:f>
      </x:c>
    </x:row>
    <x:row r="19" ht="22" customHeight="1">
      <x:c r="A19" s="186" t="str">
        <x:f>IF(B19="","",ROW()-5)</x:f>
      </x:c>
      <x:c r="B19" s="196"/>
      <x:c r="C19" s="198"/>
      <x:c r="D19" s="196"/>
      <x:c r="E19" s="188"/>
      <x:c r="F19" s="198"/>
      <x:c r="G19" s="202"/>
      <x:c r="H19" s="204"/>
      <x:c r="I19" s="206" t="str">
        <x:f>IF(G19="","",MAX(G19-H19,0))</x:f>
      </x:c>
      <x:c r="J19" s="210"/>
      <x:c r="K19" s="190"/>
      <x:c r="L19" s="208"/>
      <x:c r="M19" s="208"/>
      <x:c r="N19" s="208"/>
      <x:c r="O19" s="208"/>
      <x:c r="P19" s="190"/>
      <x:c r="Q19" s="190"/>
      <x:c r="R19" s="190"/>
      <x:c r="S19" s="190"/>
      <x:c r="T19" s="190"/>
      <x:c r="U19" s="190"/>
      <x:c r="V19" s="212"/>
      <x:c r="W19" s="212"/>
      <x:c r="X19" s="200"/>
      <x:c r="Y19" s="192"/>
      <x:c r="Z19" s="214"/>
      <x:c r="AA19" s="214"/>
      <x:c r="AB19" s="192"/>
      <x:c r="AC19" s="194"/>
      <x:c r="AD19" s="186" t="str">
        <x:f>IF(COUNTA(B19:H19)+COUNTA(J19:AC19)=0,"",IF(OR(B19="",D19="",E19="",G19="",J19=""),"缺少必填项",IF(H19&gt;G19,"完成数大于订单数",IF(AND(X19="",OR(Y19="排队",Y19="生产中",Y19="阻塞",Z19&lt;&gt;"",AA19&lt;&gt;"",AB19="是")),"已有排期字段缺少机台",IF(AND(X19&lt;&gt;"",Y19="待排"),"已填机台但状态为待排",IF(AND(Y19="生产中",AB19&lt;&gt;"是"),"需确认：生产中未锁定","可导入"))))))</x:f>
      </x:c>
    </x:row>
    <x:row r="20" ht="22" customHeight="1">
      <x:c r="A20" s="186" t="str">
        <x:f>IF(B20="","",ROW()-5)</x:f>
      </x:c>
      <x:c r="B20" s="196"/>
      <x:c r="C20" s="198"/>
      <x:c r="D20" s="196"/>
      <x:c r="E20" s="188"/>
      <x:c r="F20" s="198"/>
      <x:c r="G20" s="202"/>
      <x:c r="H20" s="204"/>
      <x:c r="I20" s="206" t="str">
        <x:f>IF(G20="","",MAX(G20-H20,0))</x:f>
      </x:c>
      <x:c r="J20" s="210"/>
      <x:c r="K20" s="190"/>
      <x:c r="L20" s="208"/>
      <x:c r="M20" s="208"/>
      <x:c r="N20" s="208"/>
      <x:c r="O20" s="208"/>
      <x:c r="P20" s="190"/>
      <x:c r="Q20" s="190"/>
      <x:c r="R20" s="190"/>
      <x:c r="S20" s="190"/>
      <x:c r="T20" s="190"/>
      <x:c r="U20" s="190"/>
      <x:c r="V20" s="212"/>
      <x:c r="W20" s="212"/>
      <x:c r="X20" s="200"/>
      <x:c r="Y20" s="192"/>
      <x:c r="Z20" s="214"/>
      <x:c r="AA20" s="214"/>
      <x:c r="AB20" s="192"/>
      <x:c r="AC20" s="194"/>
      <x:c r="AD20" s="186" t="str">
        <x:f>IF(COUNTA(B20:H20)+COUNTA(J20:AC20)=0,"",IF(OR(B20="",D20="",E20="",G20="",J20=""),"缺少必填项",IF(H20&gt;G20,"完成数大于订单数",IF(AND(X20="",OR(Y20="排队",Y20="生产中",Y20="阻塞",Z20&lt;&gt;"",AA20&lt;&gt;"",AB20="是")),"已有排期字段缺少机台",IF(AND(X20&lt;&gt;"",Y20="待排"),"已填机台但状态为待排",IF(AND(Y20="生产中",AB20&lt;&gt;"是"),"需确认：生产中未锁定","可导入"))))))</x:f>
      </x:c>
    </x:row>
    <x:row r="21" ht="22" customHeight="1">
      <x:c r="A21" s="186" t="str">
        <x:f>IF(B21="","",ROW()-5)</x:f>
      </x:c>
      <x:c r="B21" s="196"/>
      <x:c r="C21" s="198"/>
      <x:c r="D21" s="196"/>
      <x:c r="E21" s="188"/>
      <x:c r="F21" s="198"/>
      <x:c r="G21" s="202"/>
      <x:c r="H21" s="204"/>
      <x:c r="I21" s="206" t="str">
        <x:f>IF(G21="","",MAX(G21-H21,0))</x:f>
      </x:c>
      <x:c r="J21" s="210"/>
      <x:c r="K21" s="190"/>
      <x:c r="L21" s="208"/>
      <x:c r="M21" s="208"/>
      <x:c r="N21" s="208"/>
      <x:c r="O21" s="208"/>
      <x:c r="P21" s="190"/>
      <x:c r="Q21" s="190"/>
      <x:c r="R21" s="190"/>
      <x:c r="S21" s="190"/>
      <x:c r="T21" s="190"/>
      <x:c r="U21" s="190"/>
      <x:c r="V21" s="212"/>
      <x:c r="W21" s="212"/>
      <x:c r="X21" s="200"/>
      <x:c r="Y21" s="192"/>
      <x:c r="Z21" s="214"/>
      <x:c r="AA21" s="214"/>
      <x:c r="AB21" s="192"/>
      <x:c r="AC21" s="194"/>
      <x:c r="AD21" s="186" t="str">
        <x:f>IF(COUNTA(B21:H21)+COUNTA(J21:AC21)=0,"",IF(OR(B21="",D21="",E21="",G21="",J21=""),"缺少必填项",IF(H21&gt;G21,"完成数大于订单数",IF(AND(X21="",OR(Y21="排队",Y21="生产中",Y21="阻塞",Z21&lt;&gt;"",AA21&lt;&gt;"",AB21="是")),"已有排期字段缺少机台",IF(AND(X21&lt;&gt;"",Y21="待排"),"已填机台但状态为待排",IF(AND(Y21="生产中",AB21&lt;&gt;"是"),"需确认：生产中未锁定","可导入"))))))</x:f>
      </x:c>
    </x:row>
    <x:row r="22" ht="22" customHeight="1">
      <x:c r="A22" s="186" t="str">
        <x:f>IF(B22="","",ROW()-5)</x:f>
      </x:c>
      <x:c r="B22" s="196"/>
      <x:c r="C22" s="198"/>
      <x:c r="D22" s="196"/>
      <x:c r="E22" s="188"/>
      <x:c r="F22" s="198"/>
      <x:c r="G22" s="202"/>
      <x:c r="H22" s="204"/>
      <x:c r="I22" s="206" t="str">
        <x:f>IF(G22="","",MAX(G22-H22,0))</x:f>
      </x:c>
      <x:c r="J22" s="210"/>
      <x:c r="K22" s="190"/>
      <x:c r="L22" s="208"/>
      <x:c r="M22" s="208"/>
      <x:c r="N22" s="208"/>
      <x:c r="O22" s="208"/>
      <x:c r="P22" s="190"/>
      <x:c r="Q22" s="190"/>
      <x:c r="R22" s="190"/>
      <x:c r="S22" s="190"/>
      <x:c r="T22" s="190"/>
      <x:c r="U22" s="190"/>
      <x:c r="V22" s="212"/>
      <x:c r="W22" s="212"/>
      <x:c r="X22" s="200"/>
      <x:c r="Y22" s="192"/>
      <x:c r="Z22" s="214"/>
      <x:c r="AA22" s="214"/>
      <x:c r="AB22" s="192"/>
      <x:c r="AC22" s="194"/>
      <x:c r="AD22" s="186" t="str">
        <x:f>IF(COUNTA(B22:H22)+COUNTA(J22:AC22)=0,"",IF(OR(B22="",D22="",E22="",G22="",J22=""),"缺少必填项",IF(H22&gt;G22,"完成数大于订单数",IF(AND(X22="",OR(Y22="排队",Y22="生产中",Y22="阻塞",Z22&lt;&gt;"",AA22&lt;&gt;"",AB22="是")),"已有排期字段缺少机台",IF(AND(X22&lt;&gt;"",Y22="待排"),"已填机台但状态为待排",IF(AND(Y22="生产中",AB22&lt;&gt;"是"),"需确认：生产中未锁定","可导入"))))))</x:f>
      </x:c>
    </x:row>
    <x:row r="23" ht="22" customHeight="1">
      <x:c r="A23" s="186" t="str">
        <x:f>IF(B23="","",ROW()-5)</x:f>
      </x:c>
      <x:c r="B23" s="196"/>
      <x:c r="C23" s="198"/>
      <x:c r="D23" s="196"/>
      <x:c r="E23" s="188"/>
      <x:c r="F23" s="198"/>
      <x:c r="G23" s="202"/>
      <x:c r="H23" s="204"/>
      <x:c r="I23" s="206" t="str">
        <x:f>IF(G23="","",MAX(G23-H23,0))</x:f>
      </x:c>
      <x:c r="J23" s="210"/>
      <x:c r="K23" s="190"/>
      <x:c r="L23" s="208"/>
      <x:c r="M23" s="208"/>
      <x:c r="N23" s="208"/>
      <x:c r="O23" s="208"/>
      <x:c r="P23" s="190"/>
      <x:c r="Q23" s="190"/>
      <x:c r="R23" s="190"/>
      <x:c r="S23" s="190"/>
      <x:c r="T23" s="190"/>
      <x:c r="U23" s="190"/>
      <x:c r="V23" s="212"/>
      <x:c r="W23" s="212"/>
      <x:c r="X23" s="200"/>
      <x:c r="Y23" s="192"/>
      <x:c r="Z23" s="214"/>
      <x:c r="AA23" s="214"/>
      <x:c r="AB23" s="192"/>
      <x:c r="AC23" s="194"/>
      <x:c r="AD23" s="186" t="str">
        <x:f>IF(COUNTA(B23:H23)+COUNTA(J23:AC23)=0,"",IF(OR(B23="",D23="",E23="",G23="",J23=""),"缺少必填项",IF(H23&gt;G23,"完成数大于订单数",IF(AND(X23="",OR(Y23="排队",Y23="生产中",Y23="阻塞",Z23&lt;&gt;"",AA23&lt;&gt;"",AB23="是")),"已有排期字段缺少机台",IF(AND(X23&lt;&gt;"",Y23="待排"),"已填机台但状态为待排",IF(AND(Y23="生产中",AB23&lt;&gt;"是"),"需确认：生产中未锁定","可导入"))))))</x:f>
      </x:c>
    </x:row>
    <x:row r="24" ht="22" customHeight="1">
      <x:c r="A24" s="186" t="str">
        <x:f>IF(B24="","",ROW()-5)</x:f>
      </x:c>
      <x:c r="B24" s="196"/>
      <x:c r="C24" s="198"/>
      <x:c r="D24" s="196"/>
      <x:c r="E24" s="188"/>
      <x:c r="F24" s="198"/>
      <x:c r="G24" s="202"/>
      <x:c r="H24" s="204"/>
      <x:c r="I24" s="206" t="str">
        <x:f>IF(G24="","",MAX(G24-H24,0))</x:f>
      </x:c>
      <x:c r="J24" s="210"/>
      <x:c r="K24" s="190"/>
      <x:c r="L24" s="208"/>
      <x:c r="M24" s="208"/>
      <x:c r="N24" s="208"/>
      <x:c r="O24" s="208"/>
      <x:c r="P24" s="190"/>
      <x:c r="Q24" s="190"/>
      <x:c r="R24" s="190"/>
      <x:c r="S24" s="190"/>
      <x:c r="T24" s="190"/>
      <x:c r="U24" s="190"/>
      <x:c r="V24" s="212"/>
      <x:c r="W24" s="212"/>
      <x:c r="X24" s="200"/>
      <x:c r="Y24" s="192"/>
      <x:c r="Z24" s="214"/>
      <x:c r="AA24" s="214"/>
      <x:c r="AB24" s="192"/>
      <x:c r="AC24" s="194"/>
      <x:c r="AD24" s="186" t="str">
        <x:f>IF(COUNTA(B24:H24)+COUNTA(J24:AC24)=0,"",IF(OR(B24="",D24="",E24="",G24="",J24=""),"缺少必填项",IF(H24&gt;G24,"完成数大于订单数",IF(AND(X24="",OR(Y24="排队",Y24="生产中",Y24="阻塞",Z24&lt;&gt;"",AA24&lt;&gt;"",AB24="是")),"已有排期字段缺少机台",IF(AND(X24&lt;&gt;"",Y24="待排"),"已填机台但状态为待排",IF(AND(Y24="生产中",AB24&lt;&gt;"是"),"需确认：生产中未锁定","可导入"))))))</x:f>
      </x:c>
    </x:row>
    <x:row r="25" ht="22" customHeight="1">
      <x:c r="A25" s="186" t="str">
        <x:f>IF(B25="","",ROW()-5)</x:f>
      </x:c>
      <x:c r="B25" s="196"/>
      <x:c r="C25" s="198"/>
      <x:c r="D25" s="196"/>
      <x:c r="E25" s="188"/>
      <x:c r="F25" s="198"/>
      <x:c r="G25" s="202"/>
      <x:c r="H25" s="204"/>
      <x:c r="I25" s="206" t="str">
        <x:f>IF(G25="","",MAX(G25-H25,0))</x:f>
      </x:c>
      <x:c r="J25" s="210"/>
      <x:c r="K25" s="190"/>
      <x:c r="L25" s="208"/>
      <x:c r="M25" s="208"/>
      <x:c r="N25" s="208"/>
      <x:c r="O25" s="208"/>
      <x:c r="P25" s="190"/>
      <x:c r="Q25" s="190"/>
      <x:c r="R25" s="190"/>
      <x:c r="S25" s="190"/>
      <x:c r="T25" s="190"/>
      <x:c r="U25" s="190"/>
      <x:c r="V25" s="212"/>
      <x:c r="W25" s="212"/>
      <x:c r="X25" s="200"/>
      <x:c r="Y25" s="192"/>
      <x:c r="Z25" s="214"/>
      <x:c r="AA25" s="214"/>
      <x:c r="AB25" s="192"/>
      <x:c r="AC25" s="194"/>
      <x:c r="AD25" s="186" t="str">
        <x:f>IF(COUNTA(B25:H25)+COUNTA(J25:AC25)=0,"",IF(OR(B25="",D25="",E25="",G25="",J25=""),"缺少必填项",IF(H25&gt;G25,"完成数大于订单数",IF(AND(X25="",OR(Y25="排队",Y25="生产中",Y25="阻塞",Z25&lt;&gt;"",AA25&lt;&gt;"",AB25="是")),"已有排期字段缺少机台",IF(AND(X25&lt;&gt;"",Y25="待排"),"已填机台但状态为待排",IF(AND(Y25="生产中",AB25&lt;&gt;"是"),"需确认：生产中未锁定","可导入"))))))</x:f>
      </x:c>
    </x:row>
    <x:row r="26" ht="22" customHeight="1">
      <x:c r="A26" s="186" t="str">
        <x:f>IF(B26="","",ROW()-5)</x:f>
      </x:c>
      <x:c r="B26" s="196"/>
      <x:c r="C26" s="198"/>
      <x:c r="D26" s="196"/>
      <x:c r="E26" s="188"/>
      <x:c r="F26" s="198"/>
      <x:c r="G26" s="202"/>
      <x:c r="H26" s="204"/>
      <x:c r="I26" s="206" t="str">
        <x:f>IF(G26="","",MAX(G26-H26,0))</x:f>
      </x:c>
      <x:c r="J26" s="210"/>
      <x:c r="K26" s="190"/>
      <x:c r="L26" s="208"/>
      <x:c r="M26" s="208"/>
      <x:c r="N26" s="208"/>
      <x:c r="O26" s="208"/>
      <x:c r="P26" s="190"/>
      <x:c r="Q26" s="190"/>
      <x:c r="R26" s="190"/>
      <x:c r="S26" s="190"/>
      <x:c r="T26" s="190"/>
      <x:c r="U26" s="190"/>
      <x:c r="V26" s="212"/>
      <x:c r="W26" s="212"/>
      <x:c r="X26" s="200"/>
      <x:c r="Y26" s="192"/>
      <x:c r="Z26" s="214"/>
      <x:c r="AA26" s="214"/>
      <x:c r="AB26" s="192"/>
      <x:c r="AC26" s="194"/>
      <x:c r="AD26" s="186" t="str">
        <x:f>IF(COUNTA(B26:H26)+COUNTA(J26:AC26)=0,"",IF(OR(B26="",D26="",E26="",G26="",J26=""),"缺少必填项",IF(H26&gt;G26,"完成数大于订单数",IF(AND(X26="",OR(Y26="排队",Y26="生产中",Y26="阻塞",Z26&lt;&gt;"",AA26&lt;&gt;"",AB26="是")),"已有排期字段缺少机台",IF(AND(X26&lt;&gt;"",Y26="待排"),"已填机台但状态为待排",IF(AND(Y26="生产中",AB26&lt;&gt;"是"),"需确认：生产中未锁定","可导入"))))))</x:f>
      </x:c>
    </x:row>
    <x:row r="27" ht="22" customHeight="1">
      <x:c r="A27" s="186" t="str">
        <x:f>IF(B27="","",ROW()-5)</x:f>
      </x:c>
      <x:c r="B27" s="196"/>
      <x:c r="C27" s="198"/>
      <x:c r="D27" s="196"/>
      <x:c r="E27" s="188"/>
      <x:c r="F27" s="198"/>
      <x:c r="G27" s="202"/>
      <x:c r="H27" s="204"/>
      <x:c r="I27" s="206" t="str">
        <x:f>IF(G27="","",MAX(G27-H27,0))</x:f>
      </x:c>
      <x:c r="J27" s="210"/>
      <x:c r="K27" s="190"/>
      <x:c r="L27" s="208"/>
      <x:c r="M27" s="208"/>
      <x:c r="N27" s="208"/>
      <x:c r="O27" s="208"/>
      <x:c r="P27" s="190"/>
      <x:c r="Q27" s="190"/>
      <x:c r="R27" s="190"/>
      <x:c r="S27" s="190"/>
      <x:c r="T27" s="190"/>
      <x:c r="U27" s="190"/>
      <x:c r="V27" s="212"/>
      <x:c r="W27" s="212"/>
      <x:c r="X27" s="200"/>
      <x:c r="Y27" s="192"/>
      <x:c r="Z27" s="214"/>
      <x:c r="AA27" s="214"/>
      <x:c r="AB27" s="192"/>
      <x:c r="AC27" s="194"/>
      <x:c r="AD27" s="186" t="str">
        <x:f>IF(COUNTA(B27:H27)+COUNTA(J27:AC27)=0,"",IF(OR(B27="",D27="",E27="",G27="",J27=""),"缺少必填项",IF(H27&gt;G27,"完成数大于订单数",IF(AND(X27="",OR(Y27="排队",Y27="生产中",Y27="阻塞",Z27&lt;&gt;"",AA27&lt;&gt;"",AB27="是")),"已有排期字段缺少机台",IF(AND(X27&lt;&gt;"",Y27="待排"),"已填机台但状态为待排",IF(AND(Y27="生产中",AB27&lt;&gt;"是"),"需确认：生产中未锁定","可导入"))))))</x:f>
      </x:c>
    </x:row>
    <x:row r="28" ht="22" customHeight="1">
      <x:c r="A28" s="186" t="str">
        <x:f>IF(B28="","",ROW()-5)</x:f>
      </x:c>
      <x:c r="B28" s="196"/>
      <x:c r="C28" s="198"/>
      <x:c r="D28" s="196"/>
      <x:c r="E28" s="188"/>
      <x:c r="F28" s="198"/>
      <x:c r="G28" s="202"/>
      <x:c r="H28" s="204"/>
      <x:c r="I28" s="206" t="str">
        <x:f>IF(G28="","",MAX(G28-H28,0))</x:f>
      </x:c>
      <x:c r="J28" s="210"/>
      <x:c r="K28" s="190"/>
      <x:c r="L28" s="208"/>
      <x:c r="M28" s="208"/>
      <x:c r="N28" s="208"/>
      <x:c r="O28" s="208"/>
      <x:c r="P28" s="190"/>
      <x:c r="Q28" s="190"/>
      <x:c r="R28" s="190"/>
      <x:c r="S28" s="190"/>
      <x:c r="T28" s="190"/>
      <x:c r="U28" s="190"/>
      <x:c r="V28" s="212"/>
      <x:c r="W28" s="212"/>
      <x:c r="X28" s="200"/>
      <x:c r="Y28" s="192"/>
      <x:c r="Z28" s="214"/>
      <x:c r="AA28" s="214"/>
      <x:c r="AB28" s="192"/>
      <x:c r="AC28" s="194"/>
      <x:c r="AD28" s="186" t="str">
        <x:f>IF(COUNTA(B28:H28)+COUNTA(J28:AC28)=0,"",IF(OR(B28="",D28="",E28="",G28="",J28=""),"缺少必填项",IF(H28&gt;G28,"完成数大于订单数",IF(AND(X28="",OR(Y28="排队",Y28="生产中",Y28="阻塞",Z28&lt;&gt;"",AA28&lt;&gt;"",AB28="是")),"已有排期字段缺少机台",IF(AND(X28&lt;&gt;"",Y28="待排"),"已填机台但状态为待排",IF(AND(Y28="生产中",AB28&lt;&gt;"是"),"需确认：生产中未锁定","可导入"))))))</x:f>
      </x:c>
    </x:row>
    <x:row r="29" ht="22" customHeight="1">
      <x:c r="A29" s="186" t="str">
        <x:f>IF(B29="","",ROW()-5)</x:f>
      </x:c>
      <x:c r="B29" s="196"/>
      <x:c r="C29" s="198"/>
      <x:c r="D29" s="196"/>
      <x:c r="E29" s="188"/>
      <x:c r="F29" s="198"/>
      <x:c r="G29" s="202"/>
      <x:c r="H29" s="204"/>
      <x:c r="I29" s="206" t="str">
        <x:f>IF(G29="","",MAX(G29-H29,0))</x:f>
      </x:c>
      <x:c r="J29" s="210"/>
      <x:c r="K29" s="190"/>
      <x:c r="L29" s="208"/>
      <x:c r="M29" s="208"/>
      <x:c r="N29" s="208"/>
      <x:c r="O29" s="208"/>
      <x:c r="P29" s="190"/>
      <x:c r="Q29" s="190"/>
      <x:c r="R29" s="190"/>
      <x:c r="S29" s="190"/>
      <x:c r="T29" s="190"/>
      <x:c r="U29" s="190"/>
      <x:c r="V29" s="212"/>
      <x:c r="W29" s="212"/>
      <x:c r="X29" s="200"/>
      <x:c r="Y29" s="192"/>
      <x:c r="Z29" s="214"/>
      <x:c r="AA29" s="214"/>
      <x:c r="AB29" s="192"/>
      <x:c r="AC29" s="194"/>
      <x:c r="AD29" s="186" t="str">
        <x:f>IF(COUNTA(B29:H29)+COUNTA(J29:AC29)=0,"",IF(OR(B29="",D29="",E29="",G29="",J29=""),"缺少必填项",IF(H29&gt;G29,"完成数大于订单数",IF(AND(X29="",OR(Y29="排队",Y29="生产中",Y29="阻塞",Z29&lt;&gt;"",AA29&lt;&gt;"",AB29="是")),"已有排期字段缺少机台",IF(AND(X29&lt;&gt;"",Y29="待排"),"已填机台但状态为待排",IF(AND(Y29="生产中",AB29&lt;&gt;"是"),"需确认：生产中未锁定","可导入"))))))</x:f>
      </x:c>
    </x:row>
    <x:row r="30" ht="22" customHeight="1">
      <x:c r="A30" s="186" t="str">
        <x:f>IF(B30="","",ROW()-5)</x:f>
      </x:c>
      <x:c r="B30" s="196"/>
      <x:c r="C30" s="198"/>
      <x:c r="D30" s="196"/>
      <x:c r="E30" s="188"/>
      <x:c r="F30" s="198"/>
      <x:c r="G30" s="202"/>
      <x:c r="H30" s="204"/>
      <x:c r="I30" s="206" t="str">
        <x:f>IF(G30="","",MAX(G30-H30,0))</x:f>
      </x:c>
      <x:c r="J30" s="210"/>
      <x:c r="K30" s="190"/>
      <x:c r="L30" s="208"/>
      <x:c r="M30" s="208"/>
      <x:c r="N30" s="208"/>
      <x:c r="O30" s="208"/>
      <x:c r="P30" s="190"/>
      <x:c r="Q30" s="190"/>
      <x:c r="R30" s="190"/>
      <x:c r="S30" s="190"/>
      <x:c r="T30" s="190"/>
      <x:c r="U30" s="190"/>
      <x:c r="V30" s="212"/>
      <x:c r="W30" s="212"/>
      <x:c r="X30" s="200"/>
      <x:c r="Y30" s="192"/>
      <x:c r="Z30" s="214"/>
      <x:c r="AA30" s="214"/>
      <x:c r="AB30" s="192"/>
      <x:c r="AC30" s="194"/>
      <x:c r="AD30" s="186" t="str">
        <x:f>IF(COUNTA(B30:H30)+COUNTA(J30:AC30)=0,"",IF(OR(B30="",D30="",E30="",G30="",J30=""),"缺少必填项",IF(H30&gt;G30,"完成数大于订单数",IF(AND(X30="",OR(Y30="排队",Y30="生产中",Y30="阻塞",Z30&lt;&gt;"",AA30&lt;&gt;"",AB30="是")),"已有排期字段缺少机台",IF(AND(X30&lt;&gt;"",Y30="待排"),"已填机台但状态为待排",IF(AND(Y30="生产中",AB30&lt;&gt;"是"),"需确认：生产中未锁定","可导入"))))))</x:f>
      </x:c>
    </x:row>
    <x:row r="31" ht="22" customHeight="1">
      <x:c r="A31" s="186" t="str">
        <x:f>IF(B31="","",ROW()-5)</x:f>
      </x:c>
      <x:c r="B31" s="196"/>
      <x:c r="C31" s="198"/>
      <x:c r="D31" s="196"/>
      <x:c r="E31" s="188"/>
      <x:c r="F31" s="198"/>
      <x:c r="G31" s="202"/>
      <x:c r="H31" s="204"/>
      <x:c r="I31" s="206" t="str">
        <x:f>IF(G31="","",MAX(G31-H31,0))</x:f>
      </x:c>
      <x:c r="J31" s="210"/>
      <x:c r="K31" s="190"/>
      <x:c r="L31" s="208"/>
      <x:c r="M31" s="208"/>
      <x:c r="N31" s="208"/>
      <x:c r="O31" s="208"/>
      <x:c r="P31" s="190"/>
      <x:c r="Q31" s="190"/>
      <x:c r="R31" s="190"/>
      <x:c r="S31" s="190"/>
      <x:c r="T31" s="190"/>
      <x:c r="U31" s="190"/>
      <x:c r="V31" s="212"/>
      <x:c r="W31" s="212"/>
      <x:c r="X31" s="200"/>
      <x:c r="Y31" s="192"/>
      <x:c r="Z31" s="214"/>
      <x:c r="AA31" s="214"/>
      <x:c r="AB31" s="192"/>
      <x:c r="AC31" s="194"/>
      <x:c r="AD31" s="186" t="str">
        <x:f>IF(COUNTA(B31:H31)+COUNTA(J31:AC31)=0,"",IF(OR(B31="",D31="",E31="",G31="",J31=""),"缺少必填项",IF(H31&gt;G31,"完成数大于订单数",IF(AND(X31="",OR(Y31="排队",Y31="生产中",Y31="阻塞",Z31&lt;&gt;"",AA31&lt;&gt;"",AB31="是")),"已有排期字段缺少机台",IF(AND(X31&lt;&gt;"",Y31="待排"),"已填机台但状态为待排",IF(AND(Y31="生产中",AB31&lt;&gt;"是"),"需确认：生产中未锁定","可导入"))))))</x:f>
      </x:c>
    </x:row>
    <x:row r="32" ht="22" customHeight="1">
      <x:c r="A32" s="186" t="str">
        <x:f>IF(B32="","",ROW()-5)</x:f>
      </x:c>
      <x:c r="B32" s="196"/>
      <x:c r="C32" s="198"/>
      <x:c r="D32" s="196"/>
      <x:c r="E32" s="188"/>
      <x:c r="F32" s="198"/>
      <x:c r="G32" s="202"/>
      <x:c r="H32" s="204"/>
      <x:c r="I32" s="206" t="str">
        <x:f>IF(G32="","",MAX(G32-H32,0))</x:f>
      </x:c>
      <x:c r="J32" s="210"/>
      <x:c r="K32" s="190"/>
      <x:c r="L32" s="208"/>
      <x:c r="M32" s="208"/>
      <x:c r="N32" s="208"/>
      <x:c r="O32" s="208"/>
      <x:c r="P32" s="190"/>
      <x:c r="Q32" s="190"/>
      <x:c r="R32" s="190"/>
      <x:c r="S32" s="190"/>
      <x:c r="T32" s="190"/>
      <x:c r="U32" s="190"/>
      <x:c r="V32" s="212"/>
      <x:c r="W32" s="212"/>
      <x:c r="X32" s="200"/>
      <x:c r="Y32" s="192"/>
      <x:c r="Z32" s="214"/>
      <x:c r="AA32" s="214"/>
      <x:c r="AB32" s="192"/>
      <x:c r="AC32" s="194"/>
      <x:c r="AD32" s="186" t="str">
        <x:f>IF(COUNTA(B32:H32)+COUNTA(J32:AC32)=0,"",IF(OR(B32="",D32="",E32="",G32="",J32=""),"缺少必填项",IF(H32&gt;G32,"完成数大于订单数",IF(AND(X32="",OR(Y32="排队",Y32="生产中",Y32="阻塞",Z32&lt;&gt;"",AA32&lt;&gt;"",AB32="是")),"已有排期字段缺少机台",IF(AND(X32&lt;&gt;"",Y32="待排"),"已填机台但状态为待排",IF(AND(Y32="生产中",AB32&lt;&gt;"是"),"需确认：生产中未锁定","可导入"))))))</x:f>
      </x:c>
    </x:row>
    <x:row r="33" ht="22" customHeight="1">
      <x:c r="A33" s="186" t="str">
        <x:f>IF(B33="","",ROW()-5)</x:f>
      </x:c>
      <x:c r="B33" s="196"/>
      <x:c r="C33" s="198"/>
      <x:c r="D33" s="196"/>
      <x:c r="E33" s="188"/>
      <x:c r="F33" s="198"/>
      <x:c r="G33" s="202"/>
      <x:c r="H33" s="204"/>
      <x:c r="I33" s="206" t="str">
        <x:f>IF(G33="","",MAX(G33-H33,0))</x:f>
      </x:c>
      <x:c r="J33" s="210"/>
      <x:c r="K33" s="190"/>
      <x:c r="L33" s="208"/>
      <x:c r="M33" s="208"/>
      <x:c r="N33" s="208"/>
      <x:c r="O33" s="208"/>
      <x:c r="P33" s="190"/>
      <x:c r="Q33" s="190"/>
      <x:c r="R33" s="190"/>
      <x:c r="S33" s="190"/>
      <x:c r="T33" s="190"/>
      <x:c r="U33" s="190"/>
      <x:c r="V33" s="212"/>
      <x:c r="W33" s="212"/>
      <x:c r="X33" s="200"/>
      <x:c r="Y33" s="192"/>
      <x:c r="Z33" s="214"/>
      <x:c r="AA33" s="214"/>
      <x:c r="AB33" s="192"/>
      <x:c r="AC33" s="194"/>
      <x:c r="AD33" s="186" t="str">
        <x:f>IF(COUNTA(B33:H33)+COUNTA(J33:AC33)=0,"",IF(OR(B33="",D33="",E33="",G33="",J33=""),"缺少必填项",IF(H33&gt;G33,"完成数大于订单数",IF(AND(X33="",OR(Y33="排队",Y33="生产中",Y33="阻塞",Z33&lt;&gt;"",AA33&lt;&gt;"",AB33="是")),"已有排期字段缺少机台",IF(AND(X33&lt;&gt;"",Y33="待排"),"已填机台但状态为待排",IF(AND(Y33="生产中",AB33&lt;&gt;"是"),"需确认：生产中未锁定","可导入"))))))</x:f>
      </x:c>
    </x:row>
    <x:row r="34" ht="22" customHeight="1">
      <x:c r="A34" s="186" t="str">
        <x:f>IF(B34="","",ROW()-5)</x:f>
      </x:c>
      <x:c r="B34" s="196"/>
      <x:c r="C34" s="198"/>
      <x:c r="D34" s="196"/>
      <x:c r="E34" s="188"/>
      <x:c r="F34" s="198"/>
      <x:c r="G34" s="202"/>
      <x:c r="H34" s="204"/>
      <x:c r="I34" s="206" t="str">
        <x:f>IF(G34="","",MAX(G34-H34,0))</x:f>
      </x:c>
      <x:c r="J34" s="210"/>
      <x:c r="K34" s="190"/>
      <x:c r="L34" s="208"/>
      <x:c r="M34" s="208"/>
      <x:c r="N34" s="208"/>
      <x:c r="O34" s="208"/>
      <x:c r="P34" s="190"/>
      <x:c r="Q34" s="190"/>
      <x:c r="R34" s="190"/>
      <x:c r="S34" s="190"/>
      <x:c r="T34" s="190"/>
      <x:c r="U34" s="190"/>
      <x:c r="V34" s="212"/>
      <x:c r="W34" s="212"/>
      <x:c r="X34" s="200"/>
      <x:c r="Y34" s="192"/>
      <x:c r="Z34" s="214"/>
      <x:c r="AA34" s="214"/>
      <x:c r="AB34" s="192"/>
      <x:c r="AC34" s="194"/>
      <x:c r="AD34" s="186" t="str">
        <x:f>IF(COUNTA(B34:H34)+COUNTA(J34:AC34)=0,"",IF(OR(B34="",D34="",E34="",G34="",J34=""),"缺少必填项",IF(H34&gt;G34,"完成数大于订单数",IF(AND(X34="",OR(Y34="排队",Y34="生产中",Y34="阻塞",Z34&lt;&gt;"",AA34&lt;&gt;"",AB34="是")),"已有排期字段缺少机台",IF(AND(X34&lt;&gt;"",Y34="待排"),"已填机台但状态为待排",IF(AND(Y34="生产中",AB34&lt;&gt;"是"),"需确认：生产中未锁定","可导入"))))))</x:f>
      </x:c>
    </x:row>
    <x:row r="35" ht="22" customHeight="1">
      <x:c r="A35" s="186" t="str">
        <x:f>IF(B35="","",ROW()-5)</x:f>
      </x:c>
      <x:c r="B35" s="196"/>
      <x:c r="C35" s="198"/>
      <x:c r="D35" s="196"/>
      <x:c r="E35" s="188"/>
      <x:c r="F35" s="198"/>
      <x:c r="G35" s="202"/>
      <x:c r="H35" s="204"/>
      <x:c r="I35" s="206" t="str">
        <x:f>IF(G35="","",MAX(G35-H35,0))</x:f>
      </x:c>
      <x:c r="J35" s="210"/>
      <x:c r="K35" s="190"/>
      <x:c r="L35" s="208"/>
      <x:c r="M35" s="208"/>
      <x:c r="N35" s="208"/>
      <x:c r="O35" s="208"/>
      <x:c r="P35" s="190"/>
      <x:c r="Q35" s="190"/>
      <x:c r="R35" s="190"/>
      <x:c r="S35" s="190"/>
      <x:c r="T35" s="190"/>
      <x:c r="U35" s="190"/>
      <x:c r="V35" s="212"/>
      <x:c r="W35" s="212"/>
      <x:c r="X35" s="200"/>
      <x:c r="Y35" s="192"/>
      <x:c r="Z35" s="214"/>
      <x:c r="AA35" s="214"/>
      <x:c r="AB35" s="192"/>
      <x:c r="AC35" s="194"/>
      <x:c r="AD35" s="186" t="str">
        <x:f>IF(COUNTA(B35:H35)+COUNTA(J35:AC35)=0,"",IF(OR(B35="",D35="",E35="",G35="",J35=""),"缺少必填项",IF(H35&gt;G35,"完成数大于订单数",IF(AND(X35="",OR(Y35="排队",Y35="生产中",Y35="阻塞",Z35&lt;&gt;"",AA35&lt;&gt;"",AB35="是")),"已有排期字段缺少机台",IF(AND(X35&lt;&gt;"",Y35="待排"),"已填机台但状态为待排",IF(AND(Y35="生产中",AB35&lt;&gt;"是"),"需确认：生产中未锁定","可导入"))))))</x:f>
      </x:c>
    </x:row>
    <x:row r="36" ht="22" customHeight="1">
      <x:c r="A36" s="186" t="str">
        <x:f>IF(B36="","",ROW()-5)</x:f>
      </x:c>
      <x:c r="B36" s="196"/>
      <x:c r="C36" s="198"/>
      <x:c r="D36" s="196"/>
      <x:c r="E36" s="188"/>
      <x:c r="F36" s="198"/>
      <x:c r="G36" s="202"/>
      <x:c r="H36" s="204"/>
      <x:c r="I36" s="206" t="str">
        <x:f>IF(G36="","",MAX(G36-H36,0))</x:f>
      </x:c>
      <x:c r="J36" s="210"/>
      <x:c r="K36" s="190"/>
      <x:c r="L36" s="208"/>
      <x:c r="M36" s="208"/>
      <x:c r="N36" s="208"/>
      <x:c r="O36" s="208"/>
      <x:c r="P36" s="190"/>
      <x:c r="Q36" s="190"/>
      <x:c r="R36" s="190"/>
      <x:c r="S36" s="190"/>
      <x:c r="T36" s="190"/>
      <x:c r="U36" s="190"/>
      <x:c r="V36" s="212"/>
      <x:c r="W36" s="212"/>
      <x:c r="X36" s="200"/>
      <x:c r="Y36" s="192"/>
      <x:c r="Z36" s="214"/>
      <x:c r="AA36" s="214"/>
      <x:c r="AB36" s="192"/>
      <x:c r="AC36" s="194"/>
      <x:c r="AD36" s="186" t="str">
        <x:f>IF(COUNTA(B36:H36)+COUNTA(J36:AC36)=0,"",IF(OR(B36="",D36="",E36="",G36="",J36=""),"缺少必填项",IF(H36&gt;G36,"完成数大于订单数",IF(AND(X36="",OR(Y36="排队",Y36="生产中",Y36="阻塞",Z36&lt;&gt;"",AA36&lt;&gt;"",AB36="是")),"已有排期字段缺少机台",IF(AND(X36&lt;&gt;"",Y36="待排"),"已填机台但状态为待排",IF(AND(Y36="生产中",AB36&lt;&gt;"是"),"需确认：生产中未锁定","可导入"))))))</x:f>
      </x:c>
    </x:row>
    <x:row r="37" ht="22" customHeight="1">
      <x:c r="A37" s="186" t="str">
        <x:f>IF(B37="","",ROW()-5)</x:f>
      </x:c>
      <x:c r="B37" s="196"/>
      <x:c r="C37" s="198"/>
      <x:c r="D37" s="196"/>
      <x:c r="E37" s="188"/>
      <x:c r="F37" s="198"/>
      <x:c r="G37" s="202"/>
      <x:c r="H37" s="204"/>
      <x:c r="I37" s="206" t="str">
        <x:f>IF(G37="","",MAX(G37-H37,0))</x:f>
      </x:c>
      <x:c r="J37" s="210"/>
      <x:c r="K37" s="190"/>
      <x:c r="L37" s="208"/>
      <x:c r="M37" s="208"/>
      <x:c r="N37" s="208"/>
      <x:c r="O37" s="208"/>
      <x:c r="P37" s="190"/>
      <x:c r="Q37" s="190"/>
      <x:c r="R37" s="190"/>
      <x:c r="S37" s="190"/>
      <x:c r="T37" s="190"/>
      <x:c r="U37" s="190"/>
      <x:c r="V37" s="212"/>
      <x:c r="W37" s="212"/>
      <x:c r="X37" s="200"/>
      <x:c r="Y37" s="192"/>
      <x:c r="Z37" s="214"/>
      <x:c r="AA37" s="214"/>
      <x:c r="AB37" s="192"/>
      <x:c r="AC37" s="194"/>
      <x:c r="AD37" s="186" t="str">
        <x:f>IF(COUNTA(B37:H37)+COUNTA(J37:AC37)=0,"",IF(OR(B37="",D37="",E37="",G37="",J37=""),"缺少必填项",IF(H37&gt;G37,"完成数大于订单数",IF(AND(X37="",OR(Y37="排队",Y37="生产中",Y37="阻塞",Z37&lt;&gt;"",AA37&lt;&gt;"",AB37="是")),"已有排期字段缺少机台",IF(AND(X37&lt;&gt;"",Y37="待排"),"已填机台但状态为待排",IF(AND(Y37="生产中",AB37&lt;&gt;"是"),"需确认：生产中未锁定","可导入"))))))</x:f>
      </x:c>
    </x:row>
    <x:row r="38" ht="22" customHeight="1">
      <x:c r="A38" s="186" t="str">
        <x:f>IF(B38="","",ROW()-5)</x:f>
      </x:c>
      <x:c r="B38" s="196"/>
      <x:c r="C38" s="198"/>
      <x:c r="D38" s="196"/>
      <x:c r="E38" s="188"/>
      <x:c r="F38" s="198"/>
      <x:c r="G38" s="202"/>
      <x:c r="H38" s="204"/>
      <x:c r="I38" s="206" t="str">
        <x:f>IF(G38="","",MAX(G38-H38,0))</x:f>
      </x:c>
      <x:c r="J38" s="210"/>
      <x:c r="K38" s="190"/>
      <x:c r="L38" s="208"/>
      <x:c r="M38" s="208"/>
      <x:c r="N38" s="208"/>
      <x:c r="O38" s="208"/>
      <x:c r="P38" s="190"/>
      <x:c r="Q38" s="190"/>
      <x:c r="R38" s="190"/>
      <x:c r="S38" s="190"/>
      <x:c r="T38" s="190"/>
      <x:c r="U38" s="190"/>
      <x:c r="V38" s="212"/>
      <x:c r="W38" s="212"/>
      <x:c r="X38" s="200"/>
      <x:c r="Y38" s="192"/>
      <x:c r="Z38" s="214"/>
      <x:c r="AA38" s="214"/>
      <x:c r="AB38" s="192"/>
      <x:c r="AC38" s="194"/>
      <x:c r="AD38" s="186" t="str">
        <x:f>IF(COUNTA(B38:H38)+COUNTA(J38:AC38)=0,"",IF(OR(B38="",D38="",E38="",G38="",J38=""),"缺少必填项",IF(H38&gt;G38,"完成数大于订单数",IF(AND(X38="",OR(Y38="排队",Y38="生产中",Y38="阻塞",Z38&lt;&gt;"",AA38&lt;&gt;"",AB38="是")),"已有排期字段缺少机台",IF(AND(X38&lt;&gt;"",Y38="待排"),"已填机台但状态为待排",IF(AND(Y38="生产中",AB38&lt;&gt;"是"),"需确认：生产中未锁定","可导入"))))))</x:f>
      </x:c>
    </x:row>
    <x:row r="39" ht="22" customHeight="1">
      <x:c r="A39" s="186" t="str">
        <x:f>IF(B39="","",ROW()-5)</x:f>
      </x:c>
      <x:c r="B39" s="196"/>
      <x:c r="C39" s="198"/>
      <x:c r="D39" s="196"/>
      <x:c r="E39" s="188"/>
      <x:c r="F39" s="198"/>
      <x:c r="G39" s="202"/>
      <x:c r="H39" s="204"/>
      <x:c r="I39" s="206" t="str">
        <x:f>IF(G39="","",MAX(G39-H39,0))</x:f>
      </x:c>
      <x:c r="J39" s="210"/>
      <x:c r="K39" s="190"/>
      <x:c r="L39" s="208"/>
      <x:c r="M39" s="208"/>
      <x:c r="N39" s="208"/>
      <x:c r="O39" s="208"/>
      <x:c r="P39" s="190"/>
      <x:c r="Q39" s="190"/>
      <x:c r="R39" s="190"/>
      <x:c r="S39" s="190"/>
      <x:c r="T39" s="190"/>
      <x:c r="U39" s="190"/>
      <x:c r="V39" s="212"/>
      <x:c r="W39" s="212"/>
      <x:c r="X39" s="200"/>
      <x:c r="Y39" s="192"/>
      <x:c r="Z39" s="214"/>
      <x:c r="AA39" s="214"/>
      <x:c r="AB39" s="192"/>
      <x:c r="AC39" s="194"/>
      <x:c r="AD39" s="186" t="str">
        <x:f>IF(COUNTA(B39:H39)+COUNTA(J39:AC39)=0,"",IF(OR(B39="",D39="",E39="",G39="",J39=""),"缺少必填项",IF(H39&gt;G39,"完成数大于订单数",IF(AND(X39="",OR(Y39="排队",Y39="生产中",Y39="阻塞",Z39&lt;&gt;"",AA39&lt;&gt;"",AB39="是")),"已有排期字段缺少机台",IF(AND(X39&lt;&gt;"",Y39="待排"),"已填机台但状态为待排",IF(AND(Y39="生产中",AB39&lt;&gt;"是"),"需确认：生产中未锁定","可导入"))))))</x:f>
      </x:c>
    </x:row>
    <x:row r="40" ht="22" customHeight="1">
      <x:c r="A40" s="186" t="str">
        <x:f>IF(B40="","",ROW()-5)</x:f>
      </x:c>
      <x:c r="B40" s="196"/>
      <x:c r="C40" s="198"/>
      <x:c r="D40" s="196"/>
      <x:c r="E40" s="188"/>
      <x:c r="F40" s="198"/>
      <x:c r="G40" s="202"/>
      <x:c r="H40" s="204"/>
      <x:c r="I40" s="206" t="str">
        <x:f>IF(G40="","",MAX(G40-H40,0))</x:f>
      </x:c>
      <x:c r="J40" s="210"/>
      <x:c r="K40" s="190"/>
      <x:c r="L40" s="208"/>
      <x:c r="M40" s="208"/>
      <x:c r="N40" s="208"/>
      <x:c r="O40" s="208"/>
      <x:c r="P40" s="190"/>
      <x:c r="Q40" s="190"/>
      <x:c r="R40" s="190"/>
      <x:c r="S40" s="190"/>
      <x:c r="T40" s="190"/>
      <x:c r="U40" s="190"/>
      <x:c r="V40" s="212"/>
      <x:c r="W40" s="212"/>
      <x:c r="X40" s="200"/>
      <x:c r="Y40" s="192"/>
      <x:c r="Z40" s="214"/>
      <x:c r="AA40" s="214"/>
      <x:c r="AB40" s="192"/>
      <x:c r="AC40" s="194"/>
      <x:c r="AD40" s="186" t="str">
        <x:f>IF(COUNTA(B40:H40)+COUNTA(J40:AC40)=0,"",IF(OR(B40="",D40="",E40="",G40="",J40=""),"缺少必填项",IF(H40&gt;G40,"完成数大于订单数",IF(AND(X40="",OR(Y40="排队",Y40="生产中",Y40="阻塞",Z40&lt;&gt;"",AA40&lt;&gt;"",AB40="是")),"已有排期字段缺少机台",IF(AND(X40&lt;&gt;"",Y40="待排"),"已填机台但状态为待排",IF(AND(Y40="生产中",AB40&lt;&gt;"是"),"需确认：生产中未锁定","可导入"))))))</x:f>
      </x:c>
    </x:row>
    <x:row r="41" ht="22" customHeight="1">
      <x:c r="A41" s="186" t="str">
        <x:f>IF(B41="","",ROW()-5)</x:f>
      </x:c>
      <x:c r="B41" s="196"/>
      <x:c r="C41" s="198"/>
      <x:c r="D41" s="196"/>
      <x:c r="E41" s="188"/>
      <x:c r="F41" s="198"/>
      <x:c r="G41" s="202"/>
      <x:c r="H41" s="204"/>
      <x:c r="I41" s="206" t="str">
        <x:f>IF(G41="","",MAX(G41-H41,0))</x:f>
      </x:c>
      <x:c r="J41" s="210"/>
      <x:c r="K41" s="190"/>
      <x:c r="L41" s="208"/>
      <x:c r="M41" s="208"/>
      <x:c r="N41" s="208"/>
      <x:c r="O41" s="208"/>
      <x:c r="P41" s="190"/>
      <x:c r="Q41" s="190"/>
      <x:c r="R41" s="190"/>
      <x:c r="S41" s="190"/>
      <x:c r="T41" s="190"/>
      <x:c r="U41" s="190"/>
      <x:c r="V41" s="212"/>
      <x:c r="W41" s="212"/>
      <x:c r="X41" s="200"/>
      <x:c r="Y41" s="192"/>
      <x:c r="Z41" s="214"/>
      <x:c r="AA41" s="214"/>
      <x:c r="AB41" s="192"/>
      <x:c r="AC41" s="194"/>
      <x:c r="AD41" s="186" t="str">
        <x:f>IF(COUNTA(B41:H41)+COUNTA(J41:AC41)=0,"",IF(OR(B41="",D41="",E41="",G41="",J41=""),"缺少必填项",IF(H41&gt;G41,"完成数大于订单数",IF(AND(X41="",OR(Y41="排队",Y41="生产中",Y41="阻塞",Z41&lt;&gt;"",AA41&lt;&gt;"",AB41="是")),"已有排期字段缺少机台",IF(AND(X41&lt;&gt;"",Y41="待排"),"已填机台但状态为待排",IF(AND(Y41="生产中",AB41&lt;&gt;"是"),"需确认：生产中未锁定","可导入"))))))</x:f>
      </x:c>
    </x:row>
    <x:row r="42" ht="22" customHeight="1">
      <x:c r="A42" s="186" t="str">
        <x:f>IF(B42="","",ROW()-5)</x:f>
      </x:c>
      <x:c r="B42" s="196"/>
      <x:c r="C42" s="198"/>
      <x:c r="D42" s="196"/>
      <x:c r="E42" s="188"/>
      <x:c r="F42" s="198"/>
      <x:c r="G42" s="202"/>
      <x:c r="H42" s="204"/>
      <x:c r="I42" s="206" t="str">
        <x:f>IF(G42="","",MAX(G42-H42,0))</x:f>
      </x:c>
      <x:c r="J42" s="210"/>
      <x:c r="K42" s="190"/>
      <x:c r="L42" s="208"/>
      <x:c r="M42" s="208"/>
      <x:c r="N42" s="208"/>
      <x:c r="O42" s="208"/>
      <x:c r="P42" s="190"/>
      <x:c r="Q42" s="190"/>
      <x:c r="R42" s="190"/>
      <x:c r="S42" s="190"/>
      <x:c r="T42" s="190"/>
      <x:c r="U42" s="190"/>
      <x:c r="V42" s="212"/>
      <x:c r="W42" s="212"/>
      <x:c r="X42" s="200"/>
      <x:c r="Y42" s="192"/>
      <x:c r="Z42" s="214"/>
      <x:c r="AA42" s="214"/>
      <x:c r="AB42" s="192"/>
      <x:c r="AC42" s="194"/>
      <x:c r="AD42" s="186" t="str">
        <x:f>IF(COUNTA(B42:H42)+COUNTA(J42:AC42)=0,"",IF(OR(B42="",D42="",E42="",G42="",J42=""),"缺少必填项",IF(H42&gt;G42,"完成数大于订单数",IF(AND(X42="",OR(Y42="排队",Y42="生产中",Y42="阻塞",Z42&lt;&gt;"",AA42&lt;&gt;"",AB42="是")),"已有排期字段缺少机台",IF(AND(X42&lt;&gt;"",Y42="待排"),"已填机台但状态为待排",IF(AND(Y42="生产中",AB42&lt;&gt;"是"),"需确认：生产中未锁定","可导入"))))))</x:f>
      </x:c>
    </x:row>
    <x:row r="43" ht="22" customHeight="1">
      <x:c r="A43" s="186" t="str">
        <x:f>IF(B43="","",ROW()-5)</x:f>
      </x:c>
      <x:c r="B43" s="196"/>
      <x:c r="C43" s="198"/>
      <x:c r="D43" s="196"/>
      <x:c r="E43" s="188"/>
      <x:c r="F43" s="198"/>
      <x:c r="G43" s="202"/>
      <x:c r="H43" s="204"/>
      <x:c r="I43" s="206" t="str">
        <x:f>IF(G43="","",MAX(G43-H43,0))</x:f>
      </x:c>
      <x:c r="J43" s="210"/>
      <x:c r="K43" s="190"/>
      <x:c r="L43" s="208"/>
      <x:c r="M43" s="208"/>
      <x:c r="N43" s="208"/>
      <x:c r="O43" s="208"/>
      <x:c r="P43" s="190"/>
      <x:c r="Q43" s="190"/>
      <x:c r="R43" s="190"/>
      <x:c r="S43" s="190"/>
      <x:c r="T43" s="190"/>
      <x:c r="U43" s="190"/>
      <x:c r="V43" s="212"/>
      <x:c r="W43" s="212"/>
      <x:c r="X43" s="200"/>
      <x:c r="Y43" s="192"/>
      <x:c r="Z43" s="214"/>
      <x:c r="AA43" s="214"/>
      <x:c r="AB43" s="192"/>
      <x:c r="AC43" s="194"/>
      <x:c r="AD43" s="186" t="str">
        <x:f>IF(COUNTA(B43:H43)+COUNTA(J43:AC43)=0,"",IF(OR(B43="",D43="",E43="",G43="",J43=""),"缺少必填项",IF(H43&gt;G43,"完成数大于订单数",IF(AND(X43="",OR(Y43="排队",Y43="生产中",Y43="阻塞",Z43&lt;&gt;"",AA43&lt;&gt;"",AB43="是")),"已有排期字段缺少机台",IF(AND(X43&lt;&gt;"",Y43="待排"),"已填机台但状态为待排",IF(AND(Y43="生产中",AB43&lt;&gt;"是"),"需确认：生产中未锁定","可导入"))))))</x:f>
      </x:c>
    </x:row>
    <x:row r="44" ht="22" customHeight="1">
      <x:c r="A44" s="186" t="str">
        <x:f>IF(B44="","",ROW()-5)</x:f>
      </x:c>
      <x:c r="B44" s="196"/>
      <x:c r="C44" s="198"/>
      <x:c r="D44" s="196"/>
      <x:c r="E44" s="188"/>
      <x:c r="F44" s="198"/>
      <x:c r="G44" s="202"/>
      <x:c r="H44" s="204"/>
      <x:c r="I44" s="206" t="str">
        <x:f>IF(G44="","",MAX(G44-H44,0))</x:f>
      </x:c>
      <x:c r="J44" s="210"/>
      <x:c r="K44" s="190"/>
      <x:c r="L44" s="208"/>
      <x:c r="M44" s="208"/>
      <x:c r="N44" s="208"/>
      <x:c r="O44" s="208"/>
      <x:c r="P44" s="190"/>
      <x:c r="Q44" s="190"/>
      <x:c r="R44" s="190"/>
      <x:c r="S44" s="190"/>
      <x:c r="T44" s="190"/>
      <x:c r="U44" s="190"/>
      <x:c r="V44" s="212"/>
      <x:c r="W44" s="212"/>
      <x:c r="X44" s="200"/>
      <x:c r="Y44" s="192"/>
      <x:c r="Z44" s="214"/>
      <x:c r="AA44" s="214"/>
      <x:c r="AB44" s="192"/>
      <x:c r="AC44" s="194"/>
      <x:c r="AD44" s="186" t="str">
        <x:f>IF(COUNTA(B44:H44)+COUNTA(J44:AC44)=0,"",IF(OR(B44="",D44="",E44="",G44="",J44=""),"缺少必填项",IF(H44&gt;G44,"完成数大于订单数",IF(AND(X44="",OR(Y44="排队",Y44="生产中",Y44="阻塞",Z44&lt;&gt;"",AA44&lt;&gt;"",AB44="是")),"已有排期字段缺少机台",IF(AND(X44&lt;&gt;"",Y44="待排"),"已填机台但状态为待排",IF(AND(Y44="生产中",AB44&lt;&gt;"是"),"需确认：生产中未锁定","可导入"))))))</x:f>
      </x:c>
    </x:row>
    <x:row r="45" ht="22" customHeight="1">
      <x:c r="A45" s="186" t="str">
        <x:f>IF(B45="","",ROW()-5)</x:f>
      </x:c>
      <x:c r="B45" s="196"/>
      <x:c r="C45" s="198"/>
      <x:c r="D45" s="196"/>
      <x:c r="E45" s="188"/>
      <x:c r="F45" s="198"/>
      <x:c r="G45" s="202"/>
      <x:c r="H45" s="204"/>
      <x:c r="I45" s="206" t="str">
        <x:f>IF(G45="","",MAX(G45-H45,0))</x:f>
      </x:c>
      <x:c r="J45" s="210"/>
      <x:c r="K45" s="190"/>
      <x:c r="L45" s="208"/>
      <x:c r="M45" s="208"/>
      <x:c r="N45" s="208"/>
      <x:c r="O45" s="208"/>
      <x:c r="P45" s="190"/>
      <x:c r="Q45" s="190"/>
      <x:c r="R45" s="190"/>
      <x:c r="S45" s="190"/>
      <x:c r="T45" s="190"/>
      <x:c r="U45" s="190"/>
      <x:c r="V45" s="212"/>
      <x:c r="W45" s="212"/>
      <x:c r="X45" s="200"/>
      <x:c r="Y45" s="192"/>
      <x:c r="Z45" s="214"/>
      <x:c r="AA45" s="214"/>
      <x:c r="AB45" s="192"/>
      <x:c r="AC45" s="194"/>
      <x:c r="AD45" s="186" t="str">
        <x:f>IF(COUNTA(B45:H45)+COUNTA(J45:AC45)=0,"",IF(OR(B45="",D45="",E45="",G45="",J45=""),"缺少必填项",IF(H45&gt;G45,"完成数大于订单数",IF(AND(X45="",OR(Y45="排队",Y45="生产中",Y45="阻塞",Z45&lt;&gt;"",AA45&lt;&gt;"",AB45="是")),"已有排期字段缺少机台",IF(AND(X45&lt;&gt;"",Y45="待排"),"已填机台但状态为待排",IF(AND(Y45="生产中",AB45&lt;&gt;"是"),"需确认：生产中未锁定","可导入"))))))</x:f>
      </x:c>
    </x:row>
    <x:row r="46" ht="22" customHeight="1">
      <x:c r="A46" s="186" t="str">
        <x:f>IF(B46="","",ROW()-5)</x:f>
      </x:c>
      <x:c r="B46" s="196"/>
      <x:c r="C46" s="198"/>
      <x:c r="D46" s="196"/>
      <x:c r="E46" s="188"/>
      <x:c r="F46" s="198"/>
      <x:c r="G46" s="202"/>
      <x:c r="H46" s="204"/>
      <x:c r="I46" s="206" t="str">
        <x:f>IF(G46="","",MAX(G46-H46,0))</x:f>
      </x:c>
      <x:c r="J46" s="210"/>
      <x:c r="K46" s="190"/>
      <x:c r="L46" s="208"/>
      <x:c r="M46" s="208"/>
      <x:c r="N46" s="208"/>
      <x:c r="O46" s="208"/>
      <x:c r="P46" s="190"/>
      <x:c r="Q46" s="190"/>
      <x:c r="R46" s="190"/>
      <x:c r="S46" s="190"/>
      <x:c r="T46" s="190"/>
      <x:c r="U46" s="190"/>
      <x:c r="V46" s="212"/>
      <x:c r="W46" s="212"/>
      <x:c r="X46" s="200"/>
      <x:c r="Y46" s="192"/>
      <x:c r="Z46" s="214"/>
      <x:c r="AA46" s="214"/>
      <x:c r="AB46" s="192"/>
      <x:c r="AC46" s="194"/>
      <x:c r="AD46" s="186" t="str">
        <x:f>IF(COUNTA(B46:H46)+COUNTA(J46:AC46)=0,"",IF(OR(B46="",D46="",E46="",G46="",J46=""),"缺少必填项",IF(H46&gt;G46,"完成数大于订单数",IF(AND(X46="",OR(Y46="排队",Y46="生产中",Y46="阻塞",Z46&lt;&gt;"",AA46&lt;&gt;"",AB46="是")),"已有排期字段缺少机台",IF(AND(X46&lt;&gt;"",Y46="待排"),"已填机台但状态为待排",IF(AND(Y46="生产中",AB46&lt;&gt;"是"),"需确认：生产中未锁定","可导入"))))))</x:f>
      </x:c>
    </x:row>
    <x:row r="47" ht="22" customHeight="1">
      <x:c r="A47" s="186" t="str">
        <x:f>IF(B47="","",ROW()-5)</x:f>
      </x:c>
      <x:c r="B47" s="196"/>
      <x:c r="C47" s="198"/>
      <x:c r="D47" s="196"/>
      <x:c r="E47" s="188"/>
      <x:c r="F47" s="198"/>
      <x:c r="G47" s="202"/>
      <x:c r="H47" s="204"/>
      <x:c r="I47" s="206" t="str">
        <x:f>IF(G47="","",MAX(G47-H47,0))</x:f>
      </x:c>
      <x:c r="J47" s="210"/>
      <x:c r="K47" s="190"/>
      <x:c r="L47" s="208"/>
      <x:c r="M47" s="208"/>
      <x:c r="N47" s="208"/>
      <x:c r="O47" s="208"/>
      <x:c r="P47" s="190"/>
      <x:c r="Q47" s="190"/>
      <x:c r="R47" s="190"/>
      <x:c r="S47" s="190"/>
      <x:c r="T47" s="190"/>
      <x:c r="U47" s="190"/>
      <x:c r="V47" s="212"/>
      <x:c r="W47" s="212"/>
      <x:c r="X47" s="200"/>
      <x:c r="Y47" s="192"/>
      <x:c r="Z47" s="214"/>
      <x:c r="AA47" s="214"/>
      <x:c r="AB47" s="192"/>
      <x:c r="AC47" s="194"/>
      <x:c r="AD47" s="186" t="str">
        <x:f>IF(COUNTA(B47:H47)+COUNTA(J47:AC47)=0,"",IF(OR(B47="",D47="",E47="",G47="",J47=""),"缺少必填项",IF(H47&gt;G47,"完成数大于订单数",IF(AND(X47="",OR(Y47="排队",Y47="生产中",Y47="阻塞",Z47&lt;&gt;"",AA47&lt;&gt;"",AB47="是")),"已有排期字段缺少机台",IF(AND(X47&lt;&gt;"",Y47="待排"),"已填机台但状态为待排",IF(AND(Y47="生产中",AB47&lt;&gt;"是"),"需确认：生产中未锁定","可导入"))))))</x:f>
      </x:c>
    </x:row>
    <x:row r="48" ht="22" customHeight="1">
      <x:c r="A48" s="186" t="str">
        <x:f>IF(B48="","",ROW()-5)</x:f>
      </x:c>
      <x:c r="B48" s="196"/>
      <x:c r="C48" s="198"/>
      <x:c r="D48" s="196"/>
      <x:c r="E48" s="188"/>
      <x:c r="F48" s="198"/>
      <x:c r="G48" s="202"/>
      <x:c r="H48" s="204"/>
      <x:c r="I48" s="206" t="str">
        <x:f>IF(G48="","",MAX(G48-H48,0))</x:f>
      </x:c>
      <x:c r="J48" s="210"/>
      <x:c r="K48" s="190"/>
      <x:c r="L48" s="208"/>
      <x:c r="M48" s="208"/>
      <x:c r="N48" s="208"/>
      <x:c r="O48" s="208"/>
      <x:c r="P48" s="190"/>
      <x:c r="Q48" s="190"/>
      <x:c r="R48" s="190"/>
      <x:c r="S48" s="190"/>
      <x:c r="T48" s="190"/>
      <x:c r="U48" s="190"/>
      <x:c r="V48" s="212"/>
      <x:c r="W48" s="212"/>
      <x:c r="X48" s="200"/>
      <x:c r="Y48" s="192"/>
      <x:c r="Z48" s="214"/>
      <x:c r="AA48" s="214"/>
      <x:c r="AB48" s="192"/>
      <x:c r="AC48" s="194"/>
      <x:c r="AD48" s="186" t="str">
        <x:f>IF(COUNTA(B48:H48)+COUNTA(J48:AC48)=0,"",IF(OR(B48="",D48="",E48="",G48="",J48=""),"缺少必填项",IF(H48&gt;G48,"完成数大于订单数",IF(AND(X48="",OR(Y48="排队",Y48="生产中",Y48="阻塞",Z48&lt;&gt;"",AA48&lt;&gt;"",AB48="是")),"已有排期字段缺少机台",IF(AND(X48&lt;&gt;"",Y48="待排"),"已填机台但状态为待排",IF(AND(Y48="生产中",AB48&lt;&gt;"是"),"需确认：生产中未锁定","可导入"))))))</x:f>
      </x:c>
    </x:row>
    <x:row r="49" ht="22" customHeight="1">
      <x:c r="A49" s="186" t="str">
        <x:f>IF(B49="","",ROW()-5)</x:f>
      </x:c>
      <x:c r="B49" s="196"/>
      <x:c r="C49" s="198"/>
      <x:c r="D49" s="196"/>
      <x:c r="E49" s="188"/>
      <x:c r="F49" s="198"/>
      <x:c r="G49" s="202"/>
      <x:c r="H49" s="204"/>
      <x:c r="I49" s="206" t="str">
        <x:f>IF(G49="","",MAX(G49-H49,0))</x:f>
      </x:c>
      <x:c r="J49" s="210"/>
      <x:c r="K49" s="190"/>
      <x:c r="L49" s="208"/>
      <x:c r="M49" s="208"/>
      <x:c r="N49" s="208"/>
      <x:c r="O49" s="208"/>
      <x:c r="P49" s="190"/>
      <x:c r="Q49" s="190"/>
      <x:c r="R49" s="190"/>
      <x:c r="S49" s="190"/>
      <x:c r="T49" s="190"/>
      <x:c r="U49" s="190"/>
      <x:c r="V49" s="212"/>
      <x:c r="W49" s="212"/>
      <x:c r="X49" s="200"/>
      <x:c r="Y49" s="192"/>
      <x:c r="Z49" s="214"/>
      <x:c r="AA49" s="214"/>
      <x:c r="AB49" s="192"/>
      <x:c r="AC49" s="194"/>
      <x:c r="AD49" s="186" t="str">
        <x:f>IF(COUNTA(B49:H49)+COUNTA(J49:AC49)=0,"",IF(OR(B49="",D49="",E49="",G49="",J49=""),"缺少必填项",IF(H49&gt;G49,"完成数大于订单数",IF(AND(X49="",OR(Y49="排队",Y49="生产中",Y49="阻塞",Z49&lt;&gt;"",AA49&lt;&gt;"",AB49="是")),"已有排期字段缺少机台",IF(AND(X49&lt;&gt;"",Y49="待排"),"已填机台但状态为待排",IF(AND(Y49="生产中",AB49&lt;&gt;"是"),"需确认：生产中未锁定","可导入"))))))</x:f>
      </x:c>
    </x:row>
    <x:row r="50" ht="22" customHeight="1">
      <x:c r="A50" s="186" t="str">
        <x:f>IF(B50="","",ROW()-5)</x:f>
      </x:c>
      <x:c r="B50" s="196"/>
      <x:c r="C50" s="198"/>
      <x:c r="D50" s="196"/>
      <x:c r="E50" s="188"/>
      <x:c r="F50" s="198"/>
      <x:c r="G50" s="202"/>
      <x:c r="H50" s="204"/>
      <x:c r="I50" s="206" t="str">
        <x:f>IF(G50="","",MAX(G50-H50,0))</x:f>
      </x:c>
      <x:c r="J50" s="210"/>
      <x:c r="K50" s="190"/>
      <x:c r="L50" s="208"/>
      <x:c r="M50" s="208"/>
      <x:c r="N50" s="208"/>
      <x:c r="O50" s="208"/>
      <x:c r="P50" s="190"/>
      <x:c r="Q50" s="190"/>
      <x:c r="R50" s="190"/>
      <x:c r="S50" s="190"/>
      <x:c r="T50" s="190"/>
      <x:c r="U50" s="190"/>
      <x:c r="V50" s="212"/>
      <x:c r="W50" s="212"/>
      <x:c r="X50" s="200"/>
      <x:c r="Y50" s="192"/>
      <x:c r="Z50" s="214"/>
      <x:c r="AA50" s="214"/>
      <x:c r="AB50" s="192"/>
      <x:c r="AC50" s="194"/>
      <x:c r="AD50" s="186" t="str">
        <x:f>IF(COUNTA(B50:H50)+COUNTA(J50:AC50)=0,"",IF(OR(B50="",D50="",E50="",G50="",J50=""),"缺少必填项",IF(H50&gt;G50,"完成数大于订单数",IF(AND(X50="",OR(Y50="排队",Y50="生产中",Y50="阻塞",Z50&lt;&gt;"",AA50&lt;&gt;"",AB50="是")),"已有排期字段缺少机台",IF(AND(X50&lt;&gt;"",Y50="待排"),"已填机台但状态为待排",IF(AND(Y50="生产中",AB50&lt;&gt;"是"),"需确认：生产中未锁定","可导入"))))))</x:f>
      </x:c>
    </x:row>
    <x:row r="51" ht="22" customHeight="1">
      <x:c r="A51" s="186" t="str">
        <x:f>IF(B51="","",ROW()-5)</x:f>
      </x:c>
      <x:c r="B51" s="196"/>
      <x:c r="C51" s="198"/>
      <x:c r="D51" s="196"/>
      <x:c r="E51" s="188"/>
      <x:c r="F51" s="198"/>
      <x:c r="G51" s="202"/>
      <x:c r="H51" s="204"/>
      <x:c r="I51" s="206" t="str">
        <x:f>IF(G51="","",MAX(G51-H51,0))</x:f>
      </x:c>
      <x:c r="J51" s="210"/>
      <x:c r="K51" s="190"/>
      <x:c r="L51" s="208"/>
      <x:c r="M51" s="208"/>
      <x:c r="N51" s="208"/>
      <x:c r="O51" s="208"/>
      <x:c r="P51" s="190"/>
      <x:c r="Q51" s="190"/>
      <x:c r="R51" s="190"/>
      <x:c r="S51" s="190"/>
      <x:c r="T51" s="190"/>
      <x:c r="U51" s="190"/>
      <x:c r="V51" s="212"/>
      <x:c r="W51" s="212"/>
      <x:c r="X51" s="200"/>
      <x:c r="Y51" s="192"/>
      <x:c r="Z51" s="214"/>
      <x:c r="AA51" s="214"/>
      <x:c r="AB51" s="192"/>
      <x:c r="AC51" s="194"/>
      <x:c r="AD51" s="186" t="str">
        <x:f>IF(COUNTA(B51:H51)+COUNTA(J51:AC51)=0,"",IF(OR(B51="",D51="",E51="",G51="",J51=""),"缺少必填项",IF(H51&gt;G51,"完成数大于订单数",IF(AND(X51="",OR(Y51="排队",Y51="生产中",Y51="阻塞",Z51&lt;&gt;"",AA51&lt;&gt;"",AB51="是")),"已有排期字段缺少机台",IF(AND(X51&lt;&gt;"",Y51="待排"),"已填机台但状态为待排",IF(AND(Y51="生产中",AB51&lt;&gt;"是"),"需确认：生产中未锁定","可导入"))))))</x:f>
      </x:c>
    </x:row>
    <x:row r="52" ht="22" customHeight="1">
      <x:c r="A52" s="186" t="str">
        <x:f>IF(B52="","",ROW()-5)</x:f>
      </x:c>
      <x:c r="B52" s="196"/>
      <x:c r="C52" s="198"/>
      <x:c r="D52" s="196"/>
      <x:c r="E52" s="188"/>
      <x:c r="F52" s="198"/>
      <x:c r="G52" s="202"/>
      <x:c r="H52" s="204"/>
      <x:c r="I52" s="206" t="str">
        <x:f>IF(G52="","",MAX(G52-H52,0))</x:f>
      </x:c>
      <x:c r="J52" s="210"/>
      <x:c r="K52" s="190"/>
      <x:c r="L52" s="208"/>
      <x:c r="M52" s="208"/>
      <x:c r="N52" s="208"/>
      <x:c r="O52" s="208"/>
      <x:c r="P52" s="190"/>
      <x:c r="Q52" s="190"/>
      <x:c r="R52" s="190"/>
      <x:c r="S52" s="190"/>
      <x:c r="T52" s="190"/>
      <x:c r="U52" s="190"/>
      <x:c r="V52" s="212"/>
      <x:c r="W52" s="212"/>
      <x:c r="X52" s="200"/>
      <x:c r="Y52" s="192"/>
      <x:c r="Z52" s="214"/>
      <x:c r="AA52" s="214"/>
      <x:c r="AB52" s="192"/>
      <x:c r="AC52" s="194"/>
      <x:c r="AD52" s="186" t="str">
        <x:f>IF(COUNTA(B52:H52)+COUNTA(J52:AC52)=0,"",IF(OR(B52="",D52="",E52="",G52="",J52=""),"缺少必填项",IF(H52&gt;G52,"完成数大于订单数",IF(AND(X52="",OR(Y52="排队",Y52="生产中",Y52="阻塞",Z52&lt;&gt;"",AA52&lt;&gt;"",AB52="是")),"已有排期字段缺少机台",IF(AND(X52&lt;&gt;"",Y52="待排"),"已填机台但状态为待排",IF(AND(Y52="生产中",AB52&lt;&gt;"是"),"需确认：生产中未锁定","可导入"))))))</x:f>
      </x:c>
    </x:row>
    <x:row r="53" ht="22" customHeight="1">
      <x:c r="A53" s="186" t="str">
        <x:f>IF(B53="","",ROW()-5)</x:f>
      </x:c>
      <x:c r="B53" s="196"/>
      <x:c r="C53" s="198"/>
      <x:c r="D53" s="196"/>
      <x:c r="E53" s="188"/>
      <x:c r="F53" s="198"/>
      <x:c r="G53" s="202"/>
      <x:c r="H53" s="204"/>
      <x:c r="I53" s="206" t="str">
        <x:f>IF(G53="","",MAX(G53-H53,0))</x:f>
      </x:c>
      <x:c r="J53" s="210"/>
      <x:c r="K53" s="190"/>
      <x:c r="L53" s="208"/>
      <x:c r="M53" s="208"/>
      <x:c r="N53" s="208"/>
      <x:c r="O53" s="208"/>
      <x:c r="P53" s="190"/>
      <x:c r="Q53" s="190"/>
      <x:c r="R53" s="190"/>
      <x:c r="S53" s="190"/>
      <x:c r="T53" s="190"/>
      <x:c r="U53" s="190"/>
      <x:c r="V53" s="212"/>
      <x:c r="W53" s="212"/>
      <x:c r="X53" s="200"/>
      <x:c r="Y53" s="192"/>
      <x:c r="Z53" s="214"/>
      <x:c r="AA53" s="214"/>
      <x:c r="AB53" s="192"/>
      <x:c r="AC53" s="194"/>
      <x:c r="AD53" s="186" t="str">
        <x:f>IF(COUNTA(B53:H53)+COUNTA(J53:AC53)=0,"",IF(OR(B53="",D53="",E53="",G53="",J53=""),"缺少必填项",IF(H53&gt;G53,"完成数大于订单数",IF(AND(X53="",OR(Y53="排队",Y53="生产中",Y53="阻塞",Z53&lt;&gt;"",AA53&lt;&gt;"",AB53="是")),"已有排期字段缺少机台",IF(AND(X53&lt;&gt;"",Y53="待排"),"已填机台但状态为待排",IF(AND(Y53="生产中",AB53&lt;&gt;"是"),"需确认：生产中未锁定","可导入"))))))</x:f>
      </x:c>
    </x:row>
    <x:row r="54" ht="22" customHeight="1">
      <x:c r="A54" s="186" t="str">
        <x:f>IF(B54="","",ROW()-5)</x:f>
      </x:c>
      <x:c r="B54" s="196"/>
      <x:c r="C54" s="198"/>
      <x:c r="D54" s="196"/>
      <x:c r="E54" s="188"/>
      <x:c r="F54" s="198"/>
      <x:c r="G54" s="202"/>
      <x:c r="H54" s="204"/>
      <x:c r="I54" s="206" t="str">
        <x:f>IF(G54="","",MAX(G54-H54,0))</x:f>
      </x:c>
      <x:c r="J54" s="210"/>
      <x:c r="K54" s="190"/>
      <x:c r="L54" s="208"/>
      <x:c r="M54" s="208"/>
      <x:c r="N54" s="208"/>
      <x:c r="O54" s="208"/>
      <x:c r="P54" s="190"/>
      <x:c r="Q54" s="190"/>
      <x:c r="R54" s="190"/>
      <x:c r="S54" s="190"/>
      <x:c r="T54" s="190"/>
      <x:c r="U54" s="190"/>
      <x:c r="V54" s="212"/>
      <x:c r="W54" s="212"/>
      <x:c r="X54" s="200"/>
      <x:c r="Y54" s="192"/>
      <x:c r="Z54" s="214"/>
      <x:c r="AA54" s="214"/>
      <x:c r="AB54" s="192"/>
      <x:c r="AC54" s="194"/>
      <x:c r="AD54" s="186" t="str">
        <x:f>IF(COUNTA(B54:H54)+COUNTA(J54:AC54)=0,"",IF(OR(B54="",D54="",E54="",G54="",J54=""),"缺少必填项",IF(H54&gt;G54,"完成数大于订单数",IF(AND(X54="",OR(Y54="排队",Y54="生产中",Y54="阻塞",Z54&lt;&gt;"",AA54&lt;&gt;"",AB54="是")),"已有排期字段缺少机台",IF(AND(X54&lt;&gt;"",Y54="待排"),"已填机台但状态为待排",IF(AND(Y54="生产中",AB54&lt;&gt;"是"),"需确认：生产中未锁定","可导入"))))))</x:f>
      </x:c>
    </x:row>
    <x:row r="55" ht="22" customHeight="1">
      <x:c r="A55" s="186" t="str">
        <x:f>IF(B55="","",ROW()-5)</x:f>
      </x:c>
      <x:c r="B55" s="196"/>
      <x:c r="C55" s="198"/>
      <x:c r="D55" s="196"/>
      <x:c r="E55" s="188"/>
      <x:c r="F55" s="198"/>
      <x:c r="G55" s="202"/>
      <x:c r="H55" s="204"/>
      <x:c r="I55" s="206" t="str">
        <x:f>IF(G55="","",MAX(G55-H55,0))</x:f>
      </x:c>
      <x:c r="J55" s="210"/>
      <x:c r="K55" s="190"/>
      <x:c r="L55" s="208"/>
      <x:c r="M55" s="208"/>
      <x:c r="N55" s="208"/>
      <x:c r="O55" s="208"/>
      <x:c r="P55" s="190"/>
      <x:c r="Q55" s="190"/>
      <x:c r="R55" s="190"/>
      <x:c r="S55" s="190"/>
      <x:c r="T55" s="190"/>
      <x:c r="U55" s="190"/>
      <x:c r="V55" s="212"/>
      <x:c r="W55" s="212"/>
      <x:c r="X55" s="200"/>
      <x:c r="Y55" s="192"/>
      <x:c r="Z55" s="214"/>
      <x:c r="AA55" s="214"/>
      <x:c r="AB55" s="192"/>
      <x:c r="AC55" s="194"/>
      <x:c r="AD55" s="186" t="str">
        <x:f>IF(COUNTA(B55:H55)+COUNTA(J55:AC55)=0,"",IF(OR(B55="",D55="",E55="",G55="",J55=""),"缺少必填项",IF(H55&gt;G55,"完成数大于订单数",IF(AND(X55="",OR(Y55="排队",Y55="生产中",Y55="阻塞",Z55&lt;&gt;"",AA55&lt;&gt;"",AB55="是")),"已有排期字段缺少机台",IF(AND(X55&lt;&gt;"",Y55="待排"),"已填机台但状态为待排",IF(AND(Y55="生产中",AB55&lt;&gt;"是"),"需确认：生产中未锁定","可导入"))))))</x:f>
      </x:c>
    </x:row>
    <x:row r="56" ht="22" customHeight="1">
      <x:c r="A56" s="186" t="str">
        <x:f>IF(B56="","",ROW()-5)</x:f>
      </x:c>
      <x:c r="B56" s="196"/>
      <x:c r="C56" s="198"/>
      <x:c r="D56" s="196"/>
      <x:c r="E56" s="188"/>
      <x:c r="F56" s="198"/>
      <x:c r="G56" s="202"/>
      <x:c r="H56" s="204"/>
      <x:c r="I56" s="206" t="str">
        <x:f>IF(G56="","",MAX(G56-H56,0))</x:f>
      </x:c>
      <x:c r="J56" s="210"/>
      <x:c r="K56" s="190"/>
      <x:c r="L56" s="208"/>
      <x:c r="M56" s="208"/>
      <x:c r="N56" s="208"/>
      <x:c r="O56" s="208"/>
      <x:c r="P56" s="190"/>
      <x:c r="Q56" s="190"/>
      <x:c r="R56" s="190"/>
      <x:c r="S56" s="190"/>
      <x:c r="T56" s="190"/>
      <x:c r="U56" s="190"/>
      <x:c r="V56" s="212"/>
      <x:c r="W56" s="212"/>
      <x:c r="X56" s="200"/>
      <x:c r="Y56" s="192"/>
      <x:c r="Z56" s="214"/>
      <x:c r="AA56" s="214"/>
      <x:c r="AB56" s="192"/>
      <x:c r="AC56" s="194"/>
      <x:c r="AD56" s="186" t="str">
        <x:f>IF(COUNTA(B56:H56)+COUNTA(J56:AC56)=0,"",IF(OR(B56="",D56="",E56="",G56="",J56=""),"缺少必填项",IF(H56&gt;G56,"完成数大于订单数",IF(AND(X56="",OR(Y56="排队",Y56="生产中",Y56="阻塞",Z56&lt;&gt;"",AA56&lt;&gt;"",AB56="是")),"已有排期字段缺少机台",IF(AND(X56&lt;&gt;"",Y56="待排"),"已填机台但状态为待排",IF(AND(Y56="生产中",AB56&lt;&gt;"是"),"需确认：生产中未锁定","可导入"))))))</x:f>
      </x:c>
    </x:row>
    <x:row r="57" ht="22" customHeight="1">
      <x:c r="A57" s="186" t="str">
        <x:f>IF(B57="","",ROW()-5)</x:f>
      </x:c>
      <x:c r="B57" s="196"/>
      <x:c r="C57" s="198"/>
      <x:c r="D57" s="196"/>
      <x:c r="E57" s="188"/>
      <x:c r="F57" s="198"/>
      <x:c r="G57" s="202"/>
      <x:c r="H57" s="204"/>
      <x:c r="I57" s="206" t="str">
        <x:f>IF(G57="","",MAX(G57-H57,0))</x:f>
      </x:c>
      <x:c r="J57" s="210"/>
      <x:c r="K57" s="190"/>
      <x:c r="L57" s="208"/>
      <x:c r="M57" s="208"/>
      <x:c r="N57" s="208"/>
      <x:c r="O57" s="208"/>
      <x:c r="P57" s="190"/>
      <x:c r="Q57" s="190"/>
      <x:c r="R57" s="190"/>
      <x:c r="S57" s="190"/>
      <x:c r="T57" s="190"/>
      <x:c r="U57" s="190"/>
      <x:c r="V57" s="212"/>
      <x:c r="W57" s="212"/>
      <x:c r="X57" s="200"/>
      <x:c r="Y57" s="192"/>
      <x:c r="Z57" s="214"/>
      <x:c r="AA57" s="214"/>
      <x:c r="AB57" s="192"/>
      <x:c r="AC57" s="194"/>
      <x:c r="AD57" s="186" t="str">
        <x:f>IF(COUNTA(B57:H57)+COUNTA(J57:AC57)=0,"",IF(OR(B57="",D57="",E57="",G57="",J57=""),"缺少必填项",IF(H57&gt;G57,"完成数大于订单数",IF(AND(X57="",OR(Y57="排队",Y57="生产中",Y57="阻塞",Z57&lt;&gt;"",AA57&lt;&gt;"",AB57="是")),"已有排期字段缺少机台",IF(AND(X57&lt;&gt;"",Y57="待排"),"已填机台但状态为待排",IF(AND(Y57="生产中",AB57&lt;&gt;"是"),"需确认：生产中未锁定","可导入"))))))</x:f>
      </x:c>
    </x:row>
    <x:row r="58" ht="22" customHeight="1">
      <x:c r="A58" s="186" t="str">
        <x:f>IF(B58="","",ROW()-5)</x:f>
      </x:c>
      <x:c r="B58" s="196"/>
      <x:c r="C58" s="198"/>
      <x:c r="D58" s="196"/>
      <x:c r="E58" s="188"/>
      <x:c r="F58" s="198"/>
      <x:c r="G58" s="202"/>
      <x:c r="H58" s="204"/>
      <x:c r="I58" s="206" t="str">
        <x:f>IF(G58="","",MAX(G58-H58,0))</x:f>
      </x:c>
      <x:c r="J58" s="210"/>
      <x:c r="K58" s="190"/>
      <x:c r="L58" s="208"/>
      <x:c r="M58" s="208"/>
      <x:c r="N58" s="208"/>
      <x:c r="O58" s="208"/>
      <x:c r="P58" s="190"/>
      <x:c r="Q58" s="190"/>
      <x:c r="R58" s="190"/>
      <x:c r="S58" s="190"/>
      <x:c r="T58" s="190"/>
      <x:c r="U58" s="190"/>
      <x:c r="V58" s="212"/>
      <x:c r="W58" s="212"/>
      <x:c r="X58" s="200"/>
      <x:c r="Y58" s="192"/>
      <x:c r="Z58" s="214"/>
      <x:c r="AA58" s="214"/>
      <x:c r="AB58" s="192"/>
      <x:c r="AC58" s="194"/>
      <x:c r="AD58" s="186" t="str">
        <x:f>IF(COUNTA(B58:H58)+COUNTA(J58:AC58)=0,"",IF(OR(B58="",D58="",E58="",G58="",J58=""),"缺少必填项",IF(H58&gt;G58,"完成数大于订单数",IF(AND(X58="",OR(Y58="排队",Y58="生产中",Y58="阻塞",Z58&lt;&gt;"",AA58&lt;&gt;"",AB58="是")),"已有排期字段缺少机台",IF(AND(X58&lt;&gt;"",Y58="待排"),"已填机台但状态为待排",IF(AND(Y58="生产中",AB58&lt;&gt;"是"),"需确认：生产中未锁定","可导入"))))))</x:f>
      </x:c>
    </x:row>
    <x:row r="59" ht="22" customHeight="1">
      <x:c r="A59" s="186" t="str">
        <x:f>IF(B59="","",ROW()-5)</x:f>
      </x:c>
      <x:c r="B59" s="196"/>
      <x:c r="C59" s="198"/>
      <x:c r="D59" s="196"/>
      <x:c r="E59" s="188"/>
      <x:c r="F59" s="198"/>
      <x:c r="G59" s="202"/>
      <x:c r="H59" s="204"/>
      <x:c r="I59" s="206" t="str">
        <x:f>IF(G59="","",MAX(G59-H59,0))</x:f>
      </x:c>
      <x:c r="J59" s="210"/>
      <x:c r="K59" s="190"/>
      <x:c r="L59" s="208"/>
      <x:c r="M59" s="208"/>
      <x:c r="N59" s="208"/>
      <x:c r="O59" s="208"/>
      <x:c r="P59" s="190"/>
      <x:c r="Q59" s="190"/>
      <x:c r="R59" s="190"/>
      <x:c r="S59" s="190"/>
      <x:c r="T59" s="190"/>
      <x:c r="U59" s="190"/>
      <x:c r="V59" s="212"/>
      <x:c r="W59" s="212"/>
      <x:c r="X59" s="200"/>
      <x:c r="Y59" s="192"/>
      <x:c r="Z59" s="214"/>
      <x:c r="AA59" s="214"/>
      <x:c r="AB59" s="192"/>
      <x:c r="AC59" s="194"/>
      <x:c r="AD59" s="186" t="str">
        <x:f>IF(COUNTA(B59:H59)+COUNTA(J59:AC59)=0,"",IF(OR(B59="",D59="",E59="",G59="",J59=""),"缺少必填项",IF(H59&gt;G59,"完成数大于订单数",IF(AND(X59="",OR(Y59="排队",Y59="生产中",Y59="阻塞",Z59&lt;&gt;"",AA59&lt;&gt;"",AB59="是")),"已有排期字段缺少机台",IF(AND(X59&lt;&gt;"",Y59="待排"),"已填机台但状态为待排",IF(AND(Y59="生产中",AB59&lt;&gt;"是"),"需确认：生产中未锁定","可导入"))))))</x:f>
      </x:c>
    </x:row>
    <x:row r="60" ht="22" customHeight="1">
      <x:c r="A60" s="186" t="str">
        <x:f>IF(B60="","",ROW()-5)</x:f>
      </x:c>
      <x:c r="B60" s="196"/>
      <x:c r="C60" s="198"/>
      <x:c r="D60" s="196"/>
      <x:c r="E60" s="188"/>
      <x:c r="F60" s="198"/>
      <x:c r="G60" s="202"/>
      <x:c r="H60" s="204"/>
      <x:c r="I60" s="206" t="str">
        <x:f>IF(G60="","",MAX(G60-H60,0))</x:f>
      </x:c>
      <x:c r="J60" s="210"/>
      <x:c r="K60" s="190"/>
      <x:c r="L60" s="208"/>
      <x:c r="M60" s="208"/>
      <x:c r="N60" s="208"/>
      <x:c r="O60" s="208"/>
      <x:c r="P60" s="190"/>
      <x:c r="Q60" s="190"/>
      <x:c r="R60" s="190"/>
      <x:c r="S60" s="190"/>
      <x:c r="T60" s="190"/>
      <x:c r="U60" s="190"/>
      <x:c r="V60" s="212"/>
      <x:c r="W60" s="212"/>
      <x:c r="X60" s="200"/>
      <x:c r="Y60" s="192"/>
      <x:c r="Z60" s="214"/>
      <x:c r="AA60" s="214"/>
      <x:c r="AB60" s="192"/>
      <x:c r="AC60" s="194"/>
      <x:c r="AD60" s="186" t="str">
        <x:f>IF(COUNTA(B60:H60)+COUNTA(J60:AC60)=0,"",IF(OR(B60="",D60="",E60="",G60="",J60=""),"缺少必填项",IF(H60&gt;G60,"完成数大于订单数",IF(AND(X60="",OR(Y60="排队",Y60="生产中",Y60="阻塞",Z60&lt;&gt;"",AA60&lt;&gt;"",AB60="是")),"已有排期字段缺少机台",IF(AND(X60&lt;&gt;"",Y60="待排"),"已填机台但状态为待排",IF(AND(Y60="生产中",AB60&lt;&gt;"是"),"需确认：生产中未锁定","可导入"))))))</x:f>
      </x:c>
    </x:row>
    <x:row r="61" ht="22" customHeight="1">
      <x:c r="A61" s="186" t="str">
        <x:f>IF(B61="","",ROW()-5)</x:f>
      </x:c>
      <x:c r="B61" s="196"/>
      <x:c r="C61" s="198"/>
      <x:c r="D61" s="196"/>
      <x:c r="E61" s="188"/>
      <x:c r="F61" s="198"/>
      <x:c r="G61" s="202"/>
      <x:c r="H61" s="204"/>
      <x:c r="I61" s="206" t="str">
        <x:f>IF(G61="","",MAX(G61-H61,0))</x:f>
      </x:c>
      <x:c r="J61" s="210"/>
      <x:c r="K61" s="190"/>
      <x:c r="L61" s="208"/>
      <x:c r="M61" s="208"/>
      <x:c r="N61" s="208"/>
      <x:c r="O61" s="208"/>
      <x:c r="P61" s="190"/>
      <x:c r="Q61" s="190"/>
      <x:c r="R61" s="190"/>
      <x:c r="S61" s="190"/>
      <x:c r="T61" s="190"/>
      <x:c r="U61" s="190"/>
      <x:c r="V61" s="212"/>
      <x:c r="W61" s="212"/>
      <x:c r="X61" s="200"/>
      <x:c r="Y61" s="192"/>
      <x:c r="Z61" s="214"/>
      <x:c r="AA61" s="214"/>
      <x:c r="AB61" s="192"/>
      <x:c r="AC61" s="194"/>
      <x:c r="AD61" s="186" t="str">
        <x:f>IF(COUNTA(B61:H61)+COUNTA(J61:AC61)=0,"",IF(OR(B61="",D61="",E61="",G61="",J61=""),"缺少必填项",IF(H61&gt;G61,"完成数大于订单数",IF(AND(X61="",OR(Y61="排队",Y61="生产中",Y61="阻塞",Z61&lt;&gt;"",AA61&lt;&gt;"",AB61="是")),"已有排期字段缺少机台",IF(AND(X61&lt;&gt;"",Y61="待排"),"已填机台但状态为待排",IF(AND(Y61="生产中",AB61&lt;&gt;"是"),"需确认：生产中未锁定","可导入"))))))</x:f>
      </x:c>
    </x:row>
    <x:row r="62" ht="22" customHeight="1">
      <x:c r="A62" s="186" t="str">
        <x:f>IF(B62="","",ROW()-5)</x:f>
      </x:c>
      <x:c r="B62" s="196"/>
      <x:c r="C62" s="198"/>
      <x:c r="D62" s="196"/>
      <x:c r="E62" s="188"/>
      <x:c r="F62" s="198"/>
      <x:c r="G62" s="202"/>
      <x:c r="H62" s="204"/>
      <x:c r="I62" s="206" t="str">
        <x:f>IF(G62="","",MAX(G62-H62,0))</x:f>
      </x:c>
      <x:c r="J62" s="210"/>
      <x:c r="K62" s="190"/>
      <x:c r="L62" s="208"/>
      <x:c r="M62" s="208"/>
      <x:c r="N62" s="208"/>
      <x:c r="O62" s="208"/>
      <x:c r="P62" s="190"/>
      <x:c r="Q62" s="190"/>
      <x:c r="R62" s="190"/>
      <x:c r="S62" s="190"/>
      <x:c r="T62" s="190"/>
      <x:c r="U62" s="190"/>
      <x:c r="V62" s="212"/>
      <x:c r="W62" s="212"/>
      <x:c r="X62" s="200"/>
      <x:c r="Y62" s="192"/>
      <x:c r="Z62" s="214"/>
      <x:c r="AA62" s="214"/>
      <x:c r="AB62" s="192"/>
      <x:c r="AC62" s="194"/>
      <x:c r="AD62" s="186" t="str">
        <x:f>IF(COUNTA(B62:H62)+COUNTA(J62:AC62)=0,"",IF(OR(B62="",D62="",E62="",G62="",J62=""),"缺少必填项",IF(H62&gt;G62,"完成数大于订单数",IF(AND(X62="",OR(Y62="排队",Y62="生产中",Y62="阻塞",Z62&lt;&gt;"",AA62&lt;&gt;"",AB62="是")),"已有排期字段缺少机台",IF(AND(X62&lt;&gt;"",Y62="待排"),"已填机台但状态为待排",IF(AND(Y62="生产中",AB62&lt;&gt;"是"),"需确认：生产中未锁定","可导入"))))))</x:f>
      </x:c>
    </x:row>
    <x:row r="63" ht="22" customHeight="1">
      <x:c r="A63" s="186" t="str">
        <x:f>IF(B63="","",ROW()-5)</x:f>
      </x:c>
      <x:c r="B63" s="196"/>
      <x:c r="C63" s="198"/>
      <x:c r="D63" s="196"/>
      <x:c r="E63" s="188"/>
      <x:c r="F63" s="198"/>
      <x:c r="G63" s="202"/>
      <x:c r="H63" s="204"/>
      <x:c r="I63" s="206" t="str">
        <x:f>IF(G63="","",MAX(G63-H63,0))</x:f>
      </x:c>
      <x:c r="J63" s="210"/>
      <x:c r="K63" s="190"/>
      <x:c r="L63" s="208"/>
      <x:c r="M63" s="208"/>
      <x:c r="N63" s="208"/>
      <x:c r="O63" s="208"/>
      <x:c r="P63" s="190"/>
      <x:c r="Q63" s="190"/>
      <x:c r="R63" s="190"/>
      <x:c r="S63" s="190"/>
      <x:c r="T63" s="190"/>
      <x:c r="U63" s="190"/>
      <x:c r="V63" s="212"/>
      <x:c r="W63" s="212"/>
      <x:c r="X63" s="200"/>
      <x:c r="Y63" s="192"/>
      <x:c r="Z63" s="214"/>
      <x:c r="AA63" s="214"/>
      <x:c r="AB63" s="192"/>
      <x:c r="AC63" s="194"/>
      <x:c r="AD63" s="186" t="str">
        <x:f>IF(COUNTA(B63:H63)+COUNTA(J63:AC63)=0,"",IF(OR(B63="",D63="",E63="",G63="",J63=""),"缺少必填项",IF(H63&gt;G63,"完成数大于订单数",IF(AND(X63="",OR(Y63="排队",Y63="生产中",Y63="阻塞",Z63&lt;&gt;"",AA63&lt;&gt;"",AB63="是")),"已有排期字段缺少机台",IF(AND(X63&lt;&gt;"",Y63="待排"),"已填机台但状态为待排",IF(AND(Y63="生产中",AB63&lt;&gt;"是"),"需确认：生产中未锁定","可导入"))))))</x:f>
      </x:c>
    </x:row>
    <x:row r="64" ht="22" customHeight="1">
      <x:c r="A64" s="186" t="str">
        <x:f>IF(B64="","",ROW()-5)</x:f>
      </x:c>
      <x:c r="B64" s="196"/>
      <x:c r="C64" s="198"/>
      <x:c r="D64" s="196"/>
      <x:c r="E64" s="188"/>
      <x:c r="F64" s="198"/>
      <x:c r="G64" s="202"/>
      <x:c r="H64" s="204"/>
      <x:c r="I64" s="206" t="str">
        <x:f>IF(G64="","",MAX(G64-H64,0))</x:f>
      </x:c>
      <x:c r="J64" s="210"/>
      <x:c r="K64" s="190"/>
      <x:c r="L64" s="208"/>
      <x:c r="M64" s="208"/>
      <x:c r="N64" s="208"/>
      <x:c r="O64" s="208"/>
      <x:c r="P64" s="190"/>
      <x:c r="Q64" s="190"/>
      <x:c r="R64" s="190"/>
      <x:c r="S64" s="190"/>
      <x:c r="T64" s="190"/>
      <x:c r="U64" s="190"/>
      <x:c r="V64" s="212"/>
      <x:c r="W64" s="212"/>
      <x:c r="X64" s="200"/>
      <x:c r="Y64" s="192"/>
      <x:c r="Z64" s="214"/>
      <x:c r="AA64" s="214"/>
      <x:c r="AB64" s="192"/>
      <x:c r="AC64" s="194"/>
      <x:c r="AD64" s="186" t="str">
        <x:f>IF(COUNTA(B64:H64)+COUNTA(J64:AC64)=0,"",IF(OR(B64="",D64="",E64="",G64="",J64=""),"缺少必填项",IF(H64&gt;G64,"完成数大于订单数",IF(AND(X64="",OR(Y64="排队",Y64="生产中",Y64="阻塞",Z64&lt;&gt;"",AA64&lt;&gt;"",AB64="是")),"已有排期字段缺少机台",IF(AND(X64&lt;&gt;"",Y64="待排"),"已填机台但状态为待排",IF(AND(Y64="生产中",AB64&lt;&gt;"是"),"需确认：生产中未锁定","可导入"))))))</x:f>
      </x:c>
    </x:row>
    <x:row r="65" ht="22" customHeight="1">
      <x:c r="A65" s="186" t="str">
        <x:f>IF(B65="","",ROW()-5)</x:f>
      </x:c>
      <x:c r="B65" s="196"/>
      <x:c r="C65" s="198"/>
      <x:c r="D65" s="196"/>
      <x:c r="E65" s="188"/>
      <x:c r="F65" s="198"/>
      <x:c r="G65" s="202"/>
      <x:c r="H65" s="204"/>
      <x:c r="I65" s="206" t="str">
        <x:f>IF(G65="","",MAX(G65-H65,0))</x:f>
      </x:c>
      <x:c r="J65" s="210"/>
      <x:c r="K65" s="190"/>
      <x:c r="L65" s="208"/>
      <x:c r="M65" s="208"/>
      <x:c r="N65" s="208"/>
      <x:c r="O65" s="208"/>
      <x:c r="P65" s="190"/>
      <x:c r="Q65" s="190"/>
      <x:c r="R65" s="190"/>
      <x:c r="S65" s="190"/>
      <x:c r="T65" s="190"/>
      <x:c r="U65" s="190"/>
      <x:c r="V65" s="212"/>
      <x:c r="W65" s="212"/>
      <x:c r="X65" s="200"/>
      <x:c r="Y65" s="192"/>
      <x:c r="Z65" s="214"/>
      <x:c r="AA65" s="214"/>
      <x:c r="AB65" s="192"/>
      <x:c r="AC65" s="194"/>
      <x:c r="AD65" s="186" t="str">
        <x:f>IF(COUNTA(B65:H65)+COUNTA(J65:AC65)=0,"",IF(OR(B65="",D65="",E65="",G65="",J65=""),"缺少必填项",IF(H65&gt;G65,"完成数大于订单数",IF(AND(X65="",OR(Y65="排队",Y65="生产中",Y65="阻塞",Z65&lt;&gt;"",AA65&lt;&gt;"",AB65="是")),"已有排期字段缺少机台",IF(AND(X65&lt;&gt;"",Y65="待排"),"已填机台但状态为待排",IF(AND(Y65="生产中",AB65&lt;&gt;"是"),"需确认：生产中未锁定","可导入"))))))</x:f>
      </x:c>
    </x:row>
    <x:row r="66" ht="22" customHeight="1">
      <x:c r="A66" s="186" t="str">
        <x:f>IF(B66="","",ROW()-5)</x:f>
      </x:c>
      <x:c r="B66" s="196"/>
      <x:c r="C66" s="198"/>
      <x:c r="D66" s="196"/>
      <x:c r="E66" s="188"/>
      <x:c r="F66" s="198"/>
      <x:c r="G66" s="202"/>
      <x:c r="H66" s="204"/>
      <x:c r="I66" s="206" t="str">
        <x:f>IF(G66="","",MAX(G66-H66,0))</x:f>
      </x:c>
      <x:c r="J66" s="210"/>
      <x:c r="K66" s="190"/>
      <x:c r="L66" s="208"/>
      <x:c r="M66" s="208"/>
      <x:c r="N66" s="208"/>
      <x:c r="O66" s="208"/>
      <x:c r="P66" s="190"/>
      <x:c r="Q66" s="190"/>
      <x:c r="R66" s="190"/>
      <x:c r="S66" s="190"/>
      <x:c r="T66" s="190"/>
      <x:c r="U66" s="190"/>
      <x:c r="V66" s="212"/>
      <x:c r="W66" s="212"/>
      <x:c r="X66" s="200"/>
      <x:c r="Y66" s="192"/>
      <x:c r="Z66" s="214"/>
      <x:c r="AA66" s="214"/>
      <x:c r="AB66" s="192"/>
      <x:c r="AC66" s="194"/>
      <x:c r="AD66" s="186" t="str">
        <x:f>IF(COUNTA(B66:H66)+COUNTA(J66:AC66)=0,"",IF(OR(B66="",D66="",E66="",G66="",J66=""),"缺少必填项",IF(H66&gt;G66,"完成数大于订单数",IF(AND(X66="",OR(Y66="排队",Y66="生产中",Y66="阻塞",Z66&lt;&gt;"",AA66&lt;&gt;"",AB66="是")),"已有排期字段缺少机台",IF(AND(X66&lt;&gt;"",Y66="待排"),"已填机台但状态为待排",IF(AND(Y66="生产中",AB66&lt;&gt;"是"),"需确认：生产中未锁定","可导入"))))))</x:f>
      </x:c>
    </x:row>
    <x:row r="67" ht="22" customHeight="1">
      <x:c r="A67" s="186" t="str">
        <x:f>IF(B67="","",ROW()-5)</x:f>
      </x:c>
      <x:c r="B67" s="196"/>
      <x:c r="C67" s="198"/>
      <x:c r="D67" s="196"/>
      <x:c r="E67" s="188"/>
      <x:c r="F67" s="198"/>
      <x:c r="G67" s="202"/>
      <x:c r="H67" s="204"/>
      <x:c r="I67" s="206" t="str">
        <x:f>IF(G67="","",MAX(G67-H67,0))</x:f>
      </x:c>
      <x:c r="J67" s="210"/>
      <x:c r="K67" s="190"/>
      <x:c r="L67" s="208"/>
      <x:c r="M67" s="208"/>
      <x:c r="N67" s="208"/>
      <x:c r="O67" s="208"/>
      <x:c r="P67" s="190"/>
      <x:c r="Q67" s="190"/>
      <x:c r="R67" s="190"/>
      <x:c r="S67" s="190"/>
      <x:c r="T67" s="190"/>
      <x:c r="U67" s="190"/>
      <x:c r="V67" s="212"/>
      <x:c r="W67" s="212"/>
      <x:c r="X67" s="200"/>
      <x:c r="Y67" s="192"/>
      <x:c r="Z67" s="214"/>
      <x:c r="AA67" s="214"/>
      <x:c r="AB67" s="192"/>
      <x:c r="AC67" s="194"/>
      <x:c r="AD67" s="186" t="str">
        <x:f>IF(COUNTA(B67:H67)+COUNTA(J67:AC67)=0,"",IF(OR(B67="",D67="",E67="",G67="",J67=""),"缺少必填项",IF(H67&gt;G67,"完成数大于订单数",IF(AND(X67="",OR(Y67="排队",Y67="生产中",Y67="阻塞",Z67&lt;&gt;"",AA67&lt;&gt;"",AB67="是")),"已有排期字段缺少机台",IF(AND(X67&lt;&gt;"",Y67="待排"),"已填机台但状态为待排",IF(AND(Y67="生产中",AB67&lt;&gt;"是"),"需确认：生产中未锁定","可导入"))))))</x:f>
      </x:c>
    </x:row>
    <x:row r="68" ht="22" customHeight="1">
      <x:c r="A68" s="186" t="str">
        <x:f>IF(B68="","",ROW()-5)</x:f>
      </x:c>
      <x:c r="B68" s="196"/>
      <x:c r="C68" s="198"/>
      <x:c r="D68" s="196"/>
      <x:c r="E68" s="188"/>
      <x:c r="F68" s="198"/>
      <x:c r="G68" s="202"/>
      <x:c r="H68" s="204"/>
      <x:c r="I68" s="206" t="str">
        <x:f>IF(G68="","",MAX(G68-H68,0))</x:f>
      </x:c>
      <x:c r="J68" s="210"/>
      <x:c r="K68" s="190"/>
      <x:c r="L68" s="208"/>
      <x:c r="M68" s="208"/>
      <x:c r="N68" s="208"/>
      <x:c r="O68" s="208"/>
      <x:c r="P68" s="190"/>
      <x:c r="Q68" s="190"/>
      <x:c r="R68" s="190"/>
      <x:c r="S68" s="190"/>
      <x:c r="T68" s="190"/>
      <x:c r="U68" s="190"/>
      <x:c r="V68" s="212"/>
      <x:c r="W68" s="212"/>
      <x:c r="X68" s="200"/>
      <x:c r="Y68" s="192"/>
      <x:c r="Z68" s="214"/>
      <x:c r="AA68" s="214"/>
      <x:c r="AB68" s="192"/>
      <x:c r="AC68" s="194"/>
      <x:c r="AD68" s="186" t="str">
        <x:f>IF(COUNTA(B68:H68)+COUNTA(J68:AC68)=0,"",IF(OR(B68="",D68="",E68="",G68="",J68=""),"缺少必填项",IF(H68&gt;G68,"完成数大于订单数",IF(AND(X68="",OR(Y68="排队",Y68="生产中",Y68="阻塞",Z68&lt;&gt;"",AA68&lt;&gt;"",AB68="是")),"已有排期字段缺少机台",IF(AND(X68&lt;&gt;"",Y68="待排"),"已填机台但状态为待排",IF(AND(Y68="生产中",AB68&lt;&gt;"是"),"需确认：生产中未锁定","可导入"))))))</x:f>
      </x:c>
    </x:row>
    <x:row r="69" ht="22" customHeight="1">
      <x:c r="A69" s="186" t="str">
        <x:f>IF(B69="","",ROW()-5)</x:f>
      </x:c>
      <x:c r="B69" s="196"/>
      <x:c r="C69" s="198"/>
      <x:c r="D69" s="196"/>
      <x:c r="E69" s="188"/>
      <x:c r="F69" s="198"/>
      <x:c r="G69" s="202"/>
      <x:c r="H69" s="204"/>
      <x:c r="I69" s="206" t="str">
        <x:f>IF(G69="","",MAX(G69-H69,0))</x:f>
      </x:c>
      <x:c r="J69" s="210"/>
      <x:c r="K69" s="190"/>
      <x:c r="L69" s="208"/>
      <x:c r="M69" s="208"/>
      <x:c r="N69" s="208"/>
      <x:c r="O69" s="208"/>
      <x:c r="P69" s="190"/>
      <x:c r="Q69" s="190"/>
      <x:c r="R69" s="190"/>
      <x:c r="S69" s="190"/>
      <x:c r="T69" s="190"/>
      <x:c r="U69" s="190"/>
      <x:c r="V69" s="212"/>
      <x:c r="W69" s="212"/>
      <x:c r="X69" s="200"/>
      <x:c r="Y69" s="192"/>
      <x:c r="Z69" s="214"/>
      <x:c r="AA69" s="214"/>
      <x:c r="AB69" s="192"/>
      <x:c r="AC69" s="194"/>
      <x:c r="AD69" s="186" t="str">
        <x:f>IF(COUNTA(B69:H69)+COUNTA(J69:AC69)=0,"",IF(OR(B69="",D69="",E69="",G69="",J69=""),"缺少必填项",IF(H69&gt;G69,"完成数大于订单数",IF(AND(X69="",OR(Y69="排队",Y69="生产中",Y69="阻塞",Z69&lt;&gt;"",AA69&lt;&gt;"",AB69="是")),"已有排期字段缺少机台",IF(AND(X69&lt;&gt;"",Y69="待排"),"已填机台但状态为待排",IF(AND(Y69="生产中",AB69&lt;&gt;"是"),"需确认：生产中未锁定","可导入"))))))</x:f>
      </x:c>
    </x:row>
    <x:row r="70" ht="22" customHeight="1">
      <x:c r="A70" s="186" t="str">
        <x:f>IF(B70="","",ROW()-5)</x:f>
      </x:c>
      <x:c r="B70" s="196"/>
      <x:c r="C70" s="198"/>
      <x:c r="D70" s="196"/>
      <x:c r="E70" s="188"/>
      <x:c r="F70" s="198"/>
      <x:c r="G70" s="202"/>
      <x:c r="H70" s="204"/>
      <x:c r="I70" s="206" t="str">
        <x:f>IF(G70="","",MAX(G70-H70,0))</x:f>
      </x:c>
      <x:c r="J70" s="210"/>
      <x:c r="K70" s="190"/>
      <x:c r="L70" s="208"/>
      <x:c r="M70" s="208"/>
      <x:c r="N70" s="208"/>
      <x:c r="O70" s="208"/>
      <x:c r="P70" s="190"/>
      <x:c r="Q70" s="190"/>
      <x:c r="R70" s="190"/>
      <x:c r="S70" s="190"/>
      <x:c r="T70" s="190"/>
      <x:c r="U70" s="190"/>
      <x:c r="V70" s="212"/>
      <x:c r="W70" s="212"/>
      <x:c r="X70" s="200"/>
      <x:c r="Y70" s="192"/>
      <x:c r="Z70" s="214"/>
      <x:c r="AA70" s="214"/>
      <x:c r="AB70" s="192"/>
      <x:c r="AC70" s="194"/>
      <x:c r="AD70" s="186" t="str">
        <x:f>IF(COUNTA(B70:H70)+COUNTA(J70:AC70)=0,"",IF(OR(B70="",D70="",E70="",G70="",J70=""),"缺少必填项",IF(H70&gt;G70,"完成数大于订单数",IF(AND(X70="",OR(Y70="排队",Y70="生产中",Y70="阻塞",Z70&lt;&gt;"",AA70&lt;&gt;"",AB70="是")),"已有排期字段缺少机台",IF(AND(X70&lt;&gt;"",Y70="待排"),"已填机台但状态为待排",IF(AND(Y70="生产中",AB70&lt;&gt;"是"),"需确认：生产中未锁定","可导入"))))))</x:f>
      </x:c>
    </x:row>
    <x:row r="71" ht="22" customHeight="1">
      <x:c r="A71" s="186" t="str">
        <x:f>IF(B71="","",ROW()-5)</x:f>
      </x:c>
      <x:c r="B71" s="196"/>
      <x:c r="C71" s="198"/>
      <x:c r="D71" s="196"/>
      <x:c r="E71" s="188"/>
      <x:c r="F71" s="198"/>
      <x:c r="G71" s="202"/>
      <x:c r="H71" s="204"/>
      <x:c r="I71" s="206" t="str">
        <x:f>IF(G71="","",MAX(G71-H71,0))</x:f>
      </x:c>
      <x:c r="J71" s="210"/>
      <x:c r="K71" s="190"/>
      <x:c r="L71" s="208"/>
      <x:c r="M71" s="208"/>
      <x:c r="N71" s="208"/>
      <x:c r="O71" s="208"/>
      <x:c r="P71" s="190"/>
      <x:c r="Q71" s="190"/>
      <x:c r="R71" s="190"/>
      <x:c r="S71" s="190"/>
      <x:c r="T71" s="190"/>
      <x:c r="U71" s="190"/>
      <x:c r="V71" s="212"/>
      <x:c r="W71" s="212"/>
      <x:c r="X71" s="200"/>
      <x:c r="Y71" s="192"/>
      <x:c r="Z71" s="214"/>
      <x:c r="AA71" s="214"/>
      <x:c r="AB71" s="192"/>
      <x:c r="AC71" s="194"/>
      <x:c r="AD71" s="186" t="str">
        <x:f>IF(COUNTA(B71:H71)+COUNTA(J71:AC71)=0,"",IF(OR(B71="",D71="",E71="",G71="",J71=""),"缺少必填项",IF(H71&gt;G71,"完成数大于订单数",IF(AND(X71="",OR(Y71="排队",Y71="生产中",Y71="阻塞",Z71&lt;&gt;"",AA71&lt;&gt;"",AB71="是")),"已有排期字段缺少机台",IF(AND(X71&lt;&gt;"",Y71="待排"),"已填机台但状态为待排",IF(AND(Y71="生产中",AB71&lt;&gt;"是"),"需确认：生产中未锁定","可导入"))))))</x:f>
      </x:c>
    </x:row>
    <x:row r="72" ht="22" customHeight="1">
      <x:c r="A72" s="186" t="str">
        <x:f>IF(B72="","",ROW()-5)</x:f>
      </x:c>
      <x:c r="B72" s="196"/>
      <x:c r="C72" s="198"/>
      <x:c r="D72" s="196"/>
      <x:c r="E72" s="188"/>
      <x:c r="F72" s="198"/>
      <x:c r="G72" s="202"/>
      <x:c r="H72" s="204"/>
      <x:c r="I72" s="206" t="str">
        <x:f>IF(G72="","",MAX(G72-H72,0))</x:f>
      </x:c>
      <x:c r="J72" s="210"/>
      <x:c r="K72" s="190"/>
      <x:c r="L72" s="208"/>
      <x:c r="M72" s="208"/>
      <x:c r="N72" s="208"/>
      <x:c r="O72" s="208"/>
      <x:c r="P72" s="190"/>
      <x:c r="Q72" s="190"/>
      <x:c r="R72" s="190"/>
      <x:c r="S72" s="190"/>
      <x:c r="T72" s="190"/>
      <x:c r="U72" s="190"/>
      <x:c r="V72" s="212"/>
      <x:c r="W72" s="212"/>
      <x:c r="X72" s="200"/>
      <x:c r="Y72" s="192"/>
      <x:c r="Z72" s="214"/>
      <x:c r="AA72" s="214"/>
      <x:c r="AB72" s="192"/>
      <x:c r="AC72" s="194"/>
      <x:c r="AD72" s="186" t="str">
        <x:f>IF(COUNTA(B72:H72)+COUNTA(J72:AC72)=0,"",IF(OR(B72="",D72="",E72="",G72="",J72=""),"缺少必填项",IF(H72&gt;G72,"完成数大于订单数",IF(AND(X72="",OR(Y72="排队",Y72="生产中",Y72="阻塞",Z72&lt;&gt;"",AA72&lt;&gt;"",AB72="是")),"已有排期字段缺少机台",IF(AND(X72&lt;&gt;"",Y72="待排"),"已填机台但状态为待排",IF(AND(Y72="生产中",AB72&lt;&gt;"是"),"需确认：生产中未锁定","可导入"))))))</x:f>
      </x:c>
    </x:row>
    <x:row r="73" ht="22" customHeight="1">
      <x:c r="A73" s="186" t="str">
        <x:f>IF(B73="","",ROW()-5)</x:f>
      </x:c>
      <x:c r="B73" s="196"/>
      <x:c r="C73" s="198"/>
      <x:c r="D73" s="196"/>
      <x:c r="E73" s="188"/>
      <x:c r="F73" s="198"/>
      <x:c r="G73" s="202"/>
      <x:c r="H73" s="204"/>
      <x:c r="I73" s="206" t="str">
        <x:f>IF(G73="","",MAX(G73-H73,0))</x:f>
      </x:c>
      <x:c r="J73" s="210"/>
      <x:c r="K73" s="190"/>
      <x:c r="L73" s="208"/>
      <x:c r="M73" s="208"/>
      <x:c r="N73" s="208"/>
      <x:c r="O73" s="208"/>
      <x:c r="P73" s="190"/>
      <x:c r="Q73" s="190"/>
      <x:c r="R73" s="190"/>
      <x:c r="S73" s="190"/>
      <x:c r="T73" s="190"/>
      <x:c r="U73" s="190"/>
      <x:c r="V73" s="212"/>
      <x:c r="W73" s="212"/>
      <x:c r="X73" s="200"/>
      <x:c r="Y73" s="192"/>
      <x:c r="Z73" s="214"/>
      <x:c r="AA73" s="214"/>
      <x:c r="AB73" s="192"/>
      <x:c r="AC73" s="194"/>
      <x:c r="AD73" s="186" t="str">
        <x:f>IF(COUNTA(B73:H73)+COUNTA(J73:AC73)=0,"",IF(OR(B73="",D73="",E73="",G73="",J73=""),"缺少必填项",IF(H73&gt;G73,"完成数大于订单数",IF(AND(X73="",OR(Y73="排队",Y73="生产中",Y73="阻塞",Z73&lt;&gt;"",AA73&lt;&gt;"",AB73="是")),"已有排期字段缺少机台",IF(AND(X73&lt;&gt;"",Y73="待排"),"已填机台但状态为待排",IF(AND(Y73="生产中",AB73&lt;&gt;"是"),"需确认：生产中未锁定","可导入"))))))</x:f>
      </x:c>
    </x:row>
    <x:row r="74" ht="22" customHeight="1">
      <x:c r="A74" s="186" t="str">
        <x:f>IF(B74="","",ROW()-5)</x:f>
      </x:c>
      <x:c r="B74" s="196"/>
      <x:c r="C74" s="198"/>
      <x:c r="D74" s="196"/>
      <x:c r="E74" s="188"/>
      <x:c r="F74" s="198"/>
      <x:c r="G74" s="202"/>
      <x:c r="H74" s="204"/>
      <x:c r="I74" s="206" t="str">
        <x:f>IF(G74="","",MAX(G74-H74,0))</x:f>
      </x:c>
      <x:c r="J74" s="210"/>
      <x:c r="K74" s="190"/>
      <x:c r="L74" s="208"/>
      <x:c r="M74" s="208"/>
      <x:c r="N74" s="208"/>
      <x:c r="O74" s="208"/>
      <x:c r="P74" s="190"/>
      <x:c r="Q74" s="190"/>
      <x:c r="R74" s="190"/>
      <x:c r="S74" s="190"/>
      <x:c r="T74" s="190"/>
      <x:c r="U74" s="190"/>
      <x:c r="V74" s="212"/>
      <x:c r="W74" s="212"/>
      <x:c r="X74" s="200"/>
      <x:c r="Y74" s="192"/>
      <x:c r="Z74" s="214"/>
      <x:c r="AA74" s="214"/>
      <x:c r="AB74" s="192"/>
      <x:c r="AC74" s="194"/>
      <x:c r="AD74" s="186" t="str">
        <x:f>IF(COUNTA(B74:H74)+COUNTA(J74:AC74)=0,"",IF(OR(B74="",D74="",E74="",G74="",J74=""),"缺少必填项",IF(H74&gt;G74,"完成数大于订单数",IF(AND(X74="",OR(Y74="排队",Y74="生产中",Y74="阻塞",Z74&lt;&gt;"",AA74&lt;&gt;"",AB74="是")),"已有排期字段缺少机台",IF(AND(X74&lt;&gt;"",Y74="待排"),"已填机台但状态为待排",IF(AND(Y74="生产中",AB74&lt;&gt;"是"),"需确认：生产中未锁定","可导入"))))))</x:f>
      </x:c>
    </x:row>
    <x:row r="75" ht="22" customHeight="1">
      <x:c r="A75" s="186" t="str">
        <x:f>IF(B75="","",ROW()-5)</x:f>
      </x:c>
      <x:c r="B75" s="196"/>
      <x:c r="C75" s="198"/>
      <x:c r="D75" s="196"/>
      <x:c r="E75" s="188"/>
      <x:c r="F75" s="198"/>
      <x:c r="G75" s="202"/>
      <x:c r="H75" s="204"/>
      <x:c r="I75" s="206" t="str">
        <x:f>IF(G75="","",MAX(G75-H75,0))</x:f>
      </x:c>
      <x:c r="J75" s="210"/>
      <x:c r="K75" s="190"/>
      <x:c r="L75" s="208"/>
      <x:c r="M75" s="208"/>
      <x:c r="N75" s="208"/>
      <x:c r="O75" s="208"/>
      <x:c r="P75" s="190"/>
      <x:c r="Q75" s="190"/>
      <x:c r="R75" s="190"/>
      <x:c r="S75" s="190"/>
      <x:c r="T75" s="190"/>
      <x:c r="U75" s="190"/>
      <x:c r="V75" s="212"/>
      <x:c r="W75" s="212"/>
      <x:c r="X75" s="200"/>
      <x:c r="Y75" s="192"/>
      <x:c r="Z75" s="214"/>
      <x:c r="AA75" s="214"/>
      <x:c r="AB75" s="192"/>
      <x:c r="AC75" s="194"/>
      <x:c r="AD75" s="186" t="str">
        <x:f>IF(COUNTA(B75:H75)+COUNTA(J75:AC75)=0,"",IF(OR(B75="",D75="",E75="",G75="",J75=""),"缺少必填项",IF(H75&gt;G75,"完成数大于订单数",IF(AND(X75="",OR(Y75="排队",Y75="生产中",Y75="阻塞",Z75&lt;&gt;"",AA75&lt;&gt;"",AB75="是")),"已有排期字段缺少机台",IF(AND(X75&lt;&gt;"",Y75="待排"),"已填机台但状态为待排",IF(AND(Y75="生产中",AB75&lt;&gt;"是"),"需确认：生产中未锁定","可导入"))))))</x:f>
      </x:c>
    </x:row>
    <x:row r="76" ht="22" customHeight="1">
      <x:c r="A76" s="186" t="str">
        <x:f>IF(B76="","",ROW()-5)</x:f>
      </x:c>
      <x:c r="B76" s="196"/>
      <x:c r="C76" s="198"/>
      <x:c r="D76" s="196"/>
      <x:c r="E76" s="188"/>
      <x:c r="F76" s="198"/>
      <x:c r="G76" s="202"/>
      <x:c r="H76" s="204"/>
      <x:c r="I76" s="206" t="str">
        <x:f>IF(G76="","",MAX(G76-H76,0))</x:f>
      </x:c>
      <x:c r="J76" s="210"/>
      <x:c r="K76" s="190"/>
      <x:c r="L76" s="208"/>
      <x:c r="M76" s="208"/>
      <x:c r="N76" s="208"/>
      <x:c r="O76" s="208"/>
      <x:c r="P76" s="190"/>
      <x:c r="Q76" s="190"/>
      <x:c r="R76" s="190"/>
      <x:c r="S76" s="190"/>
      <x:c r="T76" s="190"/>
      <x:c r="U76" s="190"/>
      <x:c r="V76" s="212"/>
      <x:c r="W76" s="212"/>
      <x:c r="X76" s="200"/>
      <x:c r="Y76" s="192"/>
      <x:c r="Z76" s="214"/>
      <x:c r="AA76" s="214"/>
      <x:c r="AB76" s="192"/>
      <x:c r="AC76" s="194"/>
      <x:c r="AD76" s="186" t="str">
        <x:f>IF(COUNTA(B76:H76)+COUNTA(J76:AC76)=0,"",IF(OR(B76="",D76="",E76="",G76="",J76=""),"缺少必填项",IF(H76&gt;G76,"完成数大于订单数",IF(AND(X76="",OR(Y76="排队",Y76="生产中",Y76="阻塞",Z76&lt;&gt;"",AA76&lt;&gt;"",AB76="是")),"已有排期字段缺少机台",IF(AND(X76&lt;&gt;"",Y76="待排"),"已填机台但状态为待排",IF(AND(Y76="生产中",AB76&lt;&gt;"是"),"需确认：生产中未锁定","可导入"))))))</x:f>
      </x:c>
    </x:row>
    <x:row r="77" ht="22" customHeight="1">
      <x:c r="A77" s="186" t="str">
        <x:f>IF(B77="","",ROW()-5)</x:f>
      </x:c>
      <x:c r="B77" s="196"/>
      <x:c r="C77" s="198"/>
      <x:c r="D77" s="196"/>
      <x:c r="E77" s="188"/>
      <x:c r="F77" s="198"/>
      <x:c r="G77" s="202"/>
      <x:c r="H77" s="204"/>
      <x:c r="I77" s="206" t="str">
        <x:f>IF(G77="","",MAX(G77-H77,0))</x:f>
      </x:c>
      <x:c r="J77" s="210"/>
      <x:c r="K77" s="190"/>
      <x:c r="L77" s="208"/>
      <x:c r="M77" s="208"/>
      <x:c r="N77" s="208"/>
      <x:c r="O77" s="208"/>
      <x:c r="P77" s="190"/>
      <x:c r="Q77" s="190"/>
      <x:c r="R77" s="190"/>
      <x:c r="S77" s="190"/>
      <x:c r="T77" s="190"/>
      <x:c r="U77" s="190"/>
      <x:c r="V77" s="212"/>
      <x:c r="W77" s="212"/>
      <x:c r="X77" s="200"/>
      <x:c r="Y77" s="192"/>
      <x:c r="Z77" s="214"/>
      <x:c r="AA77" s="214"/>
      <x:c r="AB77" s="192"/>
      <x:c r="AC77" s="194"/>
      <x:c r="AD77" s="186" t="str">
        <x:f>IF(COUNTA(B77:H77)+COUNTA(J77:AC77)=0,"",IF(OR(B77="",D77="",E77="",G77="",J77=""),"缺少必填项",IF(H77&gt;G77,"完成数大于订单数",IF(AND(X77="",OR(Y77="排队",Y77="生产中",Y77="阻塞",Z77&lt;&gt;"",AA77&lt;&gt;"",AB77="是")),"已有排期字段缺少机台",IF(AND(X77&lt;&gt;"",Y77="待排"),"已填机台但状态为待排",IF(AND(Y77="生产中",AB77&lt;&gt;"是"),"需确认：生产中未锁定","可导入"))))))</x:f>
      </x:c>
    </x:row>
    <x:row r="78" ht="22" customHeight="1">
      <x:c r="A78" s="186" t="str">
        <x:f>IF(B78="","",ROW()-5)</x:f>
      </x:c>
      <x:c r="B78" s="196"/>
      <x:c r="C78" s="198"/>
      <x:c r="D78" s="196"/>
      <x:c r="E78" s="188"/>
      <x:c r="F78" s="198"/>
      <x:c r="G78" s="202"/>
      <x:c r="H78" s="204"/>
      <x:c r="I78" s="206" t="str">
        <x:f>IF(G78="","",MAX(G78-H78,0))</x:f>
      </x:c>
      <x:c r="J78" s="210"/>
      <x:c r="K78" s="190"/>
      <x:c r="L78" s="208"/>
      <x:c r="M78" s="208"/>
      <x:c r="N78" s="208"/>
      <x:c r="O78" s="208"/>
      <x:c r="P78" s="190"/>
      <x:c r="Q78" s="190"/>
      <x:c r="R78" s="190"/>
      <x:c r="S78" s="190"/>
      <x:c r="T78" s="190"/>
      <x:c r="U78" s="190"/>
      <x:c r="V78" s="212"/>
      <x:c r="W78" s="212"/>
      <x:c r="X78" s="200"/>
      <x:c r="Y78" s="192"/>
      <x:c r="Z78" s="214"/>
      <x:c r="AA78" s="214"/>
      <x:c r="AB78" s="192"/>
      <x:c r="AC78" s="194"/>
      <x:c r="AD78" s="186" t="str">
        <x:f>IF(COUNTA(B78:H78)+COUNTA(J78:AC78)=0,"",IF(OR(B78="",D78="",E78="",G78="",J78=""),"缺少必填项",IF(H78&gt;G78,"完成数大于订单数",IF(AND(X78="",OR(Y78="排队",Y78="生产中",Y78="阻塞",Z78&lt;&gt;"",AA78&lt;&gt;"",AB78="是")),"已有排期字段缺少机台",IF(AND(X78&lt;&gt;"",Y78="待排"),"已填机台但状态为待排",IF(AND(Y78="生产中",AB78&lt;&gt;"是"),"需确认：生产中未锁定","可导入"))))))</x:f>
      </x:c>
    </x:row>
    <x:row r="79" ht="22" customHeight="1">
      <x:c r="A79" s="186" t="str">
        <x:f>IF(B79="","",ROW()-5)</x:f>
      </x:c>
      <x:c r="B79" s="196"/>
      <x:c r="C79" s="198"/>
      <x:c r="D79" s="196"/>
      <x:c r="E79" s="188"/>
      <x:c r="F79" s="198"/>
      <x:c r="G79" s="202"/>
      <x:c r="H79" s="204"/>
      <x:c r="I79" s="206" t="str">
        <x:f>IF(G79="","",MAX(G79-H79,0))</x:f>
      </x:c>
      <x:c r="J79" s="210"/>
      <x:c r="K79" s="190"/>
      <x:c r="L79" s="208"/>
      <x:c r="M79" s="208"/>
      <x:c r="N79" s="208"/>
      <x:c r="O79" s="208"/>
      <x:c r="P79" s="190"/>
      <x:c r="Q79" s="190"/>
      <x:c r="R79" s="190"/>
      <x:c r="S79" s="190"/>
      <x:c r="T79" s="190"/>
      <x:c r="U79" s="190"/>
      <x:c r="V79" s="212"/>
      <x:c r="W79" s="212"/>
      <x:c r="X79" s="200"/>
      <x:c r="Y79" s="192"/>
      <x:c r="Z79" s="214"/>
      <x:c r="AA79" s="214"/>
      <x:c r="AB79" s="192"/>
      <x:c r="AC79" s="194"/>
      <x:c r="AD79" s="186" t="str">
        <x:f>IF(COUNTA(B79:H79)+COUNTA(J79:AC79)=0,"",IF(OR(B79="",D79="",E79="",G79="",J79=""),"缺少必填项",IF(H79&gt;G79,"完成数大于订单数",IF(AND(X79="",OR(Y79="排队",Y79="生产中",Y79="阻塞",Z79&lt;&gt;"",AA79&lt;&gt;"",AB79="是")),"已有排期字段缺少机台",IF(AND(X79&lt;&gt;"",Y79="待排"),"已填机台但状态为待排",IF(AND(Y79="生产中",AB79&lt;&gt;"是"),"需确认：生产中未锁定","可导入"))))))</x:f>
      </x:c>
    </x:row>
    <x:row r="80" ht="22" customHeight="1">
      <x:c r="A80" s="186" t="str">
        <x:f>IF(B80="","",ROW()-5)</x:f>
      </x:c>
      <x:c r="B80" s="196"/>
      <x:c r="C80" s="198"/>
      <x:c r="D80" s="196"/>
      <x:c r="E80" s="188"/>
      <x:c r="F80" s="198"/>
      <x:c r="G80" s="202"/>
      <x:c r="H80" s="204"/>
      <x:c r="I80" s="206" t="str">
        <x:f>IF(G80="","",MAX(G80-H80,0))</x:f>
      </x:c>
      <x:c r="J80" s="210"/>
      <x:c r="K80" s="190"/>
      <x:c r="L80" s="208"/>
      <x:c r="M80" s="208"/>
      <x:c r="N80" s="208"/>
      <x:c r="O80" s="208"/>
      <x:c r="P80" s="190"/>
      <x:c r="Q80" s="190"/>
      <x:c r="R80" s="190"/>
      <x:c r="S80" s="190"/>
      <x:c r="T80" s="190"/>
      <x:c r="U80" s="190"/>
      <x:c r="V80" s="212"/>
      <x:c r="W80" s="212"/>
      <x:c r="X80" s="200"/>
      <x:c r="Y80" s="192"/>
      <x:c r="Z80" s="214"/>
      <x:c r="AA80" s="214"/>
      <x:c r="AB80" s="192"/>
      <x:c r="AC80" s="194"/>
      <x:c r="AD80" s="186" t="str">
        <x:f>IF(COUNTA(B80:H80)+COUNTA(J80:AC80)=0,"",IF(OR(B80="",D80="",E80="",G80="",J80=""),"缺少必填项",IF(H80&gt;G80,"完成数大于订单数",IF(AND(X80="",OR(Y80="排队",Y80="生产中",Y80="阻塞",Z80&lt;&gt;"",AA80&lt;&gt;"",AB80="是")),"已有排期字段缺少机台",IF(AND(X80&lt;&gt;"",Y80="待排"),"已填机台但状态为待排",IF(AND(Y80="生产中",AB80&lt;&gt;"是"),"需确认：生产中未锁定","可导入"))))))</x:f>
      </x:c>
    </x:row>
    <x:row r="81" ht="22" customHeight="1">
      <x:c r="A81" s="186" t="str">
        <x:f>IF(B81="","",ROW()-5)</x:f>
      </x:c>
      <x:c r="B81" s="196"/>
      <x:c r="C81" s="198"/>
      <x:c r="D81" s="196"/>
      <x:c r="E81" s="188"/>
      <x:c r="F81" s="198"/>
      <x:c r="G81" s="202"/>
      <x:c r="H81" s="204"/>
      <x:c r="I81" s="206" t="str">
        <x:f>IF(G81="","",MAX(G81-H81,0))</x:f>
      </x:c>
      <x:c r="J81" s="210"/>
      <x:c r="K81" s="190"/>
      <x:c r="L81" s="208"/>
      <x:c r="M81" s="208"/>
      <x:c r="N81" s="208"/>
      <x:c r="O81" s="208"/>
      <x:c r="P81" s="190"/>
      <x:c r="Q81" s="190"/>
      <x:c r="R81" s="190"/>
      <x:c r="S81" s="190"/>
      <x:c r="T81" s="190"/>
      <x:c r="U81" s="190"/>
      <x:c r="V81" s="212"/>
      <x:c r="W81" s="212"/>
      <x:c r="X81" s="200"/>
      <x:c r="Y81" s="192"/>
      <x:c r="Z81" s="214"/>
      <x:c r="AA81" s="214"/>
      <x:c r="AB81" s="192"/>
      <x:c r="AC81" s="194"/>
      <x:c r="AD81" s="186" t="str">
        <x:f>IF(COUNTA(B81:H81)+COUNTA(J81:AC81)=0,"",IF(OR(B81="",D81="",E81="",G81="",J81=""),"缺少必填项",IF(H81&gt;G81,"完成数大于订单数",IF(AND(X81="",OR(Y81="排队",Y81="生产中",Y81="阻塞",Z81&lt;&gt;"",AA81&lt;&gt;"",AB81="是")),"已有排期字段缺少机台",IF(AND(X81&lt;&gt;"",Y81="待排"),"已填机台但状态为待排",IF(AND(Y81="生产中",AB81&lt;&gt;"是"),"需确认：生产中未锁定","可导入"))))))</x:f>
      </x:c>
    </x:row>
    <x:row r="82" ht="22" customHeight="1">
      <x:c r="A82" s="186" t="str">
        <x:f>IF(B82="","",ROW()-5)</x:f>
      </x:c>
      <x:c r="B82" s="196"/>
      <x:c r="C82" s="198"/>
      <x:c r="D82" s="196"/>
      <x:c r="E82" s="188"/>
      <x:c r="F82" s="198"/>
      <x:c r="G82" s="202"/>
      <x:c r="H82" s="204"/>
      <x:c r="I82" s="206" t="str">
        <x:f>IF(G82="","",MAX(G82-H82,0))</x:f>
      </x:c>
      <x:c r="J82" s="210"/>
      <x:c r="K82" s="190"/>
      <x:c r="L82" s="208"/>
      <x:c r="M82" s="208"/>
      <x:c r="N82" s="208"/>
      <x:c r="O82" s="208"/>
      <x:c r="P82" s="190"/>
      <x:c r="Q82" s="190"/>
      <x:c r="R82" s="190"/>
      <x:c r="S82" s="190"/>
      <x:c r="T82" s="190"/>
      <x:c r="U82" s="190"/>
      <x:c r="V82" s="212"/>
      <x:c r="W82" s="212"/>
      <x:c r="X82" s="200"/>
      <x:c r="Y82" s="192"/>
      <x:c r="Z82" s="214"/>
      <x:c r="AA82" s="214"/>
      <x:c r="AB82" s="192"/>
      <x:c r="AC82" s="194"/>
      <x:c r="AD82" s="186" t="str">
        <x:f>IF(COUNTA(B82:H82)+COUNTA(J82:AC82)=0,"",IF(OR(B82="",D82="",E82="",G82="",J82=""),"缺少必填项",IF(H82&gt;G82,"完成数大于订单数",IF(AND(X82="",OR(Y82="排队",Y82="生产中",Y82="阻塞",Z82&lt;&gt;"",AA82&lt;&gt;"",AB82="是")),"已有排期字段缺少机台",IF(AND(X82&lt;&gt;"",Y82="待排"),"已填机台但状态为待排",IF(AND(Y82="生产中",AB82&lt;&gt;"是"),"需确认：生产中未锁定","可导入"))))))</x:f>
      </x:c>
    </x:row>
    <x:row r="83" ht="22" customHeight="1">
      <x:c r="A83" s="186" t="str">
        <x:f>IF(B83="","",ROW()-5)</x:f>
      </x:c>
      <x:c r="B83" s="196"/>
      <x:c r="C83" s="198"/>
      <x:c r="D83" s="196"/>
      <x:c r="E83" s="188"/>
      <x:c r="F83" s="198"/>
      <x:c r="G83" s="202"/>
      <x:c r="H83" s="204"/>
      <x:c r="I83" s="206" t="str">
        <x:f>IF(G83="","",MAX(G83-H83,0))</x:f>
      </x:c>
      <x:c r="J83" s="210"/>
      <x:c r="K83" s="190"/>
      <x:c r="L83" s="208"/>
      <x:c r="M83" s="208"/>
      <x:c r="N83" s="208"/>
      <x:c r="O83" s="208"/>
      <x:c r="P83" s="190"/>
      <x:c r="Q83" s="190"/>
      <x:c r="R83" s="190"/>
      <x:c r="S83" s="190"/>
      <x:c r="T83" s="190"/>
      <x:c r="U83" s="190"/>
      <x:c r="V83" s="212"/>
      <x:c r="W83" s="212"/>
      <x:c r="X83" s="200"/>
      <x:c r="Y83" s="192"/>
      <x:c r="Z83" s="214"/>
      <x:c r="AA83" s="214"/>
      <x:c r="AB83" s="192"/>
      <x:c r="AC83" s="194"/>
      <x:c r="AD83" s="186" t="str">
        <x:f>IF(COUNTA(B83:H83)+COUNTA(J83:AC83)=0,"",IF(OR(B83="",D83="",E83="",G83="",J83=""),"缺少必填项",IF(H83&gt;G83,"完成数大于订单数",IF(AND(X83="",OR(Y83="排队",Y83="生产中",Y83="阻塞",Z83&lt;&gt;"",AA83&lt;&gt;"",AB83="是")),"已有排期字段缺少机台",IF(AND(X83&lt;&gt;"",Y83="待排"),"已填机台但状态为待排",IF(AND(Y83="生产中",AB83&lt;&gt;"是"),"需确认：生产中未锁定","可导入"))))))</x:f>
      </x:c>
    </x:row>
    <x:row r="84" ht="22" customHeight="1">
      <x:c r="A84" s="186" t="str">
        <x:f>IF(B84="","",ROW()-5)</x:f>
      </x:c>
      <x:c r="B84" s="196"/>
      <x:c r="C84" s="198"/>
      <x:c r="D84" s="196"/>
      <x:c r="E84" s="188"/>
      <x:c r="F84" s="198"/>
      <x:c r="G84" s="202"/>
      <x:c r="H84" s="204"/>
      <x:c r="I84" s="206" t="str">
        <x:f>IF(G84="","",MAX(G84-H84,0))</x:f>
      </x:c>
      <x:c r="J84" s="210"/>
      <x:c r="K84" s="190"/>
      <x:c r="L84" s="208"/>
      <x:c r="M84" s="208"/>
      <x:c r="N84" s="208"/>
      <x:c r="O84" s="208"/>
      <x:c r="P84" s="190"/>
      <x:c r="Q84" s="190"/>
      <x:c r="R84" s="190"/>
      <x:c r="S84" s="190"/>
      <x:c r="T84" s="190"/>
      <x:c r="U84" s="190"/>
      <x:c r="V84" s="212"/>
      <x:c r="W84" s="212"/>
      <x:c r="X84" s="200"/>
      <x:c r="Y84" s="192"/>
      <x:c r="Z84" s="214"/>
      <x:c r="AA84" s="214"/>
      <x:c r="AB84" s="192"/>
      <x:c r="AC84" s="194"/>
      <x:c r="AD84" s="186" t="str">
        <x:f>IF(COUNTA(B84:H84)+COUNTA(J84:AC84)=0,"",IF(OR(B84="",D84="",E84="",G84="",J84=""),"缺少必填项",IF(H84&gt;G84,"完成数大于订单数",IF(AND(X84="",OR(Y84="排队",Y84="生产中",Y84="阻塞",Z84&lt;&gt;"",AA84&lt;&gt;"",AB84="是")),"已有排期字段缺少机台",IF(AND(X84&lt;&gt;"",Y84="待排"),"已填机台但状态为待排",IF(AND(Y84="生产中",AB84&lt;&gt;"是"),"需确认：生产中未锁定","可导入"))))))</x:f>
      </x:c>
    </x:row>
    <x:row r="85" ht="22" customHeight="1">
      <x:c r="A85" s="186" t="str">
        <x:f>IF(B85="","",ROW()-5)</x:f>
      </x:c>
      <x:c r="B85" s="196"/>
      <x:c r="C85" s="198"/>
      <x:c r="D85" s="196"/>
      <x:c r="E85" s="188"/>
      <x:c r="F85" s="198"/>
      <x:c r="G85" s="202"/>
      <x:c r="H85" s="204"/>
      <x:c r="I85" s="206" t="str">
        <x:f>IF(G85="","",MAX(G85-H85,0))</x:f>
      </x:c>
      <x:c r="J85" s="210"/>
      <x:c r="K85" s="190"/>
      <x:c r="L85" s="208"/>
      <x:c r="M85" s="208"/>
      <x:c r="N85" s="208"/>
      <x:c r="O85" s="208"/>
      <x:c r="P85" s="190"/>
      <x:c r="Q85" s="190"/>
      <x:c r="R85" s="190"/>
      <x:c r="S85" s="190"/>
      <x:c r="T85" s="190"/>
      <x:c r="U85" s="190"/>
      <x:c r="V85" s="212"/>
      <x:c r="W85" s="212"/>
      <x:c r="X85" s="200"/>
      <x:c r="Y85" s="192"/>
      <x:c r="Z85" s="214"/>
      <x:c r="AA85" s="214"/>
      <x:c r="AB85" s="192"/>
      <x:c r="AC85" s="194"/>
      <x:c r="AD85" s="186" t="str">
        <x:f>IF(COUNTA(B85:H85)+COUNTA(J85:AC85)=0,"",IF(OR(B85="",D85="",E85="",G85="",J85=""),"缺少必填项",IF(H85&gt;G85,"完成数大于订单数",IF(AND(X85="",OR(Y85="排队",Y85="生产中",Y85="阻塞",Z85&lt;&gt;"",AA85&lt;&gt;"",AB85="是")),"已有排期字段缺少机台",IF(AND(X85&lt;&gt;"",Y85="待排"),"已填机台但状态为待排",IF(AND(Y85="生产中",AB85&lt;&gt;"是"),"需确认：生产中未锁定","可导入"))))))</x:f>
      </x:c>
    </x:row>
    <x:row r="86" ht="22" customHeight="1">
      <x:c r="A86" s="186" t="str">
        <x:f>IF(B86="","",ROW()-5)</x:f>
      </x:c>
      <x:c r="B86" s="196"/>
      <x:c r="C86" s="198"/>
      <x:c r="D86" s="196"/>
      <x:c r="E86" s="188"/>
      <x:c r="F86" s="198"/>
      <x:c r="G86" s="202"/>
      <x:c r="H86" s="204"/>
      <x:c r="I86" s="206" t="str">
        <x:f>IF(G86="","",MAX(G86-H86,0))</x:f>
      </x:c>
      <x:c r="J86" s="210"/>
      <x:c r="K86" s="190"/>
      <x:c r="L86" s="208"/>
      <x:c r="M86" s="208"/>
      <x:c r="N86" s="208"/>
      <x:c r="O86" s="208"/>
      <x:c r="P86" s="190"/>
      <x:c r="Q86" s="190"/>
      <x:c r="R86" s="190"/>
      <x:c r="S86" s="190"/>
      <x:c r="T86" s="190"/>
      <x:c r="U86" s="190"/>
      <x:c r="V86" s="212"/>
      <x:c r="W86" s="212"/>
      <x:c r="X86" s="200"/>
      <x:c r="Y86" s="192"/>
      <x:c r="Z86" s="214"/>
      <x:c r="AA86" s="214"/>
      <x:c r="AB86" s="192"/>
      <x:c r="AC86" s="194"/>
      <x:c r="AD86" s="186" t="str">
        <x:f>IF(COUNTA(B86:H86)+COUNTA(J86:AC86)=0,"",IF(OR(B86="",D86="",E86="",G86="",J86=""),"缺少必填项",IF(H86&gt;G86,"完成数大于订单数",IF(AND(X86="",OR(Y86="排队",Y86="生产中",Y86="阻塞",Z86&lt;&gt;"",AA86&lt;&gt;"",AB86="是")),"已有排期字段缺少机台",IF(AND(X86&lt;&gt;"",Y86="待排"),"已填机台但状态为待排",IF(AND(Y86="生产中",AB86&lt;&gt;"是"),"需确认：生产中未锁定","可导入"))))))</x:f>
      </x:c>
    </x:row>
    <x:row r="87" ht="22" customHeight="1">
      <x:c r="A87" s="186" t="str">
        <x:f>IF(B87="","",ROW()-5)</x:f>
      </x:c>
      <x:c r="B87" s="196"/>
      <x:c r="C87" s="198"/>
      <x:c r="D87" s="196"/>
      <x:c r="E87" s="188"/>
      <x:c r="F87" s="198"/>
      <x:c r="G87" s="202"/>
      <x:c r="H87" s="204"/>
      <x:c r="I87" s="206" t="str">
        <x:f>IF(G87="","",MAX(G87-H87,0))</x:f>
      </x:c>
      <x:c r="J87" s="210"/>
      <x:c r="K87" s="190"/>
      <x:c r="L87" s="208"/>
      <x:c r="M87" s="208"/>
      <x:c r="N87" s="208"/>
      <x:c r="O87" s="208"/>
      <x:c r="P87" s="190"/>
      <x:c r="Q87" s="190"/>
      <x:c r="R87" s="190"/>
      <x:c r="S87" s="190"/>
      <x:c r="T87" s="190"/>
      <x:c r="U87" s="190"/>
      <x:c r="V87" s="212"/>
      <x:c r="W87" s="212"/>
      <x:c r="X87" s="200"/>
      <x:c r="Y87" s="192"/>
      <x:c r="Z87" s="214"/>
      <x:c r="AA87" s="214"/>
      <x:c r="AB87" s="192"/>
      <x:c r="AC87" s="194"/>
      <x:c r="AD87" s="186" t="str">
        <x:f>IF(COUNTA(B87:H87)+COUNTA(J87:AC87)=0,"",IF(OR(B87="",D87="",E87="",G87="",J87=""),"缺少必填项",IF(H87&gt;G87,"完成数大于订单数",IF(AND(X87="",OR(Y87="排队",Y87="生产中",Y87="阻塞",Z87&lt;&gt;"",AA87&lt;&gt;"",AB87="是")),"已有排期字段缺少机台",IF(AND(X87&lt;&gt;"",Y87="待排"),"已填机台但状态为待排",IF(AND(Y87="生产中",AB87&lt;&gt;"是"),"需确认：生产中未锁定","可导入"))))))</x:f>
      </x:c>
    </x:row>
    <x:row r="88" ht="22" customHeight="1">
      <x:c r="A88" s="186" t="str">
        <x:f>IF(B88="","",ROW()-5)</x:f>
      </x:c>
      <x:c r="B88" s="196"/>
      <x:c r="C88" s="198"/>
      <x:c r="D88" s="196"/>
      <x:c r="E88" s="188"/>
      <x:c r="F88" s="198"/>
      <x:c r="G88" s="202"/>
      <x:c r="H88" s="204"/>
      <x:c r="I88" s="206" t="str">
        <x:f>IF(G88="","",MAX(G88-H88,0))</x:f>
      </x:c>
      <x:c r="J88" s="210"/>
      <x:c r="K88" s="190"/>
      <x:c r="L88" s="208"/>
      <x:c r="M88" s="208"/>
      <x:c r="N88" s="208"/>
      <x:c r="O88" s="208"/>
      <x:c r="P88" s="190"/>
      <x:c r="Q88" s="190"/>
      <x:c r="R88" s="190"/>
      <x:c r="S88" s="190"/>
      <x:c r="T88" s="190"/>
      <x:c r="U88" s="190"/>
      <x:c r="V88" s="212"/>
      <x:c r="W88" s="212"/>
      <x:c r="X88" s="200"/>
      <x:c r="Y88" s="192"/>
      <x:c r="Z88" s="214"/>
      <x:c r="AA88" s="214"/>
      <x:c r="AB88" s="192"/>
      <x:c r="AC88" s="194"/>
      <x:c r="AD88" s="186" t="str">
        <x:f>IF(COUNTA(B88:H88)+COUNTA(J88:AC88)=0,"",IF(OR(B88="",D88="",E88="",G88="",J88=""),"缺少必填项",IF(H88&gt;G88,"完成数大于订单数",IF(AND(X88="",OR(Y88="排队",Y88="生产中",Y88="阻塞",Z88&lt;&gt;"",AA88&lt;&gt;"",AB88="是")),"已有排期字段缺少机台",IF(AND(X88&lt;&gt;"",Y88="待排"),"已填机台但状态为待排",IF(AND(Y88="生产中",AB88&lt;&gt;"是"),"需确认：生产中未锁定","可导入"))))))</x:f>
      </x:c>
    </x:row>
    <x:row r="89" ht="22" customHeight="1">
      <x:c r="A89" s="186" t="str">
        <x:f>IF(B89="","",ROW()-5)</x:f>
      </x:c>
      <x:c r="B89" s="196"/>
      <x:c r="C89" s="198"/>
      <x:c r="D89" s="196"/>
      <x:c r="E89" s="188"/>
      <x:c r="F89" s="198"/>
      <x:c r="G89" s="202"/>
      <x:c r="H89" s="204"/>
      <x:c r="I89" s="206" t="str">
        <x:f>IF(G89="","",MAX(G89-H89,0))</x:f>
      </x:c>
      <x:c r="J89" s="210"/>
      <x:c r="K89" s="190"/>
      <x:c r="L89" s="208"/>
      <x:c r="M89" s="208"/>
      <x:c r="N89" s="208"/>
      <x:c r="O89" s="208"/>
      <x:c r="P89" s="190"/>
      <x:c r="Q89" s="190"/>
      <x:c r="R89" s="190"/>
      <x:c r="S89" s="190"/>
      <x:c r="T89" s="190"/>
      <x:c r="U89" s="190"/>
      <x:c r="V89" s="212"/>
      <x:c r="W89" s="212"/>
      <x:c r="X89" s="200"/>
      <x:c r="Y89" s="192"/>
      <x:c r="Z89" s="214"/>
      <x:c r="AA89" s="214"/>
      <x:c r="AB89" s="192"/>
      <x:c r="AC89" s="194"/>
      <x:c r="AD89" s="186" t="str">
        <x:f>IF(COUNTA(B89:H89)+COUNTA(J89:AC89)=0,"",IF(OR(B89="",D89="",E89="",G89="",J89=""),"缺少必填项",IF(H89&gt;G89,"完成数大于订单数",IF(AND(X89="",OR(Y89="排队",Y89="生产中",Y89="阻塞",Z89&lt;&gt;"",AA89&lt;&gt;"",AB89="是")),"已有排期字段缺少机台",IF(AND(X89&lt;&gt;"",Y89="待排"),"已填机台但状态为待排",IF(AND(Y89="生产中",AB89&lt;&gt;"是"),"需确认：生产中未锁定","可导入"))))))</x:f>
      </x:c>
    </x:row>
    <x:row r="90" ht="22" customHeight="1">
      <x:c r="A90" s="186" t="str">
        <x:f>IF(B90="","",ROW()-5)</x:f>
      </x:c>
      <x:c r="B90" s="196"/>
      <x:c r="C90" s="198"/>
      <x:c r="D90" s="196"/>
      <x:c r="E90" s="188"/>
      <x:c r="F90" s="198"/>
      <x:c r="G90" s="202"/>
      <x:c r="H90" s="204"/>
      <x:c r="I90" s="206" t="str">
        <x:f>IF(G90="","",MAX(G90-H90,0))</x:f>
      </x:c>
      <x:c r="J90" s="210"/>
      <x:c r="K90" s="190"/>
      <x:c r="L90" s="208"/>
      <x:c r="M90" s="208"/>
      <x:c r="N90" s="208"/>
      <x:c r="O90" s="208"/>
      <x:c r="P90" s="190"/>
      <x:c r="Q90" s="190"/>
      <x:c r="R90" s="190"/>
      <x:c r="S90" s="190"/>
      <x:c r="T90" s="190"/>
      <x:c r="U90" s="190"/>
      <x:c r="V90" s="212"/>
      <x:c r="W90" s="212"/>
      <x:c r="X90" s="200"/>
      <x:c r="Y90" s="192"/>
      <x:c r="Z90" s="214"/>
      <x:c r="AA90" s="214"/>
      <x:c r="AB90" s="192"/>
      <x:c r="AC90" s="194"/>
      <x:c r="AD90" s="186" t="str">
        <x:f>IF(COUNTA(B90:H90)+COUNTA(J90:AC90)=0,"",IF(OR(B90="",D90="",E90="",G90="",J90=""),"缺少必填项",IF(H90&gt;G90,"完成数大于订单数",IF(AND(X90="",OR(Y90="排队",Y90="生产中",Y90="阻塞",Z90&lt;&gt;"",AA90&lt;&gt;"",AB90="是")),"已有排期字段缺少机台",IF(AND(X90&lt;&gt;"",Y90="待排"),"已填机台但状态为待排",IF(AND(Y90="生产中",AB90&lt;&gt;"是"),"需确认：生产中未锁定","可导入"))))))</x:f>
      </x:c>
    </x:row>
    <x:row r="91" ht="22" customHeight="1">
      <x:c r="A91" s="186" t="str">
        <x:f>IF(B91="","",ROW()-5)</x:f>
      </x:c>
      <x:c r="B91" s="196"/>
      <x:c r="C91" s="198"/>
      <x:c r="D91" s="196"/>
      <x:c r="E91" s="188"/>
      <x:c r="F91" s="198"/>
      <x:c r="G91" s="202"/>
      <x:c r="H91" s="204"/>
      <x:c r="I91" s="206" t="str">
        <x:f>IF(G91="","",MAX(G91-H91,0))</x:f>
      </x:c>
      <x:c r="J91" s="210"/>
      <x:c r="K91" s="190"/>
      <x:c r="L91" s="208"/>
      <x:c r="M91" s="208"/>
      <x:c r="N91" s="208"/>
      <x:c r="O91" s="208"/>
      <x:c r="P91" s="190"/>
      <x:c r="Q91" s="190"/>
      <x:c r="R91" s="190"/>
      <x:c r="S91" s="190"/>
      <x:c r="T91" s="190"/>
      <x:c r="U91" s="190"/>
      <x:c r="V91" s="212"/>
      <x:c r="W91" s="212"/>
      <x:c r="X91" s="200"/>
      <x:c r="Y91" s="192"/>
      <x:c r="Z91" s="214"/>
      <x:c r="AA91" s="214"/>
      <x:c r="AB91" s="192"/>
      <x:c r="AC91" s="194"/>
      <x:c r="AD91" s="186" t="str">
        <x:f>IF(COUNTA(B91:H91)+COUNTA(J91:AC91)=0,"",IF(OR(B91="",D91="",E91="",G91="",J91=""),"缺少必填项",IF(H91&gt;G91,"完成数大于订单数",IF(AND(X91="",OR(Y91="排队",Y91="生产中",Y91="阻塞",Z91&lt;&gt;"",AA91&lt;&gt;"",AB91="是")),"已有排期字段缺少机台",IF(AND(X91&lt;&gt;"",Y91="待排"),"已填机台但状态为待排",IF(AND(Y91="生产中",AB91&lt;&gt;"是"),"需确认：生产中未锁定","可导入"))))))</x:f>
      </x:c>
    </x:row>
    <x:row r="92" ht="22" customHeight="1">
      <x:c r="A92" s="186" t="str">
        <x:f>IF(B92="","",ROW()-5)</x:f>
      </x:c>
      <x:c r="B92" s="196"/>
      <x:c r="C92" s="198"/>
      <x:c r="D92" s="196"/>
      <x:c r="E92" s="188"/>
      <x:c r="F92" s="198"/>
      <x:c r="G92" s="202"/>
      <x:c r="H92" s="204"/>
      <x:c r="I92" s="206" t="str">
        <x:f>IF(G92="","",MAX(G92-H92,0))</x:f>
      </x:c>
      <x:c r="J92" s="210"/>
      <x:c r="K92" s="190"/>
      <x:c r="L92" s="208"/>
      <x:c r="M92" s="208"/>
      <x:c r="N92" s="208"/>
      <x:c r="O92" s="208"/>
      <x:c r="P92" s="190"/>
      <x:c r="Q92" s="190"/>
      <x:c r="R92" s="190"/>
      <x:c r="S92" s="190"/>
      <x:c r="T92" s="190"/>
      <x:c r="U92" s="190"/>
      <x:c r="V92" s="212"/>
      <x:c r="W92" s="212"/>
      <x:c r="X92" s="200"/>
      <x:c r="Y92" s="192"/>
      <x:c r="Z92" s="214"/>
      <x:c r="AA92" s="214"/>
      <x:c r="AB92" s="192"/>
      <x:c r="AC92" s="194"/>
      <x:c r="AD92" s="186" t="str">
        <x:f>IF(COUNTA(B92:H92)+COUNTA(J92:AC92)=0,"",IF(OR(B92="",D92="",E92="",G92="",J92=""),"缺少必填项",IF(H92&gt;G92,"完成数大于订单数",IF(AND(X92="",OR(Y92="排队",Y92="生产中",Y92="阻塞",Z92&lt;&gt;"",AA92&lt;&gt;"",AB92="是")),"已有排期字段缺少机台",IF(AND(X92&lt;&gt;"",Y92="待排"),"已填机台但状态为待排",IF(AND(Y92="生产中",AB92&lt;&gt;"是"),"需确认：生产中未锁定","可导入"))))))</x:f>
      </x:c>
    </x:row>
    <x:row r="93" ht="22" customHeight="1">
      <x:c r="A93" s="186" t="str">
        <x:f>IF(B93="","",ROW()-5)</x:f>
      </x:c>
      <x:c r="B93" s="196"/>
      <x:c r="C93" s="198"/>
      <x:c r="D93" s="196"/>
      <x:c r="E93" s="188"/>
      <x:c r="F93" s="198"/>
      <x:c r="G93" s="202"/>
      <x:c r="H93" s="204"/>
      <x:c r="I93" s="206" t="str">
        <x:f>IF(G93="","",MAX(G93-H93,0))</x:f>
      </x:c>
      <x:c r="J93" s="210"/>
      <x:c r="K93" s="190"/>
      <x:c r="L93" s="208"/>
      <x:c r="M93" s="208"/>
      <x:c r="N93" s="208"/>
      <x:c r="O93" s="208"/>
      <x:c r="P93" s="190"/>
      <x:c r="Q93" s="190"/>
      <x:c r="R93" s="190"/>
      <x:c r="S93" s="190"/>
      <x:c r="T93" s="190"/>
      <x:c r="U93" s="190"/>
      <x:c r="V93" s="212"/>
      <x:c r="W93" s="212"/>
      <x:c r="X93" s="200"/>
      <x:c r="Y93" s="192"/>
      <x:c r="Z93" s="214"/>
      <x:c r="AA93" s="214"/>
      <x:c r="AB93" s="192"/>
      <x:c r="AC93" s="194"/>
      <x:c r="AD93" s="186" t="str">
        <x:f>IF(COUNTA(B93:H93)+COUNTA(J93:AC93)=0,"",IF(OR(B93="",D93="",E93="",G93="",J93=""),"缺少必填项",IF(H93&gt;G93,"完成数大于订单数",IF(AND(X93="",OR(Y93="排队",Y93="生产中",Y93="阻塞",Z93&lt;&gt;"",AA93&lt;&gt;"",AB93="是")),"已有排期字段缺少机台",IF(AND(X93&lt;&gt;"",Y93="待排"),"已填机台但状态为待排",IF(AND(Y93="生产中",AB93&lt;&gt;"是"),"需确认：生产中未锁定","可导入"))))))</x:f>
      </x:c>
    </x:row>
    <x:row r="94" ht="22" customHeight="1">
      <x:c r="A94" s="186" t="str">
        <x:f>IF(B94="","",ROW()-5)</x:f>
      </x:c>
      <x:c r="B94" s="196"/>
      <x:c r="C94" s="198"/>
      <x:c r="D94" s="196"/>
      <x:c r="E94" s="188"/>
      <x:c r="F94" s="198"/>
      <x:c r="G94" s="202"/>
      <x:c r="H94" s="204"/>
      <x:c r="I94" s="206" t="str">
        <x:f>IF(G94="","",MAX(G94-H94,0))</x:f>
      </x:c>
      <x:c r="J94" s="210"/>
      <x:c r="K94" s="190"/>
      <x:c r="L94" s="208"/>
      <x:c r="M94" s="208"/>
      <x:c r="N94" s="208"/>
      <x:c r="O94" s="208"/>
      <x:c r="P94" s="190"/>
      <x:c r="Q94" s="190"/>
      <x:c r="R94" s="190"/>
      <x:c r="S94" s="190"/>
      <x:c r="T94" s="190"/>
      <x:c r="U94" s="190"/>
      <x:c r="V94" s="212"/>
      <x:c r="W94" s="212"/>
      <x:c r="X94" s="200"/>
      <x:c r="Y94" s="192"/>
      <x:c r="Z94" s="214"/>
      <x:c r="AA94" s="214"/>
      <x:c r="AB94" s="192"/>
      <x:c r="AC94" s="194"/>
      <x:c r="AD94" s="186" t="str">
        <x:f>IF(COUNTA(B94:H94)+COUNTA(J94:AC94)=0,"",IF(OR(B94="",D94="",E94="",G94="",J94=""),"缺少必填项",IF(H94&gt;G94,"完成数大于订单数",IF(AND(X94="",OR(Y94="排队",Y94="生产中",Y94="阻塞",Z94&lt;&gt;"",AA94&lt;&gt;"",AB94="是")),"已有排期字段缺少机台",IF(AND(X94&lt;&gt;"",Y94="待排"),"已填机台但状态为待排",IF(AND(Y94="生产中",AB94&lt;&gt;"是"),"需确认：生产中未锁定","可导入"))))))</x:f>
      </x:c>
    </x:row>
    <x:row r="95" ht="22" customHeight="1">
      <x:c r="A95" s="186" t="str">
        <x:f>IF(B95="","",ROW()-5)</x:f>
      </x:c>
      <x:c r="B95" s="196"/>
      <x:c r="C95" s="198"/>
      <x:c r="D95" s="196"/>
      <x:c r="E95" s="188"/>
      <x:c r="F95" s="198"/>
      <x:c r="G95" s="202"/>
      <x:c r="H95" s="204"/>
      <x:c r="I95" s="206" t="str">
        <x:f>IF(G95="","",MAX(G95-H95,0))</x:f>
      </x:c>
      <x:c r="J95" s="210"/>
      <x:c r="K95" s="190"/>
      <x:c r="L95" s="208"/>
      <x:c r="M95" s="208"/>
      <x:c r="N95" s="208"/>
      <x:c r="O95" s="208"/>
      <x:c r="P95" s="190"/>
      <x:c r="Q95" s="190"/>
      <x:c r="R95" s="190"/>
      <x:c r="S95" s="190"/>
      <x:c r="T95" s="190"/>
      <x:c r="U95" s="190"/>
      <x:c r="V95" s="212"/>
      <x:c r="W95" s="212"/>
      <x:c r="X95" s="200"/>
      <x:c r="Y95" s="192"/>
      <x:c r="Z95" s="214"/>
      <x:c r="AA95" s="214"/>
      <x:c r="AB95" s="192"/>
      <x:c r="AC95" s="194"/>
      <x:c r="AD95" s="186" t="str">
        <x:f>IF(COUNTA(B95:H95)+COUNTA(J95:AC95)=0,"",IF(OR(B95="",D95="",E95="",G95="",J95=""),"缺少必填项",IF(H95&gt;G95,"完成数大于订单数",IF(AND(X95="",OR(Y95="排队",Y95="生产中",Y95="阻塞",Z95&lt;&gt;"",AA95&lt;&gt;"",AB95="是")),"已有排期字段缺少机台",IF(AND(X95&lt;&gt;"",Y95="待排"),"已填机台但状态为待排",IF(AND(Y95="生产中",AB95&lt;&gt;"是"),"需确认：生产中未锁定","可导入"))))))</x:f>
      </x:c>
    </x:row>
    <x:row r="96" ht="22" customHeight="1">
      <x:c r="A96" s="186" t="str">
        <x:f>IF(B96="","",ROW()-5)</x:f>
      </x:c>
      <x:c r="B96" s="196"/>
      <x:c r="C96" s="198"/>
      <x:c r="D96" s="196"/>
      <x:c r="E96" s="188"/>
      <x:c r="F96" s="198"/>
      <x:c r="G96" s="202"/>
      <x:c r="H96" s="204"/>
      <x:c r="I96" s="206" t="str">
        <x:f>IF(G96="","",MAX(G96-H96,0))</x:f>
      </x:c>
      <x:c r="J96" s="210"/>
      <x:c r="K96" s="190"/>
      <x:c r="L96" s="208"/>
      <x:c r="M96" s="208"/>
      <x:c r="N96" s="208"/>
      <x:c r="O96" s="208"/>
      <x:c r="P96" s="190"/>
      <x:c r="Q96" s="190"/>
      <x:c r="R96" s="190"/>
      <x:c r="S96" s="190"/>
      <x:c r="T96" s="190"/>
      <x:c r="U96" s="190"/>
      <x:c r="V96" s="212"/>
      <x:c r="W96" s="212"/>
      <x:c r="X96" s="200"/>
      <x:c r="Y96" s="192"/>
      <x:c r="Z96" s="214"/>
      <x:c r="AA96" s="214"/>
      <x:c r="AB96" s="192"/>
      <x:c r="AC96" s="194"/>
      <x:c r="AD96" s="186" t="str">
        <x:f>IF(COUNTA(B96:H96)+COUNTA(J96:AC96)=0,"",IF(OR(B96="",D96="",E96="",G96="",J96=""),"缺少必填项",IF(H96&gt;G96,"完成数大于订单数",IF(AND(X96="",OR(Y96="排队",Y96="生产中",Y96="阻塞",Z96&lt;&gt;"",AA96&lt;&gt;"",AB96="是")),"已有排期字段缺少机台",IF(AND(X96&lt;&gt;"",Y96="待排"),"已填机台但状态为待排",IF(AND(Y96="生产中",AB96&lt;&gt;"是"),"需确认：生产中未锁定","可导入"))))))</x:f>
      </x:c>
    </x:row>
    <x:row r="97" ht="22" customHeight="1">
      <x:c r="A97" s="186" t="str">
        <x:f>IF(B97="","",ROW()-5)</x:f>
      </x:c>
      <x:c r="B97" s="196"/>
      <x:c r="C97" s="198"/>
      <x:c r="D97" s="196"/>
      <x:c r="E97" s="188"/>
      <x:c r="F97" s="198"/>
      <x:c r="G97" s="202"/>
      <x:c r="H97" s="204"/>
      <x:c r="I97" s="206" t="str">
        <x:f>IF(G97="","",MAX(G97-H97,0))</x:f>
      </x:c>
      <x:c r="J97" s="210"/>
      <x:c r="K97" s="190"/>
      <x:c r="L97" s="208"/>
      <x:c r="M97" s="208"/>
      <x:c r="N97" s="208"/>
      <x:c r="O97" s="208"/>
      <x:c r="P97" s="190"/>
      <x:c r="Q97" s="190"/>
      <x:c r="R97" s="190"/>
      <x:c r="S97" s="190"/>
      <x:c r="T97" s="190"/>
      <x:c r="U97" s="190"/>
      <x:c r="V97" s="212"/>
      <x:c r="W97" s="212"/>
      <x:c r="X97" s="200"/>
      <x:c r="Y97" s="192"/>
      <x:c r="Z97" s="214"/>
      <x:c r="AA97" s="214"/>
      <x:c r="AB97" s="192"/>
      <x:c r="AC97" s="194"/>
      <x:c r="AD97" s="186" t="str">
        <x:f>IF(COUNTA(B97:H97)+COUNTA(J97:AC97)=0,"",IF(OR(B97="",D97="",E97="",G97="",J97=""),"缺少必填项",IF(H97&gt;G97,"完成数大于订单数",IF(AND(X97="",OR(Y97="排队",Y97="生产中",Y97="阻塞",Z97&lt;&gt;"",AA97&lt;&gt;"",AB97="是")),"已有排期字段缺少机台",IF(AND(X97&lt;&gt;"",Y97="待排"),"已填机台但状态为待排",IF(AND(Y97="生产中",AB97&lt;&gt;"是"),"需确认：生产中未锁定","可导入"))))))</x:f>
      </x:c>
    </x:row>
    <x:row r="98" ht="22" customHeight="1">
      <x:c r="A98" s="186" t="str">
        <x:f>IF(B98="","",ROW()-5)</x:f>
      </x:c>
      <x:c r="B98" s="196"/>
      <x:c r="C98" s="198"/>
      <x:c r="D98" s="196"/>
      <x:c r="E98" s="188"/>
      <x:c r="F98" s="198"/>
      <x:c r="G98" s="202"/>
      <x:c r="H98" s="204"/>
      <x:c r="I98" s="206" t="str">
        <x:f>IF(G98="","",MAX(G98-H98,0))</x:f>
      </x:c>
      <x:c r="J98" s="210"/>
      <x:c r="K98" s="190"/>
      <x:c r="L98" s="208"/>
      <x:c r="M98" s="208"/>
      <x:c r="N98" s="208"/>
      <x:c r="O98" s="208"/>
      <x:c r="P98" s="190"/>
      <x:c r="Q98" s="190"/>
      <x:c r="R98" s="190"/>
      <x:c r="S98" s="190"/>
      <x:c r="T98" s="190"/>
      <x:c r="U98" s="190"/>
      <x:c r="V98" s="212"/>
      <x:c r="W98" s="212"/>
      <x:c r="X98" s="200"/>
      <x:c r="Y98" s="192"/>
      <x:c r="Z98" s="214"/>
      <x:c r="AA98" s="214"/>
      <x:c r="AB98" s="192"/>
      <x:c r="AC98" s="194"/>
      <x:c r="AD98" s="186" t="str">
        <x:f>IF(COUNTA(B98:H98)+COUNTA(J98:AC98)=0,"",IF(OR(B98="",D98="",E98="",G98="",J98=""),"缺少必填项",IF(H98&gt;G98,"完成数大于订单数",IF(AND(X98="",OR(Y98="排队",Y98="生产中",Y98="阻塞",Z98&lt;&gt;"",AA98&lt;&gt;"",AB98="是")),"已有排期字段缺少机台",IF(AND(X98&lt;&gt;"",Y98="待排"),"已填机台但状态为待排",IF(AND(Y98="生产中",AB98&lt;&gt;"是"),"需确认：生产中未锁定","可导入"))))))</x:f>
      </x:c>
    </x:row>
    <x:row r="99" ht="22" customHeight="1">
      <x:c r="A99" s="186" t="str">
        <x:f>IF(B99="","",ROW()-5)</x:f>
      </x:c>
      <x:c r="B99" s="196"/>
      <x:c r="C99" s="198"/>
      <x:c r="D99" s="196"/>
      <x:c r="E99" s="188"/>
      <x:c r="F99" s="198"/>
      <x:c r="G99" s="202"/>
      <x:c r="H99" s="204"/>
      <x:c r="I99" s="206" t="str">
        <x:f>IF(G99="","",MAX(G99-H99,0))</x:f>
      </x:c>
      <x:c r="J99" s="210"/>
      <x:c r="K99" s="190"/>
      <x:c r="L99" s="208"/>
      <x:c r="M99" s="208"/>
      <x:c r="N99" s="208"/>
      <x:c r="O99" s="208"/>
      <x:c r="P99" s="190"/>
      <x:c r="Q99" s="190"/>
      <x:c r="R99" s="190"/>
      <x:c r="S99" s="190"/>
      <x:c r="T99" s="190"/>
      <x:c r="U99" s="190"/>
      <x:c r="V99" s="212"/>
      <x:c r="W99" s="212"/>
      <x:c r="X99" s="200"/>
      <x:c r="Y99" s="192"/>
      <x:c r="Z99" s="214"/>
      <x:c r="AA99" s="214"/>
      <x:c r="AB99" s="192"/>
      <x:c r="AC99" s="194"/>
      <x:c r="AD99" s="186" t="str">
        <x:f>IF(COUNTA(B99:H99)+COUNTA(J99:AC99)=0,"",IF(OR(B99="",D99="",E99="",G99="",J99=""),"缺少必填项",IF(H99&gt;G99,"完成数大于订单数",IF(AND(X99="",OR(Y99="排队",Y99="生产中",Y99="阻塞",Z99&lt;&gt;"",AA99&lt;&gt;"",AB99="是")),"已有排期字段缺少机台",IF(AND(X99&lt;&gt;"",Y99="待排"),"已填机台但状态为待排",IF(AND(Y99="生产中",AB99&lt;&gt;"是"),"需确认：生产中未锁定","可导入"))))))</x:f>
      </x:c>
    </x:row>
    <x:row r="100" ht="22" customHeight="1">
      <x:c r="A100" s="186" t="str">
        <x:f>IF(B100="","",ROW()-5)</x:f>
      </x:c>
      <x:c r="B100" s="196"/>
      <x:c r="C100" s="198"/>
      <x:c r="D100" s="196"/>
      <x:c r="E100" s="188"/>
      <x:c r="F100" s="198"/>
      <x:c r="G100" s="202"/>
      <x:c r="H100" s="204"/>
      <x:c r="I100" s="206" t="str">
        <x:f>IF(G100="","",MAX(G100-H100,0))</x:f>
      </x:c>
      <x:c r="J100" s="210"/>
      <x:c r="K100" s="190"/>
      <x:c r="L100" s="208"/>
      <x:c r="M100" s="208"/>
      <x:c r="N100" s="208"/>
      <x:c r="O100" s="208"/>
      <x:c r="P100" s="190"/>
      <x:c r="Q100" s="190"/>
      <x:c r="R100" s="190"/>
      <x:c r="S100" s="190"/>
      <x:c r="T100" s="190"/>
      <x:c r="U100" s="190"/>
      <x:c r="V100" s="212"/>
      <x:c r="W100" s="212"/>
      <x:c r="X100" s="200"/>
      <x:c r="Y100" s="192"/>
      <x:c r="Z100" s="214"/>
      <x:c r="AA100" s="214"/>
      <x:c r="AB100" s="192"/>
      <x:c r="AC100" s="194"/>
      <x:c r="AD100" s="186" t="str">
        <x:f>IF(COUNTA(B100:H100)+COUNTA(J100:AC100)=0,"",IF(OR(B100="",D100="",E100="",G100="",J100=""),"缺少必填项",IF(H100&gt;G100,"完成数大于订单数",IF(AND(X100="",OR(Y100="排队",Y100="生产中",Y100="阻塞",Z100&lt;&gt;"",AA100&lt;&gt;"",AB100="是")),"已有排期字段缺少机台",IF(AND(X100&lt;&gt;"",Y100="待排"),"已填机台但状态为待排",IF(AND(Y100="生产中",AB100&lt;&gt;"是"),"需确认：生产中未锁定","可导入"))))))</x:f>
      </x:c>
    </x:row>
    <x:row r="101" ht="22" customHeight="1">
      <x:c r="A101" s="186" t="str">
        <x:f>IF(B101="","",ROW()-5)</x:f>
      </x:c>
      <x:c r="B101" s="196"/>
      <x:c r="C101" s="198"/>
      <x:c r="D101" s="196"/>
      <x:c r="E101" s="188"/>
      <x:c r="F101" s="198"/>
      <x:c r="G101" s="202"/>
      <x:c r="H101" s="204"/>
      <x:c r="I101" s="206" t="str">
        <x:f>IF(G101="","",MAX(G101-H101,0))</x:f>
      </x:c>
      <x:c r="J101" s="210"/>
      <x:c r="K101" s="190"/>
      <x:c r="L101" s="208"/>
      <x:c r="M101" s="208"/>
      <x:c r="N101" s="208"/>
      <x:c r="O101" s="208"/>
      <x:c r="P101" s="190"/>
      <x:c r="Q101" s="190"/>
      <x:c r="R101" s="190"/>
      <x:c r="S101" s="190"/>
      <x:c r="T101" s="190"/>
      <x:c r="U101" s="190"/>
      <x:c r="V101" s="212"/>
      <x:c r="W101" s="212"/>
      <x:c r="X101" s="200"/>
      <x:c r="Y101" s="192"/>
      <x:c r="Z101" s="214"/>
      <x:c r="AA101" s="214"/>
      <x:c r="AB101" s="192"/>
      <x:c r="AC101" s="194"/>
      <x:c r="AD101" s="186" t="str">
        <x:f>IF(COUNTA(B101:H101)+COUNTA(J101:AC101)=0,"",IF(OR(B101="",D101="",E101="",G101="",J101=""),"缺少必填项",IF(H101&gt;G101,"完成数大于订单数",IF(AND(X101="",OR(Y101="排队",Y101="生产中",Y101="阻塞",Z101&lt;&gt;"",AA101&lt;&gt;"",AB101="是")),"已有排期字段缺少机台",IF(AND(X101&lt;&gt;"",Y101="待排"),"已填机台但状态为待排",IF(AND(Y101="生产中",AB101&lt;&gt;"是"),"需确认：生产中未锁定","可导入"))))))</x:f>
      </x:c>
    </x:row>
    <x:row r="102" ht="22" customHeight="1">
      <x:c r="A102" s="186" t="str">
        <x:f>IF(B102="","",ROW()-5)</x:f>
      </x:c>
      <x:c r="B102" s="196"/>
      <x:c r="C102" s="198"/>
      <x:c r="D102" s="196"/>
      <x:c r="E102" s="188"/>
      <x:c r="F102" s="198"/>
      <x:c r="G102" s="202"/>
      <x:c r="H102" s="204"/>
      <x:c r="I102" s="206" t="str">
        <x:f>IF(G102="","",MAX(G102-H102,0))</x:f>
      </x:c>
      <x:c r="J102" s="210"/>
      <x:c r="K102" s="190"/>
      <x:c r="L102" s="208"/>
      <x:c r="M102" s="208"/>
      <x:c r="N102" s="208"/>
      <x:c r="O102" s="208"/>
      <x:c r="P102" s="190"/>
      <x:c r="Q102" s="190"/>
      <x:c r="R102" s="190"/>
      <x:c r="S102" s="190"/>
      <x:c r="T102" s="190"/>
      <x:c r="U102" s="190"/>
      <x:c r="V102" s="212"/>
      <x:c r="W102" s="212"/>
      <x:c r="X102" s="200"/>
      <x:c r="Y102" s="192"/>
      <x:c r="Z102" s="214"/>
      <x:c r="AA102" s="214"/>
      <x:c r="AB102" s="192"/>
      <x:c r="AC102" s="194"/>
      <x:c r="AD102" s="186" t="str">
        <x:f>IF(COUNTA(B102:H102)+COUNTA(J102:AC102)=0,"",IF(OR(B102="",D102="",E102="",G102="",J102=""),"缺少必填项",IF(H102&gt;G102,"完成数大于订单数",IF(AND(X102="",OR(Y102="排队",Y102="生产中",Y102="阻塞",Z102&lt;&gt;"",AA102&lt;&gt;"",AB102="是")),"已有排期字段缺少机台",IF(AND(X102&lt;&gt;"",Y102="待排"),"已填机台但状态为待排",IF(AND(Y102="生产中",AB102&lt;&gt;"是"),"需确认：生产中未锁定","可导入"))))))</x:f>
      </x:c>
    </x:row>
    <x:row r="103" ht="22" customHeight="1">
      <x:c r="A103" s="186" t="str">
        <x:f>IF(B103="","",ROW()-5)</x:f>
      </x:c>
      <x:c r="B103" s="196"/>
      <x:c r="C103" s="198"/>
      <x:c r="D103" s="196"/>
      <x:c r="E103" s="188"/>
      <x:c r="F103" s="198"/>
      <x:c r="G103" s="202"/>
      <x:c r="H103" s="204"/>
      <x:c r="I103" s="206" t="str">
        <x:f>IF(G103="","",MAX(G103-H103,0))</x:f>
      </x:c>
      <x:c r="J103" s="210"/>
      <x:c r="K103" s="190"/>
      <x:c r="L103" s="208"/>
      <x:c r="M103" s="208"/>
      <x:c r="N103" s="208"/>
      <x:c r="O103" s="208"/>
      <x:c r="P103" s="190"/>
      <x:c r="Q103" s="190"/>
      <x:c r="R103" s="190"/>
      <x:c r="S103" s="190"/>
      <x:c r="T103" s="190"/>
      <x:c r="U103" s="190"/>
      <x:c r="V103" s="212"/>
      <x:c r="W103" s="212"/>
      <x:c r="X103" s="200"/>
      <x:c r="Y103" s="192"/>
      <x:c r="Z103" s="214"/>
      <x:c r="AA103" s="214"/>
      <x:c r="AB103" s="192"/>
      <x:c r="AC103" s="194"/>
      <x:c r="AD103" s="186" t="str">
        <x:f>IF(COUNTA(B103:H103)+COUNTA(J103:AC103)=0,"",IF(OR(B103="",D103="",E103="",G103="",J103=""),"缺少必填项",IF(H103&gt;G103,"完成数大于订单数",IF(AND(X103="",OR(Y103="排队",Y103="生产中",Y103="阻塞",Z103&lt;&gt;"",AA103&lt;&gt;"",AB103="是")),"已有排期字段缺少机台",IF(AND(X103&lt;&gt;"",Y103="待排"),"已填机台但状态为待排",IF(AND(Y103="生产中",AB103&lt;&gt;"是"),"需确认：生产中未锁定","可导入"))))))</x:f>
      </x:c>
    </x:row>
    <x:row r="104" ht="22" customHeight="1">
      <x:c r="A104" s="186" t="str">
        <x:f>IF(B104="","",ROW()-5)</x:f>
      </x:c>
      <x:c r="B104" s="196"/>
      <x:c r="C104" s="198"/>
      <x:c r="D104" s="196"/>
      <x:c r="E104" s="188"/>
      <x:c r="F104" s="198"/>
      <x:c r="G104" s="202"/>
      <x:c r="H104" s="204"/>
      <x:c r="I104" s="206" t="str">
        <x:f>IF(G104="","",MAX(G104-H104,0))</x:f>
      </x:c>
      <x:c r="J104" s="210"/>
      <x:c r="K104" s="190"/>
      <x:c r="L104" s="208"/>
      <x:c r="M104" s="208"/>
      <x:c r="N104" s="208"/>
      <x:c r="O104" s="208"/>
      <x:c r="P104" s="190"/>
      <x:c r="Q104" s="190"/>
      <x:c r="R104" s="190"/>
      <x:c r="S104" s="190"/>
      <x:c r="T104" s="190"/>
      <x:c r="U104" s="190"/>
      <x:c r="V104" s="212"/>
      <x:c r="W104" s="212"/>
      <x:c r="X104" s="200"/>
      <x:c r="Y104" s="192"/>
      <x:c r="Z104" s="214"/>
      <x:c r="AA104" s="214"/>
      <x:c r="AB104" s="192"/>
      <x:c r="AC104" s="194"/>
      <x:c r="AD104" s="186" t="str">
        <x:f>IF(COUNTA(B104:H104)+COUNTA(J104:AC104)=0,"",IF(OR(B104="",D104="",E104="",G104="",J104=""),"缺少必填项",IF(H104&gt;G104,"完成数大于订单数",IF(AND(X104="",OR(Y104="排队",Y104="生产中",Y104="阻塞",Z104&lt;&gt;"",AA104&lt;&gt;"",AB104="是")),"已有排期字段缺少机台",IF(AND(X104&lt;&gt;"",Y104="待排"),"已填机台但状态为待排",IF(AND(Y104="生产中",AB104&lt;&gt;"是"),"需确认：生产中未锁定","可导入"))))))</x:f>
      </x:c>
    </x:row>
    <x:row r="105" ht="22" customHeight="1">
      <x:c r="A105" s="186" t="str">
        <x:f>IF(B105="","",ROW()-5)</x:f>
      </x:c>
      <x:c r="B105" s="196"/>
      <x:c r="C105" s="198"/>
      <x:c r="D105" s="196"/>
      <x:c r="E105" s="188"/>
      <x:c r="F105" s="198"/>
      <x:c r="G105" s="202"/>
      <x:c r="H105" s="204"/>
      <x:c r="I105" s="206" t="str">
        <x:f>IF(G105="","",MAX(G105-H105,0))</x:f>
      </x:c>
      <x:c r="J105" s="210"/>
      <x:c r="K105" s="190"/>
      <x:c r="L105" s="208"/>
      <x:c r="M105" s="208"/>
      <x:c r="N105" s="208"/>
      <x:c r="O105" s="208"/>
      <x:c r="P105" s="190"/>
      <x:c r="Q105" s="190"/>
      <x:c r="R105" s="190"/>
      <x:c r="S105" s="190"/>
      <x:c r="T105" s="190"/>
      <x:c r="U105" s="190"/>
      <x:c r="V105" s="212"/>
      <x:c r="W105" s="212"/>
      <x:c r="X105" s="200"/>
      <x:c r="Y105" s="192"/>
      <x:c r="Z105" s="214"/>
      <x:c r="AA105" s="214"/>
      <x:c r="AB105" s="192"/>
      <x:c r="AC105" s="194"/>
      <x:c r="AD105" s="186" t="str">
        <x:f>IF(COUNTA(B105:H105)+COUNTA(J105:AC105)=0,"",IF(OR(B105="",D105="",E105="",G105="",J105=""),"缺少必填项",IF(H105&gt;G105,"完成数大于订单数",IF(AND(X105="",OR(Y105="排队",Y105="生产中",Y105="阻塞",Z105&lt;&gt;"",AA105&lt;&gt;"",AB105="是")),"已有排期字段缺少机台",IF(AND(X105&lt;&gt;"",Y105="待排"),"已填机台但状态为待排",IF(AND(Y105="生产中",AB105&lt;&gt;"是"),"需确认：生产中未锁定","可导入"))))))</x:f>
      </x:c>
    </x:row>
    <x:row r="106" ht="22" customHeight="1">
      <x:c r="A106" s="186" t="str">
        <x:f>IF(B106="","",ROW()-5)</x:f>
      </x:c>
      <x:c r="B106" s="196"/>
      <x:c r="C106" s="198"/>
      <x:c r="D106" s="196"/>
      <x:c r="E106" s="188"/>
      <x:c r="F106" s="198"/>
      <x:c r="G106" s="202"/>
      <x:c r="H106" s="204"/>
      <x:c r="I106" s="206" t="str">
        <x:f>IF(G106="","",MAX(G106-H106,0))</x:f>
      </x:c>
      <x:c r="J106" s="210"/>
      <x:c r="K106" s="190"/>
      <x:c r="L106" s="208"/>
      <x:c r="M106" s="208"/>
      <x:c r="N106" s="208"/>
      <x:c r="O106" s="208"/>
      <x:c r="P106" s="190"/>
      <x:c r="Q106" s="190"/>
      <x:c r="R106" s="190"/>
      <x:c r="S106" s="190"/>
      <x:c r="T106" s="190"/>
      <x:c r="U106" s="190"/>
      <x:c r="V106" s="212"/>
      <x:c r="W106" s="212"/>
      <x:c r="X106" s="200"/>
      <x:c r="Y106" s="192"/>
      <x:c r="Z106" s="214"/>
      <x:c r="AA106" s="214"/>
      <x:c r="AB106" s="192"/>
      <x:c r="AC106" s="194"/>
      <x:c r="AD106" s="186" t="str">
        <x:f>IF(COUNTA(B106:H106)+COUNTA(J106:AC106)=0,"",IF(OR(B106="",D106="",E106="",G106="",J106=""),"缺少必填项",IF(H106&gt;G106,"完成数大于订单数",IF(AND(X106="",OR(Y106="排队",Y106="生产中",Y106="阻塞",Z106&lt;&gt;"",AA106&lt;&gt;"",AB106="是")),"已有排期字段缺少机台",IF(AND(X106&lt;&gt;"",Y106="待排"),"已填机台但状态为待排",IF(AND(Y106="生产中",AB106&lt;&gt;"是"),"需确认：生产中未锁定","可导入"))))))</x:f>
      </x:c>
    </x:row>
    <x:row r="107" ht="22" customHeight="1">
      <x:c r="A107" s="186" t="str">
        <x:f>IF(B107="","",ROW()-5)</x:f>
      </x:c>
      <x:c r="B107" s="196"/>
      <x:c r="C107" s="198"/>
      <x:c r="D107" s="196"/>
      <x:c r="E107" s="188"/>
      <x:c r="F107" s="198"/>
      <x:c r="G107" s="202"/>
      <x:c r="H107" s="204"/>
      <x:c r="I107" s="206" t="str">
        <x:f>IF(G107="","",MAX(G107-H107,0))</x:f>
      </x:c>
      <x:c r="J107" s="210"/>
      <x:c r="K107" s="190"/>
      <x:c r="L107" s="208"/>
      <x:c r="M107" s="208"/>
      <x:c r="N107" s="208"/>
      <x:c r="O107" s="208"/>
      <x:c r="P107" s="190"/>
      <x:c r="Q107" s="190"/>
      <x:c r="R107" s="190"/>
      <x:c r="S107" s="190"/>
      <x:c r="T107" s="190"/>
      <x:c r="U107" s="190"/>
      <x:c r="V107" s="212"/>
      <x:c r="W107" s="212"/>
      <x:c r="X107" s="200"/>
      <x:c r="Y107" s="192"/>
      <x:c r="Z107" s="214"/>
      <x:c r="AA107" s="214"/>
      <x:c r="AB107" s="192"/>
      <x:c r="AC107" s="194"/>
      <x:c r="AD107" s="186" t="str">
        <x:f>IF(COUNTA(B107:H107)+COUNTA(J107:AC107)=0,"",IF(OR(B107="",D107="",E107="",G107="",J107=""),"缺少必填项",IF(H107&gt;G107,"完成数大于订单数",IF(AND(X107="",OR(Y107="排队",Y107="生产中",Y107="阻塞",Z107&lt;&gt;"",AA107&lt;&gt;"",AB107="是")),"已有排期字段缺少机台",IF(AND(X107&lt;&gt;"",Y107="待排"),"已填机台但状态为待排",IF(AND(Y107="生产中",AB107&lt;&gt;"是"),"需确认：生产中未锁定","可导入"))))))</x:f>
      </x:c>
    </x:row>
    <x:row r="108" ht="22" customHeight="1">
      <x:c r="A108" s="186" t="str">
        <x:f>IF(B108="","",ROW()-5)</x:f>
      </x:c>
      <x:c r="B108" s="196"/>
      <x:c r="C108" s="198"/>
      <x:c r="D108" s="196"/>
      <x:c r="E108" s="188"/>
      <x:c r="F108" s="198"/>
      <x:c r="G108" s="202"/>
      <x:c r="H108" s="204"/>
      <x:c r="I108" s="206" t="str">
        <x:f>IF(G108="","",MAX(G108-H108,0))</x:f>
      </x:c>
      <x:c r="J108" s="210"/>
      <x:c r="K108" s="190"/>
      <x:c r="L108" s="208"/>
      <x:c r="M108" s="208"/>
      <x:c r="N108" s="208"/>
      <x:c r="O108" s="208"/>
      <x:c r="P108" s="190"/>
      <x:c r="Q108" s="190"/>
      <x:c r="R108" s="190"/>
      <x:c r="S108" s="190"/>
      <x:c r="T108" s="190"/>
      <x:c r="U108" s="190"/>
      <x:c r="V108" s="212"/>
      <x:c r="W108" s="212"/>
      <x:c r="X108" s="200"/>
      <x:c r="Y108" s="192"/>
      <x:c r="Z108" s="214"/>
      <x:c r="AA108" s="214"/>
      <x:c r="AB108" s="192"/>
      <x:c r="AC108" s="194"/>
      <x:c r="AD108" s="186" t="str">
        <x:f>IF(COUNTA(B108:H108)+COUNTA(J108:AC108)=0,"",IF(OR(B108="",D108="",E108="",G108="",J108=""),"缺少必填项",IF(H108&gt;G108,"完成数大于订单数",IF(AND(X108="",OR(Y108="排队",Y108="生产中",Y108="阻塞",Z108&lt;&gt;"",AA108&lt;&gt;"",AB108="是")),"已有排期字段缺少机台",IF(AND(X108&lt;&gt;"",Y108="待排"),"已填机台但状态为待排",IF(AND(Y108="生产中",AB108&lt;&gt;"是"),"需确认：生产中未锁定","可导入"))))))</x:f>
      </x:c>
    </x:row>
    <x:row r="109" ht="22" customHeight="1">
      <x:c r="A109" s="186" t="str">
        <x:f>IF(B109="","",ROW()-5)</x:f>
      </x:c>
      <x:c r="B109" s="196"/>
      <x:c r="C109" s="198"/>
      <x:c r="D109" s="196"/>
      <x:c r="E109" s="188"/>
      <x:c r="F109" s="198"/>
      <x:c r="G109" s="202"/>
      <x:c r="H109" s="204"/>
      <x:c r="I109" s="206" t="str">
        <x:f>IF(G109="","",MAX(G109-H109,0))</x:f>
      </x:c>
      <x:c r="J109" s="210"/>
      <x:c r="K109" s="190"/>
      <x:c r="L109" s="208"/>
      <x:c r="M109" s="208"/>
      <x:c r="N109" s="208"/>
      <x:c r="O109" s="208"/>
      <x:c r="P109" s="190"/>
      <x:c r="Q109" s="190"/>
      <x:c r="R109" s="190"/>
      <x:c r="S109" s="190"/>
      <x:c r="T109" s="190"/>
      <x:c r="U109" s="190"/>
      <x:c r="V109" s="212"/>
      <x:c r="W109" s="212"/>
      <x:c r="X109" s="200"/>
      <x:c r="Y109" s="192"/>
      <x:c r="Z109" s="214"/>
      <x:c r="AA109" s="214"/>
      <x:c r="AB109" s="192"/>
      <x:c r="AC109" s="194"/>
      <x:c r="AD109" s="186" t="str">
        <x:f>IF(COUNTA(B109:H109)+COUNTA(J109:AC109)=0,"",IF(OR(B109="",D109="",E109="",G109="",J109=""),"缺少必填项",IF(H109&gt;G109,"完成数大于订单数",IF(AND(X109="",OR(Y109="排队",Y109="生产中",Y109="阻塞",Z109&lt;&gt;"",AA109&lt;&gt;"",AB109="是")),"已有排期字段缺少机台",IF(AND(X109&lt;&gt;"",Y109="待排"),"已填机台但状态为待排",IF(AND(Y109="生产中",AB109&lt;&gt;"是"),"需确认：生产中未锁定","可导入"))))))</x:f>
      </x:c>
    </x:row>
    <x:row r="110" ht="22" customHeight="1">
      <x:c r="A110" s="186" t="str">
        <x:f>IF(B110="","",ROW()-5)</x:f>
      </x:c>
      <x:c r="B110" s="196"/>
      <x:c r="C110" s="198"/>
      <x:c r="D110" s="196"/>
      <x:c r="E110" s="188"/>
      <x:c r="F110" s="198"/>
      <x:c r="G110" s="202"/>
      <x:c r="H110" s="204"/>
      <x:c r="I110" s="206" t="str">
        <x:f>IF(G110="","",MAX(G110-H110,0))</x:f>
      </x:c>
      <x:c r="J110" s="210"/>
      <x:c r="K110" s="190"/>
      <x:c r="L110" s="208"/>
      <x:c r="M110" s="208"/>
      <x:c r="N110" s="208"/>
      <x:c r="O110" s="208"/>
      <x:c r="P110" s="190"/>
      <x:c r="Q110" s="190"/>
      <x:c r="R110" s="190"/>
      <x:c r="S110" s="190"/>
      <x:c r="T110" s="190"/>
      <x:c r="U110" s="190"/>
      <x:c r="V110" s="212"/>
      <x:c r="W110" s="212"/>
      <x:c r="X110" s="200"/>
      <x:c r="Y110" s="192"/>
      <x:c r="Z110" s="214"/>
      <x:c r="AA110" s="214"/>
      <x:c r="AB110" s="192"/>
      <x:c r="AC110" s="194"/>
      <x:c r="AD110" s="186" t="str">
        <x:f>IF(COUNTA(B110:H110)+COUNTA(J110:AC110)=0,"",IF(OR(B110="",D110="",E110="",G110="",J110=""),"缺少必填项",IF(H110&gt;G110,"完成数大于订单数",IF(AND(X110="",OR(Y110="排队",Y110="生产中",Y110="阻塞",Z110&lt;&gt;"",AA110&lt;&gt;"",AB110="是")),"已有排期字段缺少机台",IF(AND(X110&lt;&gt;"",Y110="待排"),"已填机台但状态为待排",IF(AND(Y110="生产中",AB110&lt;&gt;"是"),"需确认：生产中未锁定","可导入"))))))</x:f>
      </x:c>
    </x:row>
    <x:row r="111" ht="22" customHeight="1">
      <x:c r="A111" s="186" t="str">
        <x:f>IF(B111="","",ROW()-5)</x:f>
      </x:c>
      <x:c r="B111" s="196"/>
      <x:c r="C111" s="198"/>
      <x:c r="D111" s="196"/>
      <x:c r="E111" s="188"/>
      <x:c r="F111" s="198"/>
      <x:c r="G111" s="202"/>
      <x:c r="H111" s="204"/>
      <x:c r="I111" s="206" t="str">
        <x:f>IF(G111="","",MAX(G111-H111,0))</x:f>
      </x:c>
      <x:c r="J111" s="210"/>
      <x:c r="K111" s="190"/>
      <x:c r="L111" s="208"/>
      <x:c r="M111" s="208"/>
      <x:c r="N111" s="208"/>
      <x:c r="O111" s="208"/>
      <x:c r="P111" s="190"/>
      <x:c r="Q111" s="190"/>
      <x:c r="R111" s="190"/>
      <x:c r="S111" s="190"/>
      <x:c r="T111" s="190"/>
      <x:c r="U111" s="190"/>
      <x:c r="V111" s="212"/>
      <x:c r="W111" s="212"/>
      <x:c r="X111" s="200"/>
      <x:c r="Y111" s="192"/>
      <x:c r="Z111" s="214"/>
      <x:c r="AA111" s="214"/>
      <x:c r="AB111" s="192"/>
      <x:c r="AC111" s="194"/>
      <x:c r="AD111" s="186" t="str">
        <x:f>IF(COUNTA(B111:H111)+COUNTA(J111:AC111)=0,"",IF(OR(B111="",D111="",E111="",G111="",J111=""),"缺少必填项",IF(H111&gt;G111,"完成数大于订单数",IF(AND(X111="",OR(Y111="排队",Y111="生产中",Y111="阻塞",Z111&lt;&gt;"",AA111&lt;&gt;"",AB111="是")),"已有排期字段缺少机台",IF(AND(X111&lt;&gt;"",Y111="待排"),"已填机台但状态为待排",IF(AND(Y111="生产中",AB111&lt;&gt;"是"),"需确认：生产中未锁定","可导入"))))))</x:f>
      </x:c>
    </x:row>
    <x:row r="112" ht="22" customHeight="1">
      <x:c r="A112" s="186" t="str">
        <x:f>IF(B112="","",ROW()-5)</x:f>
      </x:c>
      <x:c r="B112" s="196"/>
      <x:c r="C112" s="198"/>
      <x:c r="D112" s="196"/>
      <x:c r="E112" s="188"/>
      <x:c r="F112" s="198"/>
      <x:c r="G112" s="202"/>
      <x:c r="H112" s="204"/>
      <x:c r="I112" s="206" t="str">
        <x:f>IF(G112="","",MAX(G112-H112,0))</x:f>
      </x:c>
      <x:c r="J112" s="210"/>
      <x:c r="K112" s="190"/>
      <x:c r="L112" s="208"/>
      <x:c r="M112" s="208"/>
      <x:c r="N112" s="208"/>
      <x:c r="O112" s="208"/>
      <x:c r="P112" s="190"/>
      <x:c r="Q112" s="190"/>
      <x:c r="R112" s="190"/>
      <x:c r="S112" s="190"/>
      <x:c r="T112" s="190"/>
      <x:c r="U112" s="190"/>
      <x:c r="V112" s="212"/>
      <x:c r="W112" s="212"/>
      <x:c r="X112" s="200"/>
      <x:c r="Y112" s="192"/>
      <x:c r="Z112" s="214"/>
      <x:c r="AA112" s="214"/>
      <x:c r="AB112" s="192"/>
      <x:c r="AC112" s="194"/>
      <x:c r="AD112" s="186" t="str">
        <x:f>IF(COUNTA(B112:H112)+COUNTA(J112:AC112)=0,"",IF(OR(B112="",D112="",E112="",G112="",J112=""),"缺少必填项",IF(H112&gt;G112,"完成数大于订单数",IF(AND(X112="",OR(Y112="排队",Y112="生产中",Y112="阻塞",Z112&lt;&gt;"",AA112&lt;&gt;"",AB112="是")),"已有排期字段缺少机台",IF(AND(X112&lt;&gt;"",Y112="待排"),"已填机台但状态为待排",IF(AND(Y112="生产中",AB112&lt;&gt;"是"),"需确认：生产中未锁定","可导入"))))))</x:f>
      </x:c>
    </x:row>
    <x:row r="113" ht="22" customHeight="1">
      <x:c r="A113" s="186" t="str">
        <x:f>IF(B113="","",ROW()-5)</x:f>
      </x:c>
      <x:c r="B113" s="196"/>
      <x:c r="C113" s="198"/>
      <x:c r="D113" s="196"/>
      <x:c r="E113" s="188"/>
      <x:c r="F113" s="198"/>
      <x:c r="G113" s="202"/>
      <x:c r="H113" s="204"/>
      <x:c r="I113" s="206" t="str">
        <x:f>IF(G113="","",MAX(G113-H113,0))</x:f>
      </x:c>
      <x:c r="J113" s="210"/>
      <x:c r="K113" s="190"/>
      <x:c r="L113" s="208"/>
      <x:c r="M113" s="208"/>
      <x:c r="N113" s="208"/>
      <x:c r="O113" s="208"/>
      <x:c r="P113" s="190"/>
      <x:c r="Q113" s="190"/>
      <x:c r="R113" s="190"/>
      <x:c r="S113" s="190"/>
      <x:c r="T113" s="190"/>
      <x:c r="U113" s="190"/>
      <x:c r="V113" s="212"/>
      <x:c r="W113" s="212"/>
      <x:c r="X113" s="200"/>
      <x:c r="Y113" s="192"/>
      <x:c r="Z113" s="214"/>
      <x:c r="AA113" s="214"/>
      <x:c r="AB113" s="192"/>
      <x:c r="AC113" s="194"/>
      <x:c r="AD113" s="186" t="str">
        <x:f>IF(COUNTA(B113:H113)+COUNTA(J113:AC113)=0,"",IF(OR(B113="",D113="",E113="",G113="",J113=""),"缺少必填项",IF(H113&gt;G113,"完成数大于订单数",IF(AND(X113="",OR(Y113="排队",Y113="生产中",Y113="阻塞",Z113&lt;&gt;"",AA113&lt;&gt;"",AB113="是")),"已有排期字段缺少机台",IF(AND(X113&lt;&gt;"",Y113="待排"),"已填机台但状态为待排",IF(AND(Y113="生产中",AB113&lt;&gt;"是"),"需确认：生产中未锁定","可导入"))))))</x:f>
      </x:c>
    </x:row>
    <x:row r="114" ht="22" customHeight="1">
      <x:c r="A114" s="186" t="str">
        <x:f>IF(B114="","",ROW()-5)</x:f>
      </x:c>
      <x:c r="B114" s="196"/>
      <x:c r="C114" s="198"/>
      <x:c r="D114" s="196"/>
      <x:c r="E114" s="188"/>
      <x:c r="F114" s="198"/>
      <x:c r="G114" s="202"/>
      <x:c r="H114" s="204"/>
      <x:c r="I114" s="206" t="str">
        <x:f>IF(G114="","",MAX(G114-H114,0))</x:f>
      </x:c>
      <x:c r="J114" s="210"/>
      <x:c r="K114" s="190"/>
      <x:c r="L114" s="208"/>
      <x:c r="M114" s="208"/>
      <x:c r="N114" s="208"/>
      <x:c r="O114" s="208"/>
      <x:c r="P114" s="190"/>
      <x:c r="Q114" s="190"/>
      <x:c r="R114" s="190"/>
      <x:c r="S114" s="190"/>
      <x:c r="T114" s="190"/>
      <x:c r="U114" s="190"/>
      <x:c r="V114" s="212"/>
      <x:c r="W114" s="212"/>
      <x:c r="X114" s="200"/>
      <x:c r="Y114" s="192"/>
      <x:c r="Z114" s="214"/>
      <x:c r="AA114" s="214"/>
      <x:c r="AB114" s="192"/>
      <x:c r="AC114" s="194"/>
      <x:c r="AD114" s="186" t="str">
        <x:f>IF(COUNTA(B114:H114)+COUNTA(J114:AC114)=0,"",IF(OR(B114="",D114="",E114="",G114="",J114=""),"缺少必填项",IF(H114&gt;G114,"完成数大于订单数",IF(AND(X114="",OR(Y114="排队",Y114="生产中",Y114="阻塞",Z114&lt;&gt;"",AA114&lt;&gt;"",AB114="是")),"已有排期字段缺少机台",IF(AND(X114&lt;&gt;"",Y114="待排"),"已填机台但状态为待排",IF(AND(Y114="生产中",AB114&lt;&gt;"是"),"需确认：生产中未锁定","可导入"))))))</x:f>
      </x:c>
    </x:row>
    <x:row r="115" ht="22" customHeight="1">
      <x:c r="A115" s="186" t="str">
        <x:f>IF(B115="","",ROW()-5)</x:f>
      </x:c>
      <x:c r="B115" s="196"/>
      <x:c r="C115" s="198"/>
      <x:c r="D115" s="196"/>
      <x:c r="E115" s="188"/>
      <x:c r="F115" s="198"/>
      <x:c r="G115" s="202"/>
      <x:c r="H115" s="204"/>
      <x:c r="I115" s="206" t="str">
        <x:f>IF(G115="","",MAX(G115-H115,0))</x:f>
      </x:c>
      <x:c r="J115" s="210"/>
      <x:c r="K115" s="190"/>
      <x:c r="L115" s="208"/>
      <x:c r="M115" s="208"/>
      <x:c r="N115" s="208"/>
      <x:c r="O115" s="208"/>
      <x:c r="P115" s="190"/>
      <x:c r="Q115" s="190"/>
      <x:c r="R115" s="190"/>
      <x:c r="S115" s="190"/>
      <x:c r="T115" s="190"/>
      <x:c r="U115" s="190"/>
      <x:c r="V115" s="212"/>
      <x:c r="W115" s="212"/>
      <x:c r="X115" s="200"/>
      <x:c r="Y115" s="192"/>
      <x:c r="Z115" s="214"/>
      <x:c r="AA115" s="214"/>
      <x:c r="AB115" s="192"/>
      <x:c r="AC115" s="194"/>
      <x:c r="AD115" s="186" t="str">
        <x:f>IF(COUNTA(B115:H115)+COUNTA(J115:AC115)=0,"",IF(OR(B115="",D115="",E115="",G115="",J115=""),"缺少必填项",IF(H115&gt;G115,"完成数大于订单数",IF(AND(X115="",OR(Y115="排队",Y115="生产中",Y115="阻塞",Z115&lt;&gt;"",AA115&lt;&gt;"",AB115="是")),"已有排期字段缺少机台",IF(AND(X115&lt;&gt;"",Y115="待排"),"已填机台但状态为待排",IF(AND(Y115="生产中",AB115&lt;&gt;"是"),"需确认：生产中未锁定","可导入"))))))</x:f>
      </x:c>
    </x:row>
    <x:row r="116" ht="22" customHeight="1">
      <x:c r="A116" s="186" t="str">
        <x:f>IF(B116="","",ROW()-5)</x:f>
      </x:c>
      <x:c r="B116" s="196"/>
      <x:c r="C116" s="198"/>
      <x:c r="D116" s="196"/>
      <x:c r="E116" s="188"/>
      <x:c r="F116" s="198"/>
      <x:c r="G116" s="202"/>
      <x:c r="H116" s="204"/>
      <x:c r="I116" s="206" t="str">
        <x:f>IF(G116="","",MAX(G116-H116,0))</x:f>
      </x:c>
      <x:c r="J116" s="210"/>
      <x:c r="K116" s="190"/>
      <x:c r="L116" s="208"/>
      <x:c r="M116" s="208"/>
      <x:c r="N116" s="208"/>
      <x:c r="O116" s="208"/>
      <x:c r="P116" s="190"/>
      <x:c r="Q116" s="190"/>
      <x:c r="R116" s="190"/>
      <x:c r="S116" s="190"/>
      <x:c r="T116" s="190"/>
      <x:c r="U116" s="190"/>
      <x:c r="V116" s="212"/>
      <x:c r="W116" s="212"/>
      <x:c r="X116" s="200"/>
      <x:c r="Y116" s="192"/>
      <x:c r="Z116" s="214"/>
      <x:c r="AA116" s="214"/>
      <x:c r="AB116" s="192"/>
      <x:c r="AC116" s="194"/>
      <x:c r="AD116" s="186" t="str">
        <x:f>IF(COUNTA(B116:H116)+COUNTA(J116:AC116)=0,"",IF(OR(B116="",D116="",E116="",G116="",J116=""),"缺少必填项",IF(H116&gt;G116,"完成数大于订单数",IF(AND(X116="",OR(Y116="排队",Y116="生产中",Y116="阻塞",Z116&lt;&gt;"",AA116&lt;&gt;"",AB116="是")),"已有排期字段缺少机台",IF(AND(X116&lt;&gt;"",Y116="待排"),"已填机台但状态为待排",IF(AND(Y116="生产中",AB116&lt;&gt;"是"),"需确认：生产中未锁定","可导入"))))))</x:f>
      </x:c>
    </x:row>
    <x:row r="117" ht="22" customHeight="1">
      <x:c r="A117" s="186" t="str">
        <x:f>IF(B117="","",ROW()-5)</x:f>
      </x:c>
      <x:c r="B117" s="196"/>
      <x:c r="C117" s="198"/>
      <x:c r="D117" s="196"/>
      <x:c r="E117" s="188"/>
      <x:c r="F117" s="198"/>
      <x:c r="G117" s="202"/>
      <x:c r="H117" s="204"/>
      <x:c r="I117" s="206" t="str">
        <x:f>IF(G117="","",MAX(G117-H117,0))</x:f>
      </x:c>
      <x:c r="J117" s="210"/>
      <x:c r="K117" s="190"/>
      <x:c r="L117" s="208"/>
      <x:c r="M117" s="208"/>
      <x:c r="N117" s="208"/>
      <x:c r="O117" s="208"/>
      <x:c r="P117" s="190"/>
      <x:c r="Q117" s="190"/>
      <x:c r="R117" s="190"/>
      <x:c r="S117" s="190"/>
      <x:c r="T117" s="190"/>
      <x:c r="U117" s="190"/>
      <x:c r="V117" s="212"/>
      <x:c r="W117" s="212"/>
      <x:c r="X117" s="200"/>
      <x:c r="Y117" s="192"/>
      <x:c r="Z117" s="214"/>
      <x:c r="AA117" s="214"/>
      <x:c r="AB117" s="192"/>
      <x:c r="AC117" s="194"/>
      <x:c r="AD117" s="186" t="str">
        <x:f>IF(COUNTA(B117:H117)+COUNTA(J117:AC117)=0,"",IF(OR(B117="",D117="",E117="",G117="",J117=""),"缺少必填项",IF(H117&gt;G117,"完成数大于订单数",IF(AND(X117="",OR(Y117="排队",Y117="生产中",Y117="阻塞",Z117&lt;&gt;"",AA117&lt;&gt;"",AB117="是")),"已有排期字段缺少机台",IF(AND(X117&lt;&gt;"",Y117="待排"),"已填机台但状态为待排",IF(AND(Y117="生产中",AB117&lt;&gt;"是"),"需确认：生产中未锁定","可导入"))))))</x:f>
      </x:c>
    </x:row>
    <x:row r="118" ht="22" customHeight="1">
      <x:c r="A118" s="186" t="str">
        <x:f>IF(B118="","",ROW()-5)</x:f>
      </x:c>
      <x:c r="B118" s="196"/>
      <x:c r="C118" s="198"/>
      <x:c r="D118" s="196"/>
      <x:c r="E118" s="188"/>
      <x:c r="F118" s="198"/>
      <x:c r="G118" s="202"/>
      <x:c r="H118" s="204"/>
      <x:c r="I118" s="206" t="str">
        <x:f>IF(G118="","",MAX(G118-H118,0))</x:f>
      </x:c>
      <x:c r="J118" s="210"/>
      <x:c r="K118" s="190"/>
      <x:c r="L118" s="208"/>
      <x:c r="M118" s="208"/>
      <x:c r="N118" s="208"/>
      <x:c r="O118" s="208"/>
      <x:c r="P118" s="190"/>
      <x:c r="Q118" s="190"/>
      <x:c r="R118" s="190"/>
      <x:c r="S118" s="190"/>
      <x:c r="T118" s="190"/>
      <x:c r="U118" s="190"/>
      <x:c r="V118" s="212"/>
      <x:c r="W118" s="212"/>
      <x:c r="X118" s="200"/>
      <x:c r="Y118" s="192"/>
      <x:c r="Z118" s="214"/>
      <x:c r="AA118" s="214"/>
      <x:c r="AB118" s="192"/>
      <x:c r="AC118" s="194"/>
      <x:c r="AD118" s="186" t="str">
        <x:f>IF(COUNTA(B118:H118)+COUNTA(J118:AC118)=0,"",IF(OR(B118="",D118="",E118="",G118="",J118=""),"缺少必填项",IF(H118&gt;G118,"完成数大于订单数",IF(AND(X118="",OR(Y118="排队",Y118="生产中",Y118="阻塞",Z118&lt;&gt;"",AA118&lt;&gt;"",AB118="是")),"已有排期字段缺少机台",IF(AND(X118&lt;&gt;"",Y118="待排"),"已填机台但状态为待排",IF(AND(Y118="生产中",AB118&lt;&gt;"是"),"需确认：生产中未锁定","可导入"))))))</x:f>
      </x:c>
    </x:row>
    <x:row r="119" ht="22" customHeight="1">
      <x:c r="A119" s="186" t="str">
        <x:f>IF(B119="","",ROW()-5)</x:f>
      </x:c>
      <x:c r="B119" s="196"/>
      <x:c r="C119" s="198"/>
      <x:c r="D119" s="196"/>
      <x:c r="E119" s="188"/>
      <x:c r="F119" s="198"/>
      <x:c r="G119" s="202"/>
      <x:c r="H119" s="204"/>
      <x:c r="I119" s="206" t="str">
        <x:f>IF(G119="","",MAX(G119-H119,0))</x:f>
      </x:c>
      <x:c r="J119" s="210"/>
      <x:c r="K119" s="190"/>
      <x:c r="L119" s="208"/>
      <x:c r="M119" s="208"/>
      <x:c r="N119" s="208"/>
      <x:c r="O119" s="208"/>
      <x:c r="P119" s="190"/>
      <x:c r="Q119" s="190"/>
      <x:c r="R119" s="190"/>
      <x:c r="S119" s="190"/>
      <x:c r="T119" s="190"/>
      <x:c r="U119" s="190"/>
      <x:c r="V119" s="212"/>
      <x:c r="W119" s="212"/>
      <x:c r="X119" s="200"/>
      <x:c r="Y119" s="192"/>
      <x:c r="Z119" s="214"/>
      <x:c r="AA119" s="214"/>
      <x:c r="AB119" s="192"/>
      <x:c r="AC119" s="194"/>
      <x:c r="AD119" s="186" t="str">
        <x:f>IF(COUNTA(B119:H119)+COUNTA(J119:AC119)=0,"",IF(OR(B119="",D119="",E119="",G119="",J119=""),"缺少必填项",IF(H119&gt;G119,"完成数大于订单数",IF(AND(X119="",OR(Y119="排队",Y119="生产中",Y119="阻塞",Z119&lt;&gt;"",AA119&lt;&gt;"",AB119="是")),"已有排期字段缺少机台",IF(AND(X119&lt;&gt;"",Y119="待排"),"已填机台但状态为待排",IF(AND(Y119="生产中",AB119&lt;&gt;"是"),"需确认：生产中未锁定","可导入"))))))</x:f>
      </x:c>
    </x:row>
    <x:row r="120" ht="22" customHeight="1">
      <x:c r="A120" s="186" t="str">
        <x:f>IF(B120="","",ROW()-5)</x:f>
      </x:c>
      <x:c r="B120" s="196"/>
      <x:c r="C120" s="198"/>
      <x:c r="D120" s="196"/>
      <x:c r="E120" s="188"/>
      <x:c r="F120" s="198"/>
      <x:c r="G120" s="202"/>
      <x:c r="H120" s="204"/>
      <x:c r="I120" s="206" t="str">
        <x:f>IF(G120="","",MAX(G120-H120,0))</x:f>
      </x:c>
      <x:c r="J120" s="210"/>
      <x:c r="K120" s="190"/>
      <x:c r="L120" s="208"/>
      <x:c r="M120" s="208"/>
      <x:c r="N120" s="208"/>
      <x:c r="O120" s="208"/>
      <x:c r="P120" s="190"/>
      <x:c r="Q120" s="190"/>
      <x:c r="R120" s="190"/>
      <x:c r="S120" s="190"/>
      <x:c r="T120" s="190"/>
      <x:c r="U120" s="190"/>
      <x:c r="V120" s="212"/>
      <x:c r="W120" s="212"/>
      <x:c r="X120" s="200"/>
      <x:c r="Y120" s="192"/>
      <x:c r="Z120" s="214"/>
      <x:c r="AA120" s="214"/>
      <x:c r="AB120" s="192"/>
      <x:c r="AC120" s="194"/>
      <x:c r="AD120" s="186" t="str">
        <x:f>IF(COUNTA(B120:H120)+COUNTA(J120:AC120)=0,"",IF(OR(B120="",D120="",E120="",G120="",J120=""),"缺少必填项",IF(H120&gt;G120,"完成数大于订单数",IF(AND(X120="",OR(Y120="排队",Y120="生产中",Y120="阻塞",Z120&lt;&gt;"",AA120&lt;&gt;"",AB120="是")),"已有排期字段缺少机台",IF(AND(X120&lt;&gt;"",Y120="待排"),"已填机台但状态为待排",IF(AND(Y120="生产中",AB120&lt;&gt;"是"),"需确认：生产中未锁定","可导入"))))))</x:f>
      </x:c>
    </x:row>
    <x:row r="121" ht="22" customHeight="1">
      <x:c r="A121" s="186" t="str">
        <x:f>IF(B121="","",ROW()-5)</x:f>
      </x:c>
      <x:c r="B121" s="196"/>
      <x:c r="C121" s="198"/>
      <x:c r="D121" s="196"/>
      <x:c r="E121" s="188"/>
      <x:c r="F121" s="198"/>
      <x:c r="G121" s="202"/>
      <x:c r="H121" s="204"/>
      <x:c r="I121" s="206" t="str">
        <x:f>IF(G121="","",MAX(G121-H121,0))</x:f>
      </x:c>
      <x:c r="J121" s="210"/>
      <x:c r="K121" s="190"/>
      <x:c r="L121" s="208"/>
      <x:c r="M121" s="208"/>
      <x:c r="N121" s="208"/>
      <x:c r="O121" s="208"/>
      <x:c r="P121" s="190"/>
      <x:c r="Q121" s="190"/>
      <x:c r="R121" s="190"/>
      <x:c r="S121" s="190"/>
      <x:c r="T121" s="190"/>
      <x:c r="U121" s="190"/>
      <x:c r="V121" s="212"/>
      <x:c r="W121" s="212"/>
      <x:c r="X121" s="200"/>
      <x:c r="Y121" s="192"/>
      <x:c r="Z121" s="214"/>
      <x:c r="AA121" s="214"/>
      <x:c r="AB121" s="192"/>
      <x:c r="AC121" s="194"/>
      <x:c r="AD121" s="186" t="str">
        <x:f>IF(COUNTA(B121:H121)+COUNTA(J121:AC121)=0,"",IF(OR(B121="",D121="",E121="",G121="",J121=""),"缺少必填项",IF(H121&gt;G121,"完成数大于订单数",IF(AND(X121="",OR(Y121="排队",Y121="生产中",Y121="阻塞",Z121&lt;&gt;"",AA121&lt;&gt;"",AB121="是")),"已有排期字段缺少机台",IF(AND(X121&lt;&gt;"",Y121="待排"),"已填机台但状态为待排",IF(AND(Y121="生产中",AB121&lt;&gt;"是"),"需确认：生产中未锁定","可导入"))))))</x:f>
      </x:c>
    </x:row>
    <x:row r="122" ht="22" customHeight="1">
      <x:c r="A122" s="186" t="str">
        <x:f>IF(B122="","",ROW()-5)</x:f>
      </x:c>
      <x:c r="B122" s="196"/>
      <x:c r="C122" s="198"/>
      <x:c r="D122" s="196"/>
      <x:c r="E122" s="188"/>
      <x:c r="F122" s="198"/>
      <x:c r="G122" s="202"/>
      <x:c r="H122" s="204"/>
      <x:c r="I122" s="206" t="str">
        <x:f>IF(G122="","",MAX(G122-H122,0))</x:f>
      </x:c>
      <x:c r="J122" s="210"/>
      <x:c r="K122" s="190"/>
      <x:c r="L122" s="208"/>
      <x:c r="M122" s="208"/>
      <x:c r="N122" s="208"/>
      <x:c r="O122" s="208"/>
      <x:c r="P122" s="190"/>
      <x:c r="Q122" s="190"/>
      <x:c r="R122" s="190"/>
      <x:c r="S122" s="190"/>
      <x:c r="T122" s="190"/>
      <x:c r="U122" s="190"/>
      <x:c r="V122" s="212"/>
      <x:c r="W122" s="212"/>
      <x:c r="X122" s="200"/>
      <x:c r="Y122" s="192"/>
      <x:c r="Z122" s="214"/>
      <x:c r="AA122" s="214"/>
      <x:c r="AB122" s="192"/>
      <x:c r="AC122" s="194"/>
      <x:c r="AD122" s="186" t="str">
        <x:f>IF(COUNTA(B122:H122)+COUNTA(J122:AC122)=0,"",IF(OR(B122="",D122="",E122="",G122="",J122=""),"缺少必填项",IF(H122&gt;G122,"完成数大于订单数",IF(AND(X122="",OR(Y122="排队",Y122="生产中",Y122="阻塞",Z122&lt;&gt;"",AA122&lt;&gt;"",AB122="是")),"已有排期字段缺少机台",IF(AND(X122&lt;&gt;"",Y122="待排"),"已填机台但状态为待排",IF(AND(Y122="生产中",AB122&lt;&gt;"是"),"需确认：生产中未锁定","可导入"))))))</x:f>
      </x:c>
    </x:row>
    <x:row r="123" ht="22" customHeight="1">
      <x:c r="A123" s="186" t="str">
        <x:f>IF(B123="","",ROW()-5)</x:f>
      </x:c>
      <x:c r="B123" s="196"/>
      <x:c r="C123" s="198"/>
      <x:c r="D123" s="196"/>
      <x:c r="E123" s="188"/>
      <x:c r="F123" s="198"/>
      <x:c r="G123" s="202"/>
      <x:c r="H123" s="204"/>
      <x:c r="I123" s="206" t="str">
        <x:f>IF(G123="","",MAX(G123-H123,0))</x:f>
      </x:c>
      <x:c r="J123" s="210"/>
      <x:c r="K123" s="190"/>
      <x:c r="L123" s="208"/>
      <x:c r="M123" s="208"/>
      <x:c r="N123" s="208"/>
      <x:c r="O123" s="208"/>
      <x:c r="P123" s="190"/>
      <x:c r="Q123" s="190"/>
      <x:c r="R123" s="190"/>
      <x:c r="S123" s="190"/>
      <x:c r="T123" s="190"/>
      <x:c r="U123" s="190"/>
      <x:c r="V123" s="212"/>
      <x:c r="W123" s="212"/>
      <x:c r="X123" s="200"/>
      <x:c r="Y123" s="192"/>
      <x:c r="Z123" s="214"/>
      <x:c r="AA123" s="214"/>
      <x:c r="AB123" s="192"/>
      <x:c r="AC123" s="194"/>
      <x:c r="AD123" s="186" t="str">
        <x:f>IF(COUNTA(B123:H123)+COUNTA(J123:AC123)=0,"",IF(OR(B123="",D123="",E123="",G123="",J123=""),"缺少必填项",IF(H123&gt;G123,"完成数大于订单数",IF(AND(X123="",OR(Y123="排队",Y123="生产中",Y123="阻塞",Z123&lt;&gt;"",AA123&lt;&gt;"",AB123="是")),"已有排期字段缺少机台",IF(AND(X123&lt;&gt;"",Y123="待排"),"已填机台但状态为待排",IF(AND(Y123="生产中",AB123&lt;&gt;"是"),"需确认：生产中未锁定","可导入"))))))</x:f>
      </x:c>
    </x:row>
    <x:row r="124" ht="22" customHeight="1">
      <x:c r="A124" s="186" t="str">
        <x:f>IF(B124="","",ROW()-5)</x:f>
      </x:c>
      <x:c r="B124" s="196"/>
      <x:c r="C124" s="198"/>
      <x:c r="D124" s="196"/>
      <x:c r="E124" s="188"/>
      <x:c r="F124" s="198"/>
      <x:c r="G124" s="202"/>
      <x:c r="H124" s="204"/>
      <x:c r="I124" s="206" t="str">
        <x:f>IF(G124="","",MAX(G124-H124,0))</x:f>
      </x:c>
      <x:c r="J124" s="210"/>
      <x:c r="K124" s="190"/>
      <x:c r="L124" s="208"/>
      <x:c r="M124" s="208"/>
      <x:c r="N124" s="208"/>
      <x:c r="O124" s="208"/>
      <x:c r="P124" s="190"/>
      <x:c r="Q124" s="190"/>
      <x:c r="R124" s="190"/>
      <x:c r="S124" s="190"/>
      <x:c r="T124" s="190"/>
      <x:c r="U124" s="190"/>
      <x:c r="V124" s="212"/>
      <x:c r="W124" s="212"/>
      <x:c r="X124" s="200"/>
      <x:c r="Y124" s="192"/>
      <x:c r="Z124" s="214"/>
      <x:c r="AA124" s="214"/>
      <x:c r="AB124" s="192"/>
      <x:c r="AC124" s="194"/>
      <x:c r="AD124" s="186" t="str">
        <x:f>IF(COUNTA(B124:H124)+COUNTA(J124:AC124)=0,"",IF(OR(B124="",D124="",E124="",G124="",J124=""),"缺少必填项",IF(H124&gt;G124,"完成数大于订单数",IF(AND(X124="",OR(Y124="排队",Y124="生产中",Y124="阻塞",Z124&lt;&gt;"",AA124&lt;&gt;"",AB124="是")),"已有排期字段缺少机台",IF(AND(X124&lt;&gt;"",Y124="待排"),"已填机台但状态为待排",IF(AND(Y124="生产中",AB124&lt;&gt;"是"),"需确认：生产中未锁定","可导入"))))))</x:f>
      </x:c>
    </x:row>
    <x:row r="125" ht="22" customHeight="1">
      <x:c r="A125" s="186" t="str">
        <x:f>IF(B125="","",ROW()-5)</x:f>
      </x:c>
      <x:c r="B125" s="196"/>
      <x:c r="C125" s="198"/>
      <x:c r="D125" s="196"/>
      <x:c r="E125" s="188"/>
      <x:c r="F125" s="198"/>
      <x:c r="G125" s="202"/>
      <x:c r="H125" s="204"/>
      <x:c r="I125" s="206" t="str">
        <x:f>IF(G125="","",MAX(G125-H125,0))</x:f>
      </x:c>
      <x:c r="J125" s="210"/>
      <x:c r="K125" s="190"/>
      <x:c r="L125" s="208"/>
      <x:c r="M125" s="208"/>
      <x:c r="N125" s="208"/>
      <x:c r="O125" s="208"/>
      <x:c r="P125" s="190"/>
      <x:c r="Q125" s="190"/>
      <x:c r="R125" s="190"/>
      <x:c r="S125" s="190"/>
      <x:c r="T125" s="190"/>
      <x:c r="U125" s="190"/>
      <x:c r="V125" s="212"/>
      <x:c r="W125" s="212"/>
      <x:c r="X125" s="200"/>
      <x:c r="Y125" s="192"/>
      <x:c r="Z125" s="214"/>
      <x:c r="AA125" s="214"/>
      <x:c r="AB125" s="192"/>
      <x:c r="AC125" s="194"/>
      <x:c r="AD125" s="186" t="str">
        <x:f>IF(COUNTA(B125:H125)+COUNTA(J125:AC125)=0,"",IF(OR(B125="",D125="",E125="",G125="",J125=""),"缺少必填项",IF(H125&gt;G125,"完成数大于订单数",IF(AND(X125="",OR(Y125="排队",Y125="生产中",Y125="阻塞",Z125&lt;&gt;"",AA125&lt;&gt;"",AB125="是")),"已有排期字段缺少机台",IF(AND(X125&lt;&gt;"",Y125="待排"),"已填机台但状态为待排",IF(AND(Y125="生产中",AB125&lt;&gt;"是"),"需确认：生产中未锁定","可导入"))))))</x:f>
      </x:c>
    </x:row>
    <x:row r="126" ht="22" customHeight="1">
      <x:c r="A126" s="186" t="str">
        <x:f>IF(B126="","",ROW()-5)</x:f>
      </x:c>
      <x:c r="B126" s="196"/>
      <x:c r="C126" s="198"/>
      <x:c r="D126" s="196"/>
      <x:c r="E126" s="188"/>
      <x:c r="F126" s="198"/>
      <x:c r="G126" s="202"/>
      <x:c r="H126" s="204"/>
      <x:c r="I126" s="206" t="str">
        <x:f>IF(G126="","",MAX(G126-H126,0))</x:f>
      </x:c>
      <x:c r="J126" s="210"/>
      <x:c r="K126" s="190"/>
      <x:c r="L126" s="208"/>
      <x:c r="M126" s="208"/>
      <x:c r="N126" s="208"/>
      <x:c r="O126" s="208"/>
      <x:c r="P126" s="190"/>
      <x:c r="Q126" s="190"/>
      <x:c r="R126" s="190"/>
      <x:c r="S126" s="190"/>
      <x:c r="T126" s="190"/>
      <x:c r="U126" s="190"/>
      <x:c r="V126" s="212"/>
      <x:c r="W126" s="212"/>
      <x:c r="X126" s="200"/>
      <x:c r="Y126" s="192"/>
      <x:c r="Z126" s="214"/>
      <x:c r="AA126" s="214"/>
      <x:c r="AB126" s="192"/>
      <x:c r="AC126" s="194"/>
      <x:c r="AD126" s="186" t="str">
        <x:f>IF(COUNTA(B126:H126)+COUNTA(J126:AC126)=0,"",IF(OR(B126="",D126="",E126="",G126="",J126=""),"缺少必填项",IF(H126&gt;G126,"完成数大于订单数",IF(AND(X126="",OR(Y126="排队",Y126="生产中",Y126="阻塞",Z126&lt;&gt;"",AA126&lt;&gt;"",AB126="是")),"已有排期字段缺少机台",IF(AND(X126&lt;&gt;"",Y126="待排"),"已填机台但状态为待排",IF(AND(Y126="生产中",AB126&lt;&gt;"是"),"需确认：生产中未锁定","可导入"))))))</x:f>
      </x:c>
    </x:row>
    <x:row r="127" ht="22" customHeight="1">
      <x:c r="A127" s="186" t="str">
        <x:f>IF(B127="","",ROW()-5)</x:f>
      </x:c>
      <x:c r="B127" s="196"/>
      <x:c r="C127" s="198"/>
      <x:c r="D127" s="196"/>
      <x:c r="E127" s="188"/>
      <x:c r="F127" s="198"/>
      <x:c r="G127" s="202"/>
      <x:c r="H127" s="204"/>
      <x:c r="I127" s="206" t="str">
        <x:f>IF(G127="","",MAX(G127-H127,0))</x:f>
      </x:c>
      <x:c r="J127" s="210"/>
      <x:c r="K127" s="190"/>
      <x:c r="L127" s="208"/>
      <x:c r="M127" s="208"/>
      <x:c r="N127" s="208"/>
      <x:c r="O127" s="208"/>
      <x:c r="P127" s="190"/>
      <x:c r="Q127" s="190"/>
      <x:c r="R127" s="190"/>
      <x:c r="S127" s="190"/>
      <x:c r="T127" s="190"/>
      <x:c r="U127" s="190"/>
      <x:c r="V127" s="212"/>
      <x:c r="W127" s="212"/>
      <x:c r="X127" s="200"/>
      <x:c r="Y127" s="192"/>
      <x:c r="Z127" s="214"/>
      <x:c r="AA127" s="214"/>
      <x:c r="AB127" s="192"/>
      <x:c r="AC127" s="194"/>
      <x:c r="AD127" s="186" t="str">
        <x:f>IF(COUNTA(B127:H127)+COUNTA(J127:AC127)=0,"",IF(OR(B127="",D127="",E127="",G127="",J127=""),"缺少必填项",IF(H127&gt;G127,"完成数大于订单数",IF(AND(X127="",OR(Y127="排队",Y127="生产中",Y127="阻塞",Z127&lt;&gt;"",AA127&lt;&gt;"",AB127="是")),"已有排期字段缺少机台",IF(AND(X127&lt;&gt;"",Y127="待排"),"已填机台但状态为待排",IF(AND(Y127="生产中",AB127&lt;&gt;"是"),"需确认：生产中未锁定","可导入"))))))</x:f>
      </x:c>
    </x:row>
    <x:row r="128" ht="22" customHeight="1">
      <x:c r="A128" s="186" t="str">
        <x:f>IF(B128="","",ROW()-5)</x:f>
      </x:c>
      <x:c r="B128" s="196"/>
      <x:c r="C128" s="198"/>
      <x:c r="D128" s="196"/>
      <x:c r="E128" s="188"/>
      <x:c r="F128" s="198"/>
      <x:c r="G128" s="202"/>
      <x:c r="H128" s="204"/>
      <x:c r="I128" s="206" t="str">
        <x:f>IF(G128="","",MAX(G128-H128,0))</x:f>
      </x:c>
      <x:c r="J128" s="210"/>
      <x:c r="K128" s="190"/>
      <x:c r="L128" s="208"/>
      <x:c r="M128" s="208"/>
      <x:c r="N128" s="208"/>
      <x:c r="O128" s="208"/>
      <x:c r="P128" s="190"/>
      <x:c r="Q128" s="190"/>
      <x:c r="R128" s="190"/>
      <x:c r="S128" s="190"/>
      <x:c r="T128" s="190"/>
      <x:c r="U128" s="190"/>
      <x:c r="V128" s="212"/>
      <x:c r="W128" s="212"/>
      <x:c r="X128" s="200"/>
      <x:c r="Y128" s="192"/>
      <x:c r="Z128" s="214"/>
      <x:c r="AA128" s="214"/>
      <x:c r="AB128" s="192"/>
      <x:c r="AC128" s="194"/>
      <x:c r="AD128" s="186" t="str">
        <x:f>IF(COUNTA(B128:H128)+COUNTA(J128:AC128)=0,"",IF(OR(B128="",D128="",E128="",G128="",J128=""),"缺少必填项",IF(H128&gt;G128,"完成数大于订单数",IF(AND(X128="",OR(Y128="排队",Y128="生产中",Y128="阻塞",Z128&lt;&gt;"",AA128&lt;&gt;"",AB128="是")),"已有排期字段缺少机台",IF(AND(X128&lt;&gt;"",Y128="待排"),"已填机台但状态为待排",IF(AND(Y128="生产中",AB128&lt;&gt;"是"),"需确认：生产中未锁定","可导入"))))))</x:f>
      </x:c>
    </x:row>
    <x:row r="129" ht="22" customHeight="1">
      <x:c r="A129" s="186" t="str">
        <x:f>IF(B129="","",ROW()-5)</x:f>
      </x:c>
      <x:c r="B129" s="196"/>
      <x:c r="C129" s="198"/>
      <x:c r="D129" s="196"/>
      <x:c r="E129" s="188"/>
      <x:c r="F129" s="198"/>
      <x:c r="G129" s="202"/>
      <x:c r="H129" s="204"/>
      <x:c r="I129" s="206" t="str">
        <x:f>IF(G129="","",MAX(G129-H129,0))</x:f>
      </x:c>
      <x:c r="J129" s="210"/>
      <x:c r="K129" s="190"/>
      <x:c r="L129" s="208"/>
      <x:c r="M129" s="208"/>
      <x:c r="N129" s="208"/>
      <x:c r="O129" s="208"/>
      <x:c r="P129" s="190"/>
      <x:c r="Q129" s="190"/>
      <x:c r="R129" s="190"/>
      <x:c r="S129" s="190"/>
      <x:c r="T129" s="190"/>
      <x:c r="U129" s="190"/>
      <x:c r="V129" s="212"/>
      <x:c r="W129" s="212"/>
      <x:c r="X129" s="200"/>
      <x:c r="Y129" s="192"/>
      <x:c r="Z129" s="214"/>
      <x:c r="AA129" s="214"/>
      <x:c r="AB129" s="192"/>
      <x:c r="AC129" s="194"/>
      <x:c r="AD129" s="186" t="str">
        <x:f>IF(COUNTA(B129:H129)+COUNTA(J129:AC129)=0,"",IF(OR(B129="",D129="",E129="",G129="",J129=""),"缺少必填项",IF(H129&gt;G129,"完成数大于订单数",IF(AND(X129="",OR(Y129="排队",Y129="生产中",Y129="阻塞",Z129&lt;&gt;"",AA129&lt;&gt;"",AB129="是")),"已有排期字段缺少机台",IF(AND(X129&lt;&gt;"",Y129="待排"),"已填机台但状态为待排",IF(AND(Y129="生产中",AB129&lt;&gt;"是"),"需确认：生产中未锁定","可导入"))))))</x:f>
      </x:c>
    </x:row>
    <x:row r="130" ht="22" customHeight="1">
      <x:c r="A130" s="186" t="str">
        <x:f>IF(B130="","",ROW()-5)</x:f>
      </x:c>
      <x:c r="B130" s="196"/>
      <x:c r="C130" s="198"/>
      <x:c r="D130" s="196"/>
      <x:c r="E130" s="188"/>
      <x:c r="F130" s="198"/>
      <x:c r="G130" s="202"/>
      <x:c r="H130" s="204"/>
      <x:c r="I130" s="206" t="str">
        <x:f>IF(G130="","",MAX(G130-H130,0))</x:f>
      </x:c>
      <x:c r="J130" s="210"/>
      <x:c r="K130" s="190"/>
      <x:c r="L130" s="208"/>
      <x:c r="M130" s="208"/>
      <x:c r="N130" s="208"/>
      <x:c r="O130" s="208"/>
      <x:c r="P130" s="190"/>
      <x:c r="Q130" s="190"/>
      <x:c r="R130" s="190"/>
      <x:c r="S130" s="190"/>
      <x:c r="T130" s="190"/>
      <x:c r="U130" s="190"/>
      <x:c r="V130" s="212"/>
      <x:c r="W130" s="212"/>
      <x:c r="X130" s="200"/>
      <x:c r="Y130" s="192"/>
      <x:c r="Z130" s="214"/>
      <x:c r="AA130" s="214"/>
      <x:c r="AB130" s="192"/>
      <x:c r="AC130" s="194"/>
      <x:c r="AD130" s="186" t="str">
        <x:f>IF(COUNTA(B130:H130)+COUNTA(J130:AC130)=0,"",IF(OR(B130="",D130="",E130="",G130="",J130=""),"缺少必填项",IF(H130&gt;G130,"完成数大于订单数",IF(AND(X130="",OR(Y130="排队",Y130="生产中",Y130="阻塞",Z130&lt;&gt;"",AA130&lt;&gt;"",AB130="是")),"已有排期字段缺少机台",IF(AND(X130&lt;&gt;"",Y130="待排"),"已填机台但状态为待排",IF(AND(Y130="生产中",AB130&lt;&gt;"是"),"需确认：生产中未锁定","可导入"))))))</x:f>
      </x:c>
    </x:row>
    <x:row r="131" ht="22" customHeight="1">
      <x:c r="A131" s="186" t="str">
        <x:f>IF(B131="","",ROW()-5)</x:f>
      </x:c>
      <x:c r="B131" s="196"/>
      <x:c r="C131" s="198"/>
      <x:c r="D131" s="196"/>
      <x:c r="E131" s="188"/>
      <x:c r="F131" s="198"/>
      <x:c r="G131" s="202"/>
      <x:c r="H131" s="204"/>
      <x:c r="I131" s="206" t="str">
        <x:f>IF(G131="","",MAX(G131-H131,0))</x:f>
      </x:c>
      <x:c r="J131" s="210"/>
      <x:c r="K131" s="190"/>
      <x:c r="L131" s="208"/>
      <x:c r="M131" s="208"/>
      <x:c r="N131" s="208"/>
      <x:c r="O131" s="208"/>
      <x:c r="P131" s="190"/>
      <x:c r="Q131" s="190"/>
      <x:c r="R131" s="190"/>
      <x:c r="S131" s="190"/>
      <x:c r="T131" s="190"/>
      <x:c r="U131" s="190"/>
      <x:c r="V131" s="212"/>
      <x:c r="W131" s="212"/>
      <x:c r="X131" s="200"/>
      <x:c r="Y131" s="192"/>
      <x:c r="Z131" s="214"/>
      <x:c r="AA131" s="214"/>
      <x:c r="AB131" s="192"/>
      <x:c r="AC131" s="194"/>
      <x:c r="AD131" s="186" t="str">
        <x:f>IF(COUNTA(B131:H131)+COUNTA(J131:AC131)=0,"",IF(OR(B131="",D131="",E131="",G131="",J131=""),"缺少必填项",IF(H131&gt;G131,"完成数大于订单数",IF(AND(X131="",OR(Y131="排队",Y131="生产中",Y131="阻塞",Z131&lt;&gt;"",AA131&lt;&gt;"",AB131="是")),"已有排期字段缺少机台",IF(AND(X131&lt;&gt;"",Y131="待排"),"已填机台但状态为待排",IF(AND(Y131="生产中",AB131&lt;&gt;"是"),"需确认：生产中未锁定","可导入"))))))</x:f>
      </x:c>
    </x:row>
    <x:row r="132" ht="22" customHeight="1">
      <x:c r="A132" s="186" t="str">
        <x:f>IF(B132="","",ROW()-5)</x:f>
      </x:c>
      <x:c r="B132" s="196"/>
      <x:c r="C132" s="198"/>
      <x:c r="D132" s="196"/>
      <x:c r="E132" s="188"/>
      <x:c r="F132" s="198"/>
      <x:c r="G132" s="202"/>
      <x:c r="H132" s="204"/>
      <x:c r="I132" s="206" t="str">
        <x:f>IF(G132="","",MAX(G132-H132,0))</x:f>
      </x:c>
      <x:c r="J132" s="210"/>
      <x:c r="K132" s="190"/>
      <x:c r="L132" s="208"/>
      <x:c r="M132" s="208"/>
      <x:c r="N132" s="208"/>
      <x:c r="O132" s="208"/>
      <x:c r="P132" s="190"/>
      <x:c r="Q132" s="190"/>
      <x:c r="R132" s="190"/>
      <x:c r="S132" s="190"/>
      <x:c r="T132" s="190"/>
      <x:c r="U132" s="190"/>
      <x:c r="V132" s="212"/>
      <x:c r="W132" s="212"/>
      <x:c r="X132" s="200"/>
      <x:c r="Y132" s="192"/>
      <x:c r="Z132" s="214"/>
      <x:c r="AA132" s="214"/>
      <x:c r="AB132" s="192"/>
      <x:c r="AC132" s="194"/>
      <x:c r="AD132" s="186" t="str">
        <x:f>IF(COUNTA(B132:H132)+COUNTA(J132:AC132)=0,"",IF(OR(B132="",D132="",E132="",G132="",J132=""),"缺少必填项",IF(H132&gt;G132,"完成数大于订单数",IF(AND(X132="",OR(Y132="排队",Y132="生产中",Y132="阻塞",Z132&lt;&gt;"",AA132&lt;&gt;"",AB132="是")),"已有排期字段缺少机台",IF(AND(X132&lt;&gt;"",Y132="待排"),"已填机台但状态为待排",IF(AND(Y132="生产中",AB132&lt;&gt;"是"),"需确认：生产中未锁定","可导入"))))))</x:f>
      </x:c>
    </x:row>
    <x:row r="133" ht="22" customHeight="1">
      <x:c r="A133" s="186" t="str">
        <x:f>IF(B133="","",ROW()-5)</x:f>
      </x:c>
      <x:c r="B133" s="196"/>
      <x:c r="C133" s="198"/>
      <x:c r="D133" s="196"/>
      <x:c r="E133" s="188"/>
      <x:c r="F133" s="198"/>
      <x:c r="G133" s="202"/>
      <x:c r="H133" s="204"/>
      <x:c r="I133" s="206" t="str">
        <x:f>IF(G133="","",MAX(G133-H133,0))</x:f>
      </x:c>
      <x:c r="J133" s="210"/>
      <x:c r="K133" s="190"/>
      <x:c r="L133" s="208"/>
      <x:c r="M133" s="208"/>
      <x:c r="N133" s="208"/>
      <x:c r="O133" s="208"/>
      <x:c r="P133" s="190"/>
      <x:c r="Q133" s="190"/>
      <x:c r="R133" s="190"/>
      <x:c r="S133" s="190"/>
      <x:c r="T133" s="190"/>
      <x:c r="U133" s="190"/>
      <x:c r="V133" s="212"/>
      <x:c r="W133" s="212"/>
      <x:c r="X133" s="200"/>
      <x:c r="Y133" s="192"/>
      <x:c r="Z133" s="214"/>
      <x:c r="AA133" s="214"/>
      <x:c r="AB133" s="192"/>
      <x:c r="AC133" s="194"/>
      <x:c r="AD133" s="186" t="str">
        <x:f>IF(COUNTA(B133:H133)+COUNTA(J133:AC133)=0,"",IF(OR(B133="",D133="",E133="",G133="",J133=""),"缺少必填项",IF(H133&gt;G133,"完成数大于订单数",IF(AND(X133="",OR(Y133="排队",Y133="生产中",Y133="阻塞",Z133&lt;&gt;"",AA133&lt;&gt;"",AB133="是")),"已有排期字段缺少机台",IF(AND(X133&lt;&gt;"",Y133="待排"),"已填机台但状态为待排",IF(AND(Y133="生产中",AB133&lt;&gt;"是"),"需确认：生产中未锁定","可导入"))))))</x:f>
      </x:c>
    </x:row>
    <x:row r="134" ht="22" customHeight="1">
      <x:c r="A134" s="186" t="str">
        <x:f>IF(B134="","",ROW()-5)</x:f>
      </x:c>
      <x:c r="B134" s="196"/>
      <x:c r="C134" s="198"/>
      <x:c r="D134" s="196"/>
      <x:c r="E134" s="188"/>
      <x:c r="F134" s="198"/>
      <x:c r="G134" s="202"/>
      <x:c r="H134" s="204"/>
      <x:c r="I134" s="206" t="str">
        <x:f>IF(G134="","",MAX(G134-H134,0))</x:f>
      </x:c>
      <x:c r="J134" s="210"/>
      <x:c r="K134" s="190"/>
      <x:c r="L134" s="208"/>
      <x:c r="M134" s="208"/>
      <x:c r="N134" s="208"/>
      <x:c r="O134" s="208"/>
      <x:c r="P134" s="190"/>
      <x:c r="Q134" s="190"/>
      <x:c r="R134" s="190"/>
      <x:c r="S134" s="190"/>
      <x:c r="T134" s="190"/>
      <x:c r="U134" s="190"/>
      <x:c r="V134" s="212"/>
      <x:c r="W134" s="212"/>
      <x:c r="X134" s="200"/>
      <x:c r="Y134" s="192"/>
      <x:c r="Z134" s="214"/>
      <x:c r="AA134" s="214"/>
      <x:c r="AB134" s="192"/>
      <x:c r="AC134" s="194"/>
      <x:c r="AD134" s="186" t="str">
        <x:f>IF(COUNTA(B134:H134)+COUNTA(J134:AC134)=0,"",IF(OR(B134="",D134="",E134="",G134="",J134=""),"缺少必填项",IF(H134&gt;G134,"完成数大于订单数",IF(AND(X134="",OR(Y134="排队",Y134="生产中",Y134="阻塞",Z134&lt;&gt;"",AA134&lt;&gt;"",AB134="是")),"已有排期字段缺少机台",IF(AND(X134&lt;&gt;"",Y134="待排"),"已填机台但状态为待排",IF(AND(Y134="生产中",AB134&lt;&gt;"是"),"需确认：生产中未锁定","可导入"))))))</x:f>
      </x:c>
    </x:row>
    <x:row r="135" ht="22" customHeight="1">
      <x:c r="A135" s="186" t="str">
        <x:f>IF(B135="","",ROW()-5)</x:f>
      </x:c>
      <x:c r="B135" s="196"/>
      <x:c r="C135" s="198"/>
      <x:c r="D135" s="196"/>
      <x:c r="E135" s="188"/>
      <x:c r="F135" s="198"/>
      <x:c r="G135" s="202"/>
      <x:c r="H135" s="204"/>
      <x:c r="I135" s="206" t="str">
        <x:f>IF(G135="","",MAX(G135-H135,0))</x:f>
      </x:c>
      <x:c r="J135" s="210"/>
      <x:c r="K135" s="190"/>
      <x:c r="L135" s="208"/>
      <x:c r="M135" s="208"/>
      <x:c r="N135" s="208"/>
      <x:c r="O135" s="208"/>
      <x:c r="P135" s="190"/>
      <x:c r="Q135" s="190"/>
      <x:c r="R135" s="190"/>
      <x:c r="S135" s="190"/>
      <x:c r="T135" s="190"/>
      <x:c r="U135" s="190"/>
      <x:c r="V135" s="212"/>
      <x:c r="W135" s="212"/>
      <x:c r="X135" s="200"/>
      <x:c r="Y135" s="192"/>
      <x:c r="Z135" s="214"/>
      <x:c r="AA135" s="214"/>
      <x:c r="AB135" s="192"/>
      <x:c r="AC135" s="194"/>
      <x:c r="AD135" s="186" t="str">
        <x:f>IF(COUNTA(B135:H135)+COUNTA(J135:AC135)=0,"",IF(OR(B135="",D135="",E135="",G135="",J135=""),"缺少必填项",IF(H135&gt;G135,"完成数大于订单数",IF(AND(X135="",OR(Y135="排队",Y135="生产中",Y135="阻塞",Z135&lt;&gt;"",AA135&lt;&gt;"",AB135="是")),"已有排期字段缺少机台",IF(AND(X135&lt;&gt;"",Y135="待排"),"已填机台但状态为待排",IF(AND(Y135="生产中",AB135&lt;&gt;"是"),"需确认：生产中未锁定","可导入"))))))</x:f>
      </x:c>
    </x:row>
    <x:row r="136" ht="22" customHeight="1">
      <x:c r="A136" s="186" t="str">
        <x:f>IF(B136="","",ROW()-5)</x:f>
      </x:c>
      <x:c r="B136" s="196"/>
      <x:c r="C136" s="198"/>
      <x:c r="D136" s="196"/>
      <x:c r="E136" s="188"/>
      <x:c r="F136" s="198"/>
      <x:c r="G136" s="202"/>
      <x:c r="H136" s="204"/>
      <x:c r="I136" s="206" t="str">
        <x:f>IF(G136="","",MAX(G136-H136,0))</x:f>
      </x:c>
      <x:c r="J136" s="210"/>
      <x:c r="K136" s="190"/>
      <x:c r="L136" s="208"/>
      <x:c r="M136" s="208"/>
      <x:c r="N136" s="208"/>
      <x:c r="O136" s="208"/>
      <x:c r="P136" s="190"/>
      <x:c r="Q136" s="190"/>
      <x:c r="R136" s="190"/>
      <x:c r="S136" s="190"/>
      <x:c r="T136" s="190"/>
      <x:c r="U136" s="190"/>
      <x:c r="V136" s="212"/>
      <x:c r="W136" s="212"/>
      <x:c r="X136" s="200"/>
      <x:c r="Y136" s="192"/>
      <x:c r="Z136" s="214"/>
      <x:c r="AA136" s="214"/>
      <x:c r="AB136" s="192"/>
      <x:c r="AC136" s="194"/>
      <x:c r="AD136" s="186" t="str">
        <x:f>IF(COUNTA(B136:H136)+COUNTA(J136:AC136)=0,"",IF(OR(B136="",D136="",E136="",G136="",J136=""),"缺少必填项",IF(H136&gt;G136,"完成数大于订单数",IF(AND(X136="",OR(Y136="排队",Y136="生产中",Y136="阻塞",Z136&lt;&gt;"",AA136&lt;&gt;"",AB136="是")),"已有排期字段缺少机台",IF(AND(X136&lt;&gt;"",Y136="待排"),"已填机台但状态为待排",IF(AND(Y136="生产中",AB136&lt;&gt;"是"),"需确认：生产中未锁定","可导入"))))))</x:f>
      </x:c>
    </x:row>
    <x:row r="137" ht="22" customHeight="1">
      <x:c r="A137" s="186" t="str">
        <x:f>IF(B137="","",ROW()-5)</x:f>
      </x:c>
      <x:c r="B137" s="196"/>
      <x:c r="C137" s="198"/>
      <x:c r="D137" s="196"/>
      <x:c r="E137" s="188"/>
      <x:c r="F137" s="198"/>
      <x:c r="G137" s="202"/>
      <x:c r="H137" s="204"/>
      <x:c r="I137" s="206" t="str">
        <x:f>IF(G137="","",MAX(G137-H137,0))</x:f>
      </x:c>
      <x:c r="J137" s="210"/>
      <x:c r="K137" s="190"/>
      <x:c r="L137" s="208"/>
      <x:c r="M137" s="208"/>
      <x:c r="N137" s="208"/>
      <x:c r="O137" s="208"/>
      <x:c r="P137" s="190"/>
      <x:c r="Q137" s="190"/>
      <x:c r="R137" s="190"/>
      <x:c r="S137" s="190"/>
      <x:c r="T137" s="190"/>
      <x:c r="U137" s="190"/>
      <x:c r="V137" s="212"/>
      <x:c r="W137" s="212"/>
      <x:c r="X137" s="200"/>
      <x:c r="Y137" s="192"/>
      <x:c r="Z137" s="214"/>
      <x:c r="AA137" s="214"/>
      <x:c r="AB137" s="192"/>
      <x:c r="AC137" s="194"/>
      <x:c r="AD137" s="186" t="str">
        <x:f>IF(COUNTA(B137:H137)+COUNTA(J137:AC137)=0,"",IF(OR(B137="",D137="",E137="",G137="",J137=""),"缺少必填项",IF(H137&gt;G137,"完成数大于订单数",IF(AND(X137="",OR(Y137="排队",Y137="生产中",Y137="阻塞",Z137&lt;&gt;"",AA137&lt;&gt;"",AB137="是")),"已有排期字段缺少机台",IF(AND(X137&lt;&gt;"",Y137="待排"),"已填机台但状态为待排",IF(AND(Y137="生产中",AB137&lt;&gt;"是"),"需确认：生产中未锁定","可导入"))))))</x:f>
      </x:c>
    </x:row>
    <x:row r="138" ht="22" customHeight="1">
      <x:c r="A138" s="186" t="str">
        <x:f>IF(B138="","",ROW()-5)</x:f>
      </x:c>
      <x:c r="B138" s="196"/>
      <x:c r="C138" s="198"/>
      <x:c r="D138" s="196"/>
      <x:c r="E138" s="188"/>
      <x:c r="F138" s="198"/>
      <x:c r="G138" s="202"/>
      <x:c r="H138" s="204"/>
      <x:c r="I138" s="206" t="str">
        <x:f>IF(G138="","",MAX(G138-H138,0))</x:f>
      </x:c>
      <x:c r="J138" s="210"/>
      <x:c r="K138" s="190"/>
      <x:c r="L138" s="208"/>
      <x:c r="M138" s="208"/>
      <x:c r="N138" s="208"/>
      <x:c r="O138" s="208"/>
      <x:c r="P138" s="190"/>
      <x:c r="Q138" s="190"/>
      <x:c r="R138" s="190"/>
      <x:c r="S138" s="190"/>
      <x:c r="T138" s="190"/>
      <x:c r="U138" s="190"/>
      <x:c r="V138" s="212"/>
      <x:c r="W138" s="212"/>
      <x:c r="X138" s="200"/>
      <x:c r="Y138" s="192"/>
      <x:c r="Z138" s="214"/>
      <x:c r="AA138" s="214"/>
      <x:c r="AB138" s="192"/>
      <x:c r="AC138" s="194"/>
      <x:c r="AD138" s="186" t="str">
        <x:f>IF(COUNTA(B138:H138)+COUNTA(J138:AC138)=0,"",IF(OR(B138="",D138="",E138="",G138="",J138=""),"缺少必填项",IF(H138&gt;G138,"完成数大于订单数",IF(AND(X138="",OR(Y138="排队",Y138="生产中",Y138="阻塞",Z138&lt;&gt;"",AA138&lt;&gt;"",AB138="是")),"已有排期字段缺少机台",IF(AND(X138&lt;&gt;"",Y138="待排"),"已填机台但状态为待排",IF(AND(Y138="生产中",AB138&lt;&gt;"是"),"需确认：生产中未锁定","可导入"))))))</x:f>
      </x:c>
    </x:row>
    <x:row r="139" ht="22" customHeight="1">
      <x:c r="A139" s="186" t="str">
        <x:f>IF(B139="","",ROW()-5)</x:f>
      </x:c>
      <x:c r="B139" s="196"/>
      <x:c r="C139" s="198"/>
      <x:c r="D139" s="196"/>
      <x:c r="E139" s="188"/>
      <x:c r="F139" s="198"/>
      <x:c r="G139" s="202"/>
      <x:c r="H139" s="204"/>
      <x:c r="I139" s="206" t="str">
        <x:f>IF(G139="","",MAX(G139-H139,0))</x:f>
      </x:c>
      <x:c r="J139" s="210"/>
      <x:c r="K139" s="190"/>
      <x:c r="L139" s="208"/>
      <x:c r="M139" s="208"/>
      <x:c r="N139" s="208"/>
      <x:c r="O139" s="208"/>
      <x:c r="P139" s="190"/>
      <x:c r="Q139" s="190"/>
      <x:c r="R139" s="190"/>
      <x:c r="S139" s="190"/>
      <x:c r="T139" s="190"/>
      <x:c r="U139" s="190"/>
      <x:c r="V139" s="212"/>
      <x:c r="W139" s="212"/>
      <x:c r="X139" s="200"/>
      <x:c r="Y139" s="192"/>
      <x:c r="Z139" s="214"/>
      <x:c r="AA139" s="214"/>
      <x:c r="AB139" s="192"/>
      <x:c r="AC139" s="194"/>
      <x:c r="AD139" s="186" t="str">
        <x:f>IF(COUNTA(B139:H139)+COUNTA(J139:AC139)=0,"",IF(OR(B139="",D139="",E139="",G139="",J139=""),"缺少必填项",IF(H139&gt;G139,"完成数大于订单数",IF(AND(X139="",OR(Y139="排队",Y139="生产中",Y139="阻塞",Z139&lt;&gt;"",AA139&lt;&gt;"",AB139="是")),"已有排期字段缺少机台",IF(AND(X139&lt;&gt;"",Y139="待排"),"已填机台但状态为待排",IF(AND(Y139="生产中",AB139&lt;&gt;"是"),"需确认：生产中未锁定","可导入"))))))</x:f>
      </x:c>
    </x:row>
    <x:row r="140" ht="22" customHeight="1">
      <x:c r="A140" s="186" t="str">
        <x:f>IF(B140="","",ROW()-5)</x:f>
      </x:c>
      <x:c r="B140" s="196"/>
      <x:c r="C140" s="198"/>
      <x:c r="D140" s="196"/>
      <x:c r="E140" s="188"/>
      <x:c r="F140" s="198"/>
      <x:c r="G140" s="202"/>
      <x:c r="H140" s="204"/>
      <x:c r="I140" s="206" t="str">
        <x:f>IF(G140="","",MAX(G140-H140,0))</x:f>
      </x:c>
      <x:c r="J140" s="210"/>
      <x:c r="K140" s="190"/>
      <x:c r="L140" s="208"/>
      <x:c r="M140" s="208"/>
      <x:c r="N140" s="208"/>
      <x:c r="O140" s="208"/>
      <x:c r="P140" s="190"/>
      <x:c r="Q140" s="190"/>
      <x:c r="R140" s="190"/>
      <x:c r="S140" s="190"/>
      <x:c r="T140" s="190"/>
      <x:c r="U140" s="190"/>
      <x:c r="V140" s="212"/>
      <x:c r="W140" s="212"/>
      <x:c r="X140" s="200"/>
      <x:c r="Y140" s="192"/>
      <x:c r="Z140" s="214"/>
      <x:c r="AA140" s="214"/>
      <x:c r="AB140" s="192"/>
      <x:c r="AC140" s="194"/>
      <x:c r="AD140" s="186" t="str">
        <x:f>IF(COUNTA(B140:H140)+COUNTA(J140:AC140)=0,"",IF(OR(B140="",D140="",E140="",G140="",J140=""),"缺少必填项",IF(H140&gt;G140,"完成数大于订单数",IF(AND(X140="",OR(Y140="排队",Y140="生产中",Y140="阻塞",Z140&lt;&gt;"",AA140&lt;&gt;"",AB140="是")),"已有排期字段缺少机台",IF(AND(X140&lt;&gt;"",Y140="待排"),"已填机台但状态为待排",IF(AND(Y140="生产中",AB140&lt;&gt;"是"),"需确认：生产中未锁定","可导入"))))))</x:f>
      </x:c>
    </x:row>
    <x:row r="141" ht="22" customHeight="1">
      <x:c r="A141" s="186" t="str">
        <x:f>IF(B141="","",ROW()-5)</x:f>
      </x:c>
      <x:c r="B141" s="196"/>
      <x:c r="C141" s="198"/>
      <x:c r="D141" s="196"/>
      <x:c r="E141" s="188"/>
      <x:c r="F141" s="198"/>
      <x:c r="G141" s="202"/>
      <x:c r="H141" s="204"/>
      <x:c r="I141" s="206" t="str">
        <x:f>IF(G141="","",MAX(G141-H141,0))</x:f>
      </x:c>
      <x:c r="J141" s="210"/>
      <x:c r="K141" s="190"/>
      <x:c r="L141" s="208"/>
      <x:c r="M141" s="208"/>
      <x:c r="N141" s="208"/>
      <x:c r="O141" s="208"/>
      <x:c r="P141" s="190"/>
      <x:c r="Q141" s="190"/>
      <x:c r="R141" s="190"/>
      <x:c r="S141" s="190"/>
      <x:c r="T141" s="190"/>
      <x:c r="U141" s="190"/>
      <x:c r="V141" s="212"/>
      <x:c r="W141" s="212"/>
      <x:c r="X141" s="200"/>
      <x:c r="Y141" s="192"/>
      <x:c r="Z141" s="214"/>
      <x:c r="AA141" s="214"/>
      <x:c r="AB141" s="192"/>
      <x:c r="AC141" s="194"/>
      <x:c r="AD141" s="186" t="str">
        <x:f>IF(COUNTA(B141:H141)+COUNTA(J141:AC141)=0,"",IF(OR(B141="",D141="",E141="",G141="",J141=""),"缺少必填项",IF(H141&gt;G141,"完成数大于订单数",IF(AND(X141="",OR(Y141="排队",Y141="生产中",Y141="阻塞",Z141&lt;&gt;"",AA141&lt;&gt;"",AB141="是")),"已有排期字段缺少机台",IF(AND(X141&lt;&gt;"",Y141="待排"),"已填机台但状态为待排",IF(AND(Y141="生产中",AB141&lt;&gt;"是"),"需确认：生产中未锁定","可导入"))))))</x:f>
      </x:c>
    </x:row>
    <x:row r="142" ht="22" customHeight="1">
      <x:c r="A142" s="186" t="str">
        <x:f>IF(B142="","",ROW()-5)</x:f>
      </x:c>
      <x:c r="B142" s="196"/>
      <x:c r="C142" s="198"/>
      <x:c r="D142" s="196"/>
      <x:c r="E142" s="188"/>
      <x:c r="F142" s="198"/>
      <x:c r="G142" s="202"/>
      <x:c r="H142" s="204"/>
      <x:c r="I142" s="206" t="str">
        <x:f>IF(G142="","",MAX(G142-H142,0))</x:f>
      </x:c>
      <x:c r="J142" s="210"/>
      <x:c r="K142" s="190"/>
      <x:c r="L142" s="208"/>
      <x:c r="M142" s="208"/>
      <x:c r="N142" s="208"/>
      <x:c r="O142" s="208"/>
      <x:c r="P142" s="190"/>
      <x:c r="Q142" s="190"/>
      <x:c r="R142" s="190"/>
      <x:c r="S142" s="190"/>
      <x:c r="T142" s="190"/>
      <x:c r="U142" s="190"/>
      <x:c r="V142" s="212"/>
      <x:c r="W142" s="212"/>
      <x:c r="X142" s="200"/>
      <x:c r="Y142" s="192"/>
      <x:c r="Z142" s="214"/>
      <x:c r="AA142" s="214"/>
      <x:c r="AB142" s="192"/>
      <x:c r="AC142" s="194"/>
      <x:c r="AD142" s="186" t="str">
        <x:f>IF(COUNTA(B142:H142)+COUNTA(J142:AC142)=0,"",IF(OR(B142="",D142="",E142="",G142="",J142=""),"缺少必填项",IF(H142&gt;G142,"完成数大于订单数",IF(AND(X142="",OR(Y142="排队",Y142="生产中",Y142="阻塞",Z142&lt;&gt;"",AA142&lt;&gt;"",AB142="是")),"已有排期字段缺少机台",IF(AND(X142&lt;&gt;"",Y142="待排"),"已填机台但状态为待排",IF(AND(Y142="生产中",AB142&lt;&gt;"是"),"需确认：生产中未锁定","可导入"))))))</x:f>
      </x:c>
    </x:row>
    <x:row r="143" ht="22" customHeight="1">
      <x:c r="A143" s="186" t="str">
        <x:f>IF(B143="","",ROW()-5)</x:f>
      </x:c>
      <x:c r="B143" s="196"/>
      <x:c r="C143" s="198"/>
      <x:c r="D143" s="196"/>
      <x:c r="E143" s="188"/>
      <x:c r="F143" s="198"/>
      <x:c r="G143" s="202"/>
      <x:c r="H143" s="204"/>
      <x:c r="I143" s="206" t="str">
        <x:f>IF(G143="","",MAX(G143-H143,0))</x:f>
      </x:c>
      <x:c r="J143" s="210"/>
      <x:c r="K143" s="190"/>
      <x:c r="L143" s="208"/>
      <x:c r="M143" s="208"/>
      <x:c r="N143" s="208"/>
      <x:c r="O143" s="208"/>
      <x:c r="P143" s="190"/>
      <x:c r="Q143" s="190"/>
      <x:c r="R143" s="190"/>
      <x:c r="S143" s="190"/>
      <x:c r="T143" s="190"/>
      <x:c r="U143" s="190"/>
      <x:c r="V143" s="212"/>
      <x:c r="W143" s="212"/>
      <x:c r="X143" s="200"/>
      <x:c r="Y143" s="192"/>
      <x:c r="Z143" s="214"/>
      <x:c r="AA143" s="214"/>
      <x:c r="AB143" s="192"/>
      <x:c r="AC143" s="194"/>
      <x:c r="AD143" s="186" t="str">
        <x:f>IF(COUNTA(B143:H143)+COUNTA(J143:AC143)=0,"",IF(OR(B143="",D143="",E143="",G143="",J143=""),"缺少必填项",IF(H143&gt;G143,"完成数大于订单数",IF(AND(X143="",OR(Y143="排队",Y143="生产中",Y143="阻塞",Z143&lt;&gt;"",AA143&lt;&gt;"",AB143="是")),"已有排期字段缺少机台",IF(AND(X143&lt;&gt;"",Y143="待排"),"已填机台但状态为待排",IF(AND(Y143="生产中",AB143&lt;&gt;"是"),"需确认：生产中未锁定","可导入"))))))</x:f>
      </x:c>
    </x:row>
    <x:row r="144" ht="22" customHeight="1">
      <x:c r="A144" s="186" t="str">
        <x:f>IF(B144="","",ROW()-5)</x:f>
      </x:c>
      <x:c r="B144" s="196"/>
      <x:c r="C144" s="198"/>
      <x:c r="D144" s="196"/>
      <x:c r="E144" s="188"/>
      <x:c r="F144" s="198"/>
      <x:c r="G144" s="202"/>
      <x:c r="H144" s="204"/>
      <x:c r="I144" s="206" t="str">
        <x:f>IF(G144="","",MAX(G144-H144,0))</x:f>
      </x:c>
      <x:c r="J144" s="210"/>
      <x:c r="K144" s="190"/>
      <x:c r="L144" s="208"/>
      <x:c r="M144" s="208"/>
      <x:c r="N144" s="208"/>
      <x:c r="O144" s="208"/>
      <x:c r="P144" s="190"/>
      <x:c r="Q144" s="190"/>
      <x:c r="R144" s="190"/>
      <x:c r="S144" s="190"/>
      <x:c r="T144" s="190"/>
      <x:c r="U144" s="190"/>
      <x:c r="V144" s="212"/>
      <x:c r="W144" s="212"/>
      <x:c r="X144" s="200"/>
      <x:c r="Y144" s="192"/>
      <x:c r="Z144" s="214"/>
      <x:c r="AA144" s="214"/>
      <x:c r="AB144" s="192"/>
      <x:c r="AC144" s="194"/>
      <x:c r="AD144" s="186" t="str">
        <x:f>IF(COUNTA(B144:H144)+COUNTA(J144:AC144)=0,"",IF(OR(B144="",D144="",E144="",G144="",J144=""),"缺少必填项",IF(H144&gt;G144,"完成数大于订单数",IF(AND(X144="",OR(Y144="排队",Y144="生产中",Y144="阻塞",Z144&lt;&gt;"",AA144&lt;&gt;"",AB144="是")),"已有排期字段缺少机台",IF(AND(X144&lt;&gt;"",Y144="待排"),"已填机台但状态为待排",IF(AND(Y144="生产中",AB144&lt;&gt;"是"),"需确认：生产中未锁定","可导入"))))))</x:f>
      </x:c>
    </x:row>
    <x:row r="145" ht="22" customHeight="1">
      <x:c r="A145" s="186" t="str">
        <x:f>IF(B145="","",ROW()-5)</x:f>
      </x:c>
      <x:c r="B145" s="196"/>
      <x:c r="C145" s="198"/>
      <x:c r="D145" s="196"/>
      <x:c r="E145" s="188"/>
      <x:c r="F145" s="198"/>
      <x:c r="G145" s="202"/>
      <x:c r="H145" s="204"/>
      <x:c r="I145" s="206" t="str">
        <x:f>IF(G145="","",MAX(G145-H145,0))</x:f>
      </x:c>
      <x:c r="J145" s="210"/>
      <x:c r="K145" s="190"/>
      <x:c r="L145" s="208"/>
      <x:c r="M145" s="208"/>
      <x:c r="N145" s="208"/>
      <x:c r="O145" s="208"/>
      <x:c r="P145" s="190"/>
      <x:c r="Q145" s="190"/>
      <x:c r="R145" s="190"/>
      <x:c r="S145" s="190"/>
      <x:c r="T145" s="190"/>
      <x:c r="U145" s="190"/>
      <x:c r="V145" s="212"/>
      <x:c r="W145" s="212"/>
      <x:c r="X145" s="200"/>
      <x:c r="Y145" s="192"/>
      <x:c r="Z145" s="214"/>
      <x:c r="AA145" s="214"/>
      <x:c r="AB145" s="192"/>
      <x:c r="AC145" s="194"/>
      <x:c r="AD145" s="186" t="str">
        <x:f>IF(COUNTA(B145:H145)+COUNTA(J145:AC145)=0,"",IF(OR(B145="",D145="",E145="",G145="",J145=""),"缺少必填项",IF(H145&gt;G145,"完成数大于订单数",IF(AND(X145="",OR(Y145="排队",Y145="生产中",Y145="阻塞",Z145&lt;&gt;"",AA145&lt;&gt;"",AB145="是")),"已有排期字段缺少机台",IF(AND(X145&lt;&gt;"",Y145="待排"),"已填机台但状态为待排",IF(AND(Y145="生产中",AB145&lt;&gt;"是"),"需确认：生产中未锁定","可导入"))))))</x:f>
      </x:c>
    </x:row>
    <x:row r="146" ht="22" customHeight="1">
      <x:c r="A146" s="186" t="str">
        <x:f>IF(B146="","",ROW()-5)</x:f>
      </x:c>
      <x:c r="B146" s="196"/>
      <x:c r="C146" s="198"/>
      <x:c r="D146" s="196"/>
      <x:c r="E146" s="188"/>
      <x:c r="F146" s="198"/>
      <x:c r="G146" s="202"/>
      <x:c r="H146" s="204"/>
      <x:c r="I146" s="206" t="str">
        <x:f>IF(G146="","",MAX(G146-H146,0))</x:f>
      </x:c>
      <x:c r="J146" s="210"/>
      <x:c r="K146" s="190"/>
      <x:c r="L146" s="208"/>
      <x:c r="M146" s="208"/>
      <x:c r="N146" s="208"/>
      <x:c r="O146" s="208"/>
      <x:c r="P146" s="190"/>
      <x:c r="Q146" s="190"/>
      <x:c r="R146" s="190"/>
      <x:c r="S146" s="190"/>
      <x:c r="T146" s="190"/>
      <x:c r="U146" s="190"/>
      <x:c r="V146" s="212"/>
      <x:c r="W146" s="212"/>
      <x:c r="X146" s="200"/>
      <x:c r="Y146" s="192"/>
      <x:c r="Z146" s="214"/>
      <x:c r="AA146" s="214"/>
      <x:c r="AB146" s="192"/>
      <x:c r="AC146" s="194"/>
      <x:c r="AD146" s="186" t="str">
        <x:f>IF(COUNTA(B146:H146)+COUNTA(J146:AC146)=0,"",IF(OR(B146="",D146="",E146="",G146="",J146=""),"缺少必填项",IF(H146&gt;G146,"完成数大于订单数",IF(AND(X146="",OR(Y146="排队",Y146="生产中",Y146="阻塞",Z146&lt;&gt;"",AA146&lt;&gt;"",AB146="是")),"已有排期字段缺少机台",IF(AND(X146&lt;&gt;"",Y146="待排"),"已填机台但状态为待排",IF(AND(Y146="生产中",AB146&lt;&gt;"是"),"需确认：生产中未锁定","可导入"))))))</x:f>
      </x:c>
    </x:row>
    <x:row r="147" ht="22" customHeight="1">
      <x:c r="A147" s="186" t="str">
        <x:f>IF(B147="","",ROW()-5)</x:f>
      </x:c>
      <x:c r="B147" s="196"/>
      <x:c r="C147" s="198"/>
      <x:c r="D147" s="196"/>
      <x:c r="E147" s="188"/>
      <x:c r="F147" s="198"/>
      <x:c r="G147" s="202"/>
      <x:c r="H147" s="204"/>
      <x:c r="I147" s="206" t="str">
        <x:f>IF(G147="","",MAX(G147-H147,0))</x:f>
      </x:c>
      <x:c r="J147" s="210"/>
      <x:c r="K147" s="190"/>
      <x:c r="L147" s="208"/>
      <x:c r="M147" s="208"/>
      <x:c r="N147" s="208"/>
      <x:c r="O147" s="208"/>
      <x:c r="P147" s="190"/>
      <x:c r="Q147" s="190"/>
      <x:c r="R147" s="190"/>
      <x:c r="S147" s="190"/>
      <x:c r="T147" s="190"/>
      <x:c r="U147" s="190"/>
      <x:c r="V147" s="212"/>
      <x:c r="W147" s="212"/>
      <x:c r="X147" s="200"/>
      <x:c r="Y147" s="192"/>
      <x:c r="Z147" s="214"/>
      <x:c r="AA147" s="214"/>
      <x:c r="AB147" s="192"/>
      <x:c r="AC147" s="194"/>
      <x:c r="AD147" s="186" t="str">
        <x:f>IF(COUNTA(B147:H147)+COUNTA(J147:AC147)=0,"",IF(OR(B147="",D147="",E147="",G147="",J147=""),"缺少必填项",IF(H147&gt;G147,"完成数大于订单数",IF(AND(X147="",OR(Y147="排队",Y147="生产中",Y147="阻塞",Z147&lt;&gt;"",AA147&lt;&gt;"",AB147="是")),"已有排期字段缺少机台",IF(AND(X147&lt;&gt;"",Y147="待排"),"已填机台但状态为待排",IF(AND(Y147="生产中",AB147&lt;&gt;"是"),"需确认：生产中未锁定","可导入"))))))</x:f>
      </x:c>
    </x:row>
    <x:row r="148" ht="22" customHeight="1">
      <x:c r="A148" s="186" t="str">
        <x:f>IF(B148="","",ROW()-5)</x:f>
      </x:c>
      <x:c r="B148" s="196"/>
      <x:c r="C148" s="198"/>
      <x:c r="D148" s="196"/>
      <x:c r="E148" s="188"/>
      <x:c r="F148" s="198"/>
      <x:c r="G148" s="202"/>
      <x:c r="H148" s="204"/>
      <x:c r="I148" s="206" t="str">
        <x:f>IF(G148="","",MAX(G148-H148,0))</x:f>
      </x:c>
      <x:c r="J148" s="210"/>
      <x:c r="K148" s="190"/>
      <x:c r="L148" s="208"/>
      <x:c r="M148" s="208"/>
      <x:c r="N148" s="208"/>
      <x:c r="O148" s="208"/>
      <x:c r="P148" s="190"/>
      <x:c r="Q148" s="190"/>
      <x:c r="R148" s="190"/>
      <x:c r="S148" s="190"/>
      <x:c r="T148" s="190"/>
      <x:c r="U148" s="190"/>
      <x:c r="V148" s="212"/>
      <x:c r="W148" s="212"/>
      <x:c r="X148" s="200"/>
      <x:c r="Y148" s="192"/>
      <x:c r="Z148" s="214"/>
      <x:c r="AA148" s="214"/>
      <x:c r="AB148" s="192"/>
      <x:c r="AC148" s="194"/>
      <x:c r="AD148" s="186" t="str">
        <x:f>IF(COUNTA(B148:H148)+COUNTA(J148:AC148)=0,"",IF(OR(B148="",D148="",E148="",G148="",J148=""),"缺少必填项",IF(H148&gt;G148,"完成数大于订单数",IF(AND(X148="",OR(Y148="排队",Y148="生产中",Y148="阻塞",Z148&lt;&gt;"",AA148&lt;&gt;"",AB148="是")),"已有排期字段缺少机台",IF(AND(X148&lt;&gt;"",Y148="待排"),"已填机台但状态为待排",IF(AND(Y148="生产中",AB148&lt;&gt;"是"),"需确认：生产中未锁定","可导入"))))))</x:f>
      </x:c>
    </x:row>
    <x:row r="149" ht="22" customHeight="1">
      <x:c r="A149" s="186" t="str">
        <x:f>IF(B149="","",ROW()-5)</x:f>
      </x:c>
      <x:c r="B149" s="196"/>
      <x:c r="C149" s="198"/>
      <x:c r="D149" s="196"/>
      <x:c r="E149" s="188"/>
      <x:c r="F149" s="198"/>
      <x:c r="G149" s="202"/>
      <x:c r="H149" s="204"/>
      <x:c r="I149" s="206" t="str">
        <x:f>IF(G149="","",MAX(G149-H149,0))</x:f>
      </x:c>
      <x:c r="J149" s="210"/>
      <x:c r="K149" s="190"/>
      <x:c r="L149" s="208"/>
      <x:c r="M149" s="208"/>
      <x:c r="N149" s="208"/>
      <x:c r="O149" s="208"/>
      <x:c r="P149" s="190"/>
      <x:c r="Q149" s="190"/>
      <x:c r="R149" s="190"/>
      <x:c r="S149" s="190"/>
      <x:c r="T149" s="190"/>
      <x:c r="U149" s="190"/>
      <x:c r="V149" s="212"/>
      <x:c r="W149" s="212"/>
      <x:c r="X149" s="200"/>
      <x:c r="Y149" s="192"/>
      <x:c r="Z149" s="214"/>
      <x:c r="AA149" s="214"/>
      <x:c r="AB149" s="192"/>
      <x:c r="AC149" s="194"/>
      <x:c r="AD149" s="186" t="str">
        <x:f>IF(COUNTA(B149:H149)+COUNTA(J149:AC149)=0,"",IF(OR(B149="",D149="",E149="",G149="",J149=""),"缺少必填项",IF(H149&gt;G149,"完成数大于订单数",IF(AND(X149="",OR(Y149="排队",Y149="生产中",Y149="阻塞",Z149&lt;&gt;"",AA149&lt;&gt;"",AB149="是")),"已有排期字段缺少机台",IF(AND(X149&lt;&gt;"",Y149="待排"),"已填机台但状态为待排",IF(AND(Y149="生产中",AB149&lt;&gt;"是"),"需确认：生产中未锁定","可导入"))))))</x:f>
      </x:c>
    </x:row>
    <x:row r="150" ht="22" customHeight="1">
      <x:c r="A150" s="186" t="str">
        <x:f>IF(B150="","",ROW()-5)</x:f>
      </x:c>
      <x:c r="B150" s="196"/>
      <x:c r="C150" s="198"/>
      <x:c r="D150" s="196"/>
      <x:c r="E150" s="188"/>
      <x:c r="F150" s="198"/>
      <x:c r="G150" s="202"/>
      <x:c r="H150" s="204"/>
      <x:c r="I150" s="206" t="str">
        <x:f>IF(G150="","",MAX(G150-H150,0))</x:f>
      </x:c>
      <x:c r="J150" s="210"/>
      <x:c r="K150" s="190"/>
      <x:c r="L150" s="208"/>
      <x:c r="M150" s="208"/>
      <x:c r="N150" s="208"/>
      <x:c r="O150" s="208"/>
      <x:c r="P150" s="190"/>
      <x:c r="Q150" s="190"/>
      <x:c r="R150" s="190"/>
      <x:c r="S150" s="190"/>
      <x:c r="T150" s="190"/>
      <x:c r="U150" s="190"/>
      <x:c r="V150" s="212"/>
      <x:c r="W150" s="212"/>
      <x:c r="X150" s="200"/>
      <x:c r="Y150" s="192"/>
      <x:c r="Z150" s="214"/>
      <x:c r="AA150" s="214"/>
      <x:c r="AB150" s="192"/>
      <x:c r="AC150" s="194"/>
      <x:c r="AD150" s="186" t="str">
        <x:f>IF(COUNTA(B150:H150)+COUNTA(J150:AC150)=0,"",IF(OR(B150="",D150="",E150="",G150="",J150=""),"缺少必填项",IF(H150&gt;G150,"完成数大于订单数",IF(AND(X150="",OR(Y150="排队",Y150="生产中",Y150="阻塞",Z150&lt;&gt;"",AA150&lt;&gt;"",AB150="是")),"已有排期字段缺少机台",IF(AND(X150&lt;&gt;"",Y150="待排"),"已填机台但状态为待排",IF(AND(Y150="生产中",AB150&lt;&gt;"是"),"需确认：生产中未锁定","可导入"))))))</x:f>
      </x:c>
    </x:row>
    <x:row r="151" ht="22" customHeight="1">
      <x:c r="A151" s="186" t="str">
        <x:f>IF(B151="","",ROW()-5)</x:f>
      </x:c>
      <x:c r="B151" s="196"/>
      <x:c r="C151" s="198"/>
      <x:c r="D151" s="196"/>
      <x:c r="E151" s="188"/>
      <x:c r="F151" s="198"/>
      <x:c r="G151" s="202"/>
      <x:c r="H151" s="204"/>
      <x:c r="I151" s="206" t="str">
        <x:f>IF(G151="","",MAX(G151-H151,0))</x:f>
      </x:c>
      <x:c r="J151" s="210"/>
      <x:c r="K151" s="190"/>
      <x:c r="L151" s="208"/>
      <x:c r="M151" s="208"/>
      <x:c r="N151" s="208"/>
      <x:c r="O151" s="208"/>
      <x:c r="P151" s="190"/>
      <x:c r="Q151" s="190"/>
      <x:c r="R151" s="190"/>
      <x:c r="S151" s="190"/>
      <x:c r="T151" s="190"/>
      <x:c r="U151" s="190"/>
      <x:c r="V151" s="212"/>
      <x:c r="W151" s="212"/>
      <x:c r="X151" s="200"/>
      <x:c r="Y151" s="192"/>
      <x:c r="Z151" s="214"/>
      <x:c r="AA151" s="214"/>
      <x:c r="AB151" s="192"/>
      <x:c r="AC151" s="194"/>
      <x:c r="AD151" s="186" t="str">
        <x:f>IF(COUNTA(B151:H151)+COUNTA(J151:AC151)=0,"",IF(OR(B151="",D151="",E151="",G151="",J151=""),"缺少必填项",IF(H151&gt;G151,"完成数大于订单数",IF(AND(X151="",OR(Y151="排队",Y151="生产中",Y151="阻塞",Z151&lt;&gt;"",AA151&lt;&gt;"",AB151="是")),"已有排期字段缺少机台",IF(AND(X151&lt;&gt;"",Y151="待排"),"已填机台但状态为待排",IF(AND(Y151="生产中",AB151&lt;&gt;"是"),"需确认：生产中未锁定","可导入"))))))</x:f>
      </x:c>
    </x:row>
    <x:row r="152" ht="22" customHeight="1">
      <x:c r="A152" s="186" t="str">
        <x:f>IF(B152="","",ROW()-5)</x:f>
      </x:c>
      <x:c r="B152" s="196"/>
      <x:c r="C152" s="198"/>
      <x:c r="D152" s="196"/>
      <x:c r="E152" s="188"/>
      <x:c r="F152" s="198"/>
      <x:c r="G152" s="202"/>
      <x:c r="H152" s="204"/>
      <x:c r="I152" s="206" t="str">
        <x:f>IF(G152="","",MAX(G152-H152,0))</x:f>
      </x:c>
      <x:c r="J152" s="210"/>
      <x:c r="K152" s="190"/>
      <x:c r="L152" s="208"/>
      <x:c r="M152" s="208"/>
      <x:c r="N152" s="208"/>
      <x:c r="O152" s="208"/>
      <x:c r="P152" s="190"/>
      <x:c r="Q152" s="190"/>
      <x:c r="R152" s="190"/>
      <x:c r="S152" s="190"/>
      <x:c r="T152" s="190"/>
      <x:c r="U152" s="190"/>
      <x:c r="V152" s="212"/>
      <x:c r="W152" s="212"/>
      <x:c r="X152" s="200"/>
      <x:c r="Y152" s="192"/>
      <x:c r="Z152" s="214"/>
      <x:c r="AA152" s="214"/>
      <x:c r="AB152" s="192"/>
      <x:c r="AC152" s="194"/>
      <x:c r="AD152" s="186" t="str">
        <x:f>IF(COUNTA(B152:H152)+COUNTA(J152:AC152)=0,"",IF(OR(B152="",D152="",E152="",G152="",J152=""),"缺少必填项",IF(H152&gt;G152,"完成数大于订单数",IF(AND(X152="",OR(Y152="排队",Y152="生产中",Y152="阻塞",Z152&lt;&gt;"",AA152&lt;&gt;"",AB152="是")),"已有排期字段缺少机台",IF(AND(X152&lt;&gt;"",Y152="待排"),"已填机台但状态为待排",IF(AND(Y152="生产中",AB152&lt;&gt;"是"),"需确认：生产中未锁定","可导入"))))))</x:f>
      </x:c>
    </x:row>
    <x:row r="153" ht="22" customHeight="1">
      <x:c r="A153" s="186" t="str">
        <x:f>IF(B153="","",ROW()-5)</x:f>
      </x:c>
      <x:c r="B153" s="196"/>
      <x:c r="C153" s="198"/>
      <x:c r="D153" s="196"/>
      <x:c r="E153" s="188"/>
      <x:c r="F153" s="198"/>
      <x:c r="G153" s="202"/>
      <x:c r="H153" s="204"/>
      <x:c r="I153" s="206" t="str">
        <x:f>IF(G153="","",MAX(G153-H153,0))</x:f>
      </x:c>
      <x:c r="J153" s="210"/>
      <x:c r="K153" s="190"/>
      <x:c r="L153" s="208"/>
      <x:c r="M153" s="208"/>
      <x:c r="N153" s="208"/>
      <x:c r="O153" s="208"/>
      <x:c r="P153" s="190"/>
      <x:c r="Q153" s="190"/>
      <x:c r="R153" s="190"/>
      <x:c r="S153" s="190"/>
      <x:c r="T153" s="190"/>
      <x:c r="U153" s="190"/>
      <x:c r="V153" s="212"/>
      <x:c r="W153" s="212"/>
      <x:c r="X153" s="200"/>
      <x:c r="Y153" s="192"/>
      <x:c r="Z153" s="214"/>
      <x:c r="AA153" s="214"/>
      <x:c r="AB153" s="192"/>
      <x:c r="AC153" s="194"/>
      <x:c r="AD153" s="186" t="str">
        <x:f>IF(COUNTA(B153:H153)+COUNTA(J153:AC153)=0,"",IF(OR(B153="",D153="",E153="",G153="",J153=""),"缺少必填项",IF(H153&gt;G153,"完成数大于订单数",IF(AND(X153="",OR(Y153="排队",Y153="生产中",Y153="阻塞",Z153&lt;&gt;"",AA153&lt;&gt;"",AB153="是")),"已有排期字段缺少机台",IF(AND(X153&lt;&gt;"",Y153="待排"),"已填机台但状态为待排",IF(AND(Y153="生产中",AB153&lt;&gt;"是"),"需确认：生产中未锁定","可导入"))))))</x:f>
      </x:c>
    </x:row>
    <x:row r="154" ht="22" customHeight="1">
      <x:c r="A154" s="186" t="str">
        <x:f>IF(B154="","",ROW()-5)</x:f>
      </x:c>
      <x:c r="B154" s="196"/>
      <x:c r="C154" s="198"/>
      <x:c r="D154" s="196"/>
      <x:c r="E154" s="188"/>
      <x:c r="F154" s="198"/>
      <x:c r="G154" s="202"/>
      <x:c r="H154" s="204"/>
      <x:c r="I154" s="206" t="str">
        <x:f>IF(G154="","",MAX(G154-H154,0))</x:f>
      </x:c>
      <x:c r="J154" s="210"/>
      <x:c r="K154" s="190"/>
      <x:c r="L154" s="208"/>
      <x:c r="M154" s="208"/>
      <x:c r="N154" s="208"/>
      <x:c r="O154" s="208"/>
      <x:c r="P154" s="190"/>
      <x:c r="Q154" s="190"/>
      <x:c r="R154" s="190"/>
      <x:c r="S154" s="190"/>
      <x:c r="T154" s="190"/>
      <x:c r="U154" s="190"/>
      <x:c r="V154" s="212"/>
      <x:c r="W154" s="212"/>
      <x:c r="X154" s="200"/>
      <x:c r="Y154" s="192"/>
      <x:c r="Z154" s="214"/>
      <x:c r="AA154" s="214"/>
      <x:c r="AB154" s="192"/>
      <x:c r="AC154" s="194"/>
      <x:c r="AD154" s="186" t="str">
        <x:f>IF(COUNTA(B154:H154)+COUNTA(J154:AC154)=0,"",IF(OR(B154="",D154="",E154="",G154="",J154=""),"缺少必填项",IF(H154&gt;G154,"完成数大于订单数",IF(AND(X154="",OR(Y154="排队",Y154="生产中",Y154="阻塞",Z154&lt;&gt;"",AA154&lt;&gt;"",AB154="是")),"已有排期字段缺少机台",IF(AND(X154&lt;&gt;"",Y154="待排"),"已填机台但状态为待排",IF(AND(Y154="生产中",AB154&lt;&gt;"是"),"需确认：生产中未锁定","可导入"))))))</x:f>
      </x:c>
    </x:row>
    <x:row r="155" ht="22" customHeight="1">
      <x:c r="A155" s="186" t="str">
        <x:f>IF(B155="","",ROW()-5)</x:f>
      </x:c>
      <x:c r="B155" s="196"/>
      <x:c r="C155" s="198"/>
      <x:c r="D155" s="196"/>
      <x:c r="E155" s="188"/>
      <x:c r="F155" s="198"/>
      <x:c r="G155" s="202"/>
      <x:c r="H155" s="204"/>
      <x:c r="I155" s="206" t="str">
        <x:f>IF(G155="","",MAX(G155-H155,0))</x:f>
      </x:c>
      <x:c r="J155" s="210"/>
      <x:c r="K155" s="190"/>
      <x:c r="L155" s="208"/>
      <x:c r="M155" s="208"/>
      <x:c r="N155" s="208"/>
      <x:c r="O155" s="208"/>
      <x:c r="P155" s="190"/>
      <x:c r="Q155" s="190"/>
      <x:c r="R155" s="190"/>
      <x:c r="S155" s="190"/>
      <x:c r="T155" s="190"/>
      <x:c r="U155" s="190"/>
      <x:c r="V155" s="212"/>
      <x:c r="W155" s="212"/>
      <x:c r="X155" s="200"/>
      <x:c r="Y155" s="192"/>
      <x:c r="Z155" s="214"/>
      <x:c r="AA155" s="214"/>
      <x:c r="AB155" s="192"/>
      <x:c r="AC155" s="194"/>
      <x:c r="AD155" s="186" t="str">
        <x:f>IF(COUNTA(B155:H155)+COUNTA(J155:AC155)=0,"",IF(OR(B155="",D155="",E155="",G155="",J155=""),"缺少必填项",IF(H155&gt;G155,"完成数大于订单数",IF(AND(X155="",OR(Y155="排队",Y155="生产中",Y155="阻塞",Z155&lt;&gt;"",AA155&lt;&gt;"",AB155="是")),"已有排期字段缺少机台",IF(AND(X155&lt;&gt;"",Y155="待排"),"已填机台但状态为待排",IF(AND(Y155="生产中",AB155&lt;&gt;"是"),"需确认：生产中未锁定","可导入"))))))</x:f>
      </x:c>
    </x:row>
    <x:row r="156" ht="22" customHeight="1">
      <x:c r="A156" s="186" t="str">
        <x:f>IF(B156="","",ROW()-5)</x:f>
      </x:c>
      <x:c r="B156" s="196"/>
      <x:c r="C156" s="198"/>
      <x:c r="D156" s="196"/>
      <x:c r="E156" s="188"/>
      <x:c r="F156" s="198"/>
      <x:c r="G156" s="202"/>
      <x:c r="H156" s="204"/>
      <x:c r="I156" s="206" t="str">
        <x:f>IF(G156="","",MAX(G156-H156,0))</x:f>
      </x:c>
      <x:c r="J156" s="210"/>
      <x:c r="K156" s="190"/>
      <x:c r="L156" s="208"/>
      <x:c r="M156" s="208"/>
      <x:c r="N156" s="208"/>
      <x:c r="O156" s="208"/>
      <x:c r="P156" s="190"/>
      <x:c r="Q156" s="190"/>
      <x:c r="R156" s="190"/>
      <x:c r="S156" s="190"/>
      <x:c r="T156" s="190"/>
      <x:c r="U156" s="190"/>
      <x:c r="V156" s="212"/>
      <x:c r="W156" s="212"/>
      <x:c r="X156" s="200"/>
      <x:c r="Y156" s="192"/>
      <x:c r="Z156" s="214"/>
      <x:c r="AA156" s="214"/>
      <x:c r="AB156" s="192"/>
      <x:c r="AC156" s="194"/>
      <x:c r="AD156" s="186" t="str">
        <x:f>IF(COUNTA(B156:H156)+COUNTA(J156:AC156)=0,"",IF(OR(B156="",D156="",E156="",G156="",J156=""),"缺少必填项",IF(H156&gt;G156,"完成数大于订单数",IF(AND(X156="",OR(Y156="排队",Y156="生产中",Y156="阻塞",Z156&lt;&gt;"",AA156&lt;&gt;"",AB156="是")),"已有排期字段缺少机台",IF(AND(X156&lt;&gt;"",Y156="待排"),"已填机台但状态为待排",IF(AND(Y156="生产中",AB156&lt;&gt;"是"),"需确认：生产中未锁定","可导入"))))))</x:f>
      </x:c>
    </x:row>
    <x:row r="157" ht="22" customHeight="1">
      <x:c r="A157" s="186" t="str">
        <x:f>IF(B157="","",ROW()-5)</x:f>
      </x:c>
      <x:c r="B157" s="196"/>
      <x:c r="C157" s="198"/>
      <x:c r="D157" s="196"/>
      <x:c r="E157" s="188"/>
      <x:c r="F157" s="198"/>
      <x:c r="G157" s="202"/>
      <x:c r="H157" s="204"/>
      <x:c r="I157" s="206" t="str">
        <x:f>IF(G157="","",MAX(G157-H157,0))</x:f>
      </x:c>
      <x:c r="J157" s="210"/>
      <x:c r="K157" s="190"/>
      <x:c r="L157" s="208"/>
      <x:c r="M157" s="208"/>
      <x:c r="N157" s="208"/>
      <x:c r="O157" s="208"/>
      <x:c r="P157" s="190"/>
      <x:c r="Q157" s="190"/>
      <x:c r="R157" s="190"/>
      <x:c r="S157" s="190"/>
      <x:c r="T157" s="190"/>
      <x:c r="U157" s="190"/>
      <x:c r="V157" s="212"/>
      <x:c r="W157" s="212"/>
      <x:c r="X157" s="200"/>
      <x:c r="Y157" s="192"/>
      <x:c r="Z157" s="214"/>
      <x:c r="AA157" s="214"/>
      <x:c r="AB157" s="192"/>
      <x:c r="AC157" s="194"/>
      <x:c r="AD157" s="186" t="str">
        <x:f>IF(COUNTA(B157:H157)+COUNTA(J157:AC157)=0,"",IF(OR(B157="",D157="",E157="",G157="",J157=""),"缺少必填项",IF(H157&gt;G157,"完成数大于订单数",IF(AND(X157="",OR(Y157="排队",Y157="生产中",Y157="阻塞",Z157&lt;&gt;"",AA157&lt;&gt;"",AB157="是")),"已有排期字段缺少机台",IF(AND(X157&lt;&gt;"",Y157="待排"),"已填机台但状态为待排",IF(AND(Y157="生产中",AB157&lt;&gt;"是"),"需确认：生产中未锁定","可导入"))))))</x:f>
      </x:c>
    </x:row>
    <x:row r="158" ht="22" customHeight="1">
      <x:c r="A158" s="186" t="str">
        <x:f>IF(B158="","",ROW()-5)</x:f>
      </x:c>
      <x:c r="B158" s="196"/>
      <x:c r="C158" s="198"/>
      <x:c r="D158" s="196"/>
      <x:c r="E158" s="188"/>
      <x:c r="F158" s="198"/>
      <x:c r="G158" s="202"/>
      <x:c r="H158" s="204"/>
      <x:c r="I158" s="206" t="str">
        <x:f>IF(G158="","",MAX(G158-H158,0))</x:f>
      </x:c>
      <x:c r="J158" s="210"/>
      <x:c r="K158" s="190"/>
      <x:c r="L158" s="208"/>
      <x:c r="M158" s="208"/>
      <x:c r="N158" s="208"/>
      <x:c r="O158" s="208"/>
      <x:c r="P158" s="190"/>
      <x:c r="Q158" s="190"/>
      <x:c r="R158" s="190"/>
      <x:c r="S158" s="190"/>
      <x:c r="T158" s="190"/>
      <x:c r="U158" s="190"/>
      <x:c r="V158" s="212"/>
      <x:c r="W158" s="212"/>
      <x:c r="X158" s="200"/>
      <x:c r="Y158" s="192"/>
      <x:c r="Z158" s="214"/>
      <x:c r="AA158" s="214"/>
      <x:c r="AB158" s="192"/>
      <x:c r="AC158" s="194"/>
      <x:c r="AD158" s="186" t="str">
        <x:f>IF(COUNTA(B158:H158)+COUNTA(J158:AC158)=0,"",IF(OR(B158="",D158="",E158="",G158="",J158=""),"缺少必填项",IF(H158&gt;G158,"完成数大于订单数",IF(AND(X158="",OR(Y158="排队",Y158="生产中",Y158="阻塞",Z158&lt;&gt;"",AA158&lt;&gt;"",AB158="是")),"已有排期字段缺少机台",IF(AND(X158&lt;&gt;"",Y158="待排"),"已填机台但状态为待排",IF(AND(Y158="生产中",AB158&lt;&gt;"是"),"需确认：生产中未锁定","可导入"))))))</x:f>
      </x:c>
    </x:row>
    <x:row r="159" ht="22" customHeight="1">
      <x:c r="A159" s="186" t="str">
        <x:f>IF(B159="","",ROW()-5)</x:f>
      </x:c>
      <x:c r="B159" s="196"/>
      <x:c r="C159" s="198"/>
      <x:c r="D159" s="196"/>
      <x:c r="E159" s="188"/>
      <x:c r="F159" s="198"/>
      <x:c r="G159" s="202"/>
      <x:c r="H159" s="204"/>
      <x:c r="I159" s="206" t="str">
        <x:f>IF(G159="","",MAX(G159-H159,0))</x:f>
      </x:c>
      <x:c r="J159" s="210"/>
      <x:c r="K159" s="190"/>
      <x:c r="L159" s="208"/>
      <x:c r="M159" s="208"/>
      <x:c r="N159" s="208"/>
      <x:c r="O159" s="208"/>
      <x:c r="P159" s="190"/>
      <x:c r="Q159" s="190"/>
      <x:c r="R159" s="190"/>
      <x:c r="S159" s="190"/>
      <x:c r="T159" s="190"/>
      <x:c r="U159" s="190"/>
      <x:c r="V159" s="212"/>
      <x:c r="W159" s="212"/>
      <x:c r="X159" s="200"/>
      <x:c r="Y159" s="192"/>
      <x:c r="Z159" s="214"/>
      <x:c r="AA159" s="214"/>
      <x:c r="AB159" s="192"/>
      <x:c r="AC159" s="194"/>
      <x:c r="AD159" s="186" t="str">
        <x:f>IF(COUNTA(B159:H159)+COUNTA(J159:AC159)=0,"",IF(OR(B159="",D159="",E159="",G159="",J159=""),"缺少必填项",IF(H159&gt;G159,"完成数大于订单数",IF(AND(X159="",OR(Y159="排队",Y159="生产中",Y159="阻塞",Z159&lt;&gt;"",AA159&lt;&gt;"",AB159="是")),"已有排期字段缺少机台",IF(AND(X159&lt;&gt;"",Y159="待排"),"已填机台但状态为待排",IF(AND(Y159="生产中",AB159&lt;&gt;"是"),"需确认：生产中未锁定","可导入"))))))</x:f>
      </x:c>
    </x:row>
    <x:row r="160" ht="22" customHeight="1">
      <x:c r="A160" s="186" t="str">
        <x:f>IF(B160="","",ROW()-5)</x:f>
      </x:c>
      <x:c r="B160" s="196"/>
      <x:c r="C160" s="198"/>
      <x:c r="D160" s="196"/>
      <x:c r="E160" s="188"/>
      <x:c r="F160" s="198"/>
      <x:c r="G160" s="202"/>
      <x:c r="H160" s="204"/>
      <x:c r="I160" s="206" t="str">
        <x:f>IF(G160="","",MAX(G160-H160,0))</x:f>
      </x:c>
      <x:c r="J160" s="210"/>
      <x:c r="K160" s="190"/>
      <x:c r="L160" s="208"/>
      <x:c r="M160" s="208"/>
      <x:c r="N160" s="208"/>
      <x:c r="O160" s="208"/>
      <x:c r="P160" s="190"/>
      <x:c r="Q160" s="190"/>
      <x:c r="R160" s="190"/>
      <x:c r="S160" s="190"/>
      <x:c r="T160" s="190"/>
      <x:c r="U160" s="190"/>
      <x:c r="V160" s="212"/>
      <x:c r="W160" s="212"/>
      <x:c r="X160" s="200"/>
      <x:c r="Y160" s="192"/>
      <x:c r="Z160" s="214"/>
      <x:c r="AA160" s="214"/>
      <x:c r="AB160" s="192"/>
      <x:c r="AC160" s="194"/>
      <x:c r="AD160" s="186" t="str">
        <x:f>IF(COUNTA(B160:H160)+COUNTA(J160:AC160)=0,"",IF(OR(B160="",D160="",E160="",G160="",J160=""),"缺少必填项",IF(H160&gt;G160,"完成数大于订单数",IF(AND(X160="",OR(Y160="排队",Y160="生产中",Y160="阻塞",Z160&lt;&gt;"",AA160&lt;&gt;"",AB160="是")),"已有排期字段缺少机台",IF(AND(X160&lt;&gt;"",Y160="待排"),"已填机台但状态为待排",IF(AND(Y160="生产中",AB160&lt;&gt;"是"),"需确认：生产中未锁定","可导入"))))))</x:f>
      </x:c>
    </x:row>
    <x:row r="161" ht="22" customHeight="1">
      <x:c r="A161" s="186" t="str">
        <x:f>IF(B161="","",ROW()-5)</x:f>
      </x:c>
      <x:c r="B161" s="196"/>
      <x:c r="C161" s="198"/>
      <x:c r="D161" s="196"/>
      <x:c r="E161" s="188"/>
      <x:c r="F161" s="198"/>
      <x:c r="G161" s="202"/>
      <x:c r="H161" s="204"/>
      <x:c r="I161" s="206" t="str">
        <x:f>IF(G161="","",MAX(G161-H161,0))</x:f>
      </x:c>
      <x:c r="J161" s="210"/>
      <x:c r="K161" s="190"/>
      <x:c r="L161" s="208"/>
      <x:c r="M161" s="208"/>
      <x:c r="N161" s="208"/>
      <x:c r="O161" s="208"/>
      <x:c r="P161" s="190"/>
      <x:c r="Q161" s="190"/>
      <x:c r="R161" s="190"/>
      <x:c r="S161" s="190"/>
      <x:c r="T161" s="190"/>
      <x:c r="U161" s="190"/>
      <x:c r="V161" s="212"/>
      <x:c r="W161" s="212"/>
      <x:c r="X161" s="200"/>
      <x:c r="Y161" s="192"/>
      <x:c r="Z161" s="214"/>
      <x:c r="AA161" s="214"/>
      <x:c r="AB161" s="192"/>
      <x:c r="AC161" s="194"/>
      <x:c r="AD161" s="186" t="str">
        <x:f>IF(COUNTA(B161:H161)+COUNTA(J161:AC161)=0,"",IF(OR(B161="",D161="",E161="",G161="",J161=""),"缺少必填项",IF(H161&gt;G161,"完成数大于订单数",IF(AND(X161="",OR(Y161="排队",Y161="生产中",Y161="阻塞",Z161&lt;&gt;"",AA161&lt;&gt;"",AB161="是")),"已有排期字段缺少机台",IF(AND(X161&lt;&gt;"",Y161="待排"),"已填机台但状态为待排",IF(AND(Y161="生产中",AB161&lt;&gt;"是"),"需确认：生产中未锁定","可导入"))))))</x:f>
      </x:c>
    </x:row>
    <x:row r="162" ht="22" customHeight="1">
      <x:c r="A162" s="186" t="str">
        <x:f>IF(B162="","",ROW()-5)</x:f>
      </x:c>
      <x:c r="B162" s="196"/>
      <x:c r="C162" s="198"/>
      <x:c r="D162" s="196"/>
      <x:c r="E162" s="188"/>
      <x:c r="F162" s="198"/>
      <x:c r="G162" s="202"/>
      <x:c r="H162" s="204"/>
      <x:c r="I162" s="206" t="str">
        <x:f>IF(G162="","",MAX(G162-H162,0))</x:f>
      </x:c>
      <x:c r="J162" s="210"/>
      <x:c r="K162" s="190"/>
      <x:c r="L162" s="208"/>
      <x:c r="M162" s="208"/>
      <x:c r="N162" s="208"/>
      <x:c r="O162" s="208"/>
      <x:c r="P162" s="190"/>
      <x:c r="Q162" s="190"/>
      <x:c r="R162" s="190"/>
      <x:c r="S162" s="190"/>
      <x:c r="T162" s="190"/>
      <x:c r="U162" s="190"/>
      <x:c r="V162" s="212"/>
      <x:c r="W162" s="212"/>
      <x:c r="X162" s="200"/>
      <x:c r="Y162" s="192"/>
      <x:c r="Z162" s="214"/>
      <x:c r="AA162" s="214"/>
      <x:c r="AB162" s="192"/>
      <x:c r="AC162" s="194"/>
      <x:c r="AD162" s="186" t="str">
        <x:f>IF(COUNTA(B162:H162)+COUNTA(J162:AC162)=0,"",IF(OR(B162="",D162="",E162="",G162="",J162=""),"缺少必填项",IF(H162&gt;G162,"完成数大于订单数",IF(AND(X162="",OR(Y162="排队",Y162="生产中",Y162="阻塞",Z162&lt;&gt;"",AA162&lt;&gt;"",AB162="是")),"已有排期字段缺少机台",IF(AND(X162&lt;&gt;"",Y162="待排"),"已填机台但状态为待排",IF(AND(Y162="生产中",AB162&lt;&gt;"是"),"需确认：生产中未锁定","可导入"))))))</x:f>
      </x:c>
    </x:row>
    <x:row r="163" ht="22" customHeight="1">
      <x:c r="A163" s="186" t="str">
        <x:f>IF(B163="","",ROW()-5)</x:f>
      </x:c>
      <x:c r="B163" s="196"/>
      <x:c r="C163" s="198"/>
      <x:c r="D163" s="196"/>
      <x:c r="E163" s="188"/>
      <x:c r="F163" s="198"/>
      <x:c r="G163" s="202"/>
      <x:c r="H163" s="204"/>
      <x:c r="I163" s="206" t="str">
        <x:f>IF(G163="","",MAX(G163-H163,0))</x:f>
      </x:c>
      <x:c r="J163" s="210"/>
      <x:c r="K163" s="190"/>
      <x:c r="L163" s="208"/>
      <x:c r="M163" s="208"/>
      <x:c r="N163" s="208"/>
      <x:c r="O163" s="208"/>
      <x:c r="P163" s="190"/>
      <x:c r="Q163" s="190"/>
      <x:c r="R163" s="190"/>
      <x:c r="S163" s="190"/>
      <x:c r="T163" s="190"/>
      <x:c r="U163" s="190"/>
      <x:c r="V163" s="212"/>
      <x:c r="W163" s="212"/>
      <x:c r="X163" s="200"/>
      <x:c r="Y163" s="192"/>
      <x:c r="Z163" s="214"/>
      <x:c r="AA163" s="214"/>
      <x:c r="AB163" s="192"/>
      <x:c r="AC163" s="194"/>
      <x:c r="AD163" s="186" t="str">
        <x:f>IF(COUNTA(B163:H163)+COUNTA(J163:AC163)=0,"",IF(OR(B163="",D163="",E163="",G163="",J163=""),"缺少必填项",IF(H163&gt;G163,"完成数大于订单数",IF(AND(X163="",OR(Y163="排队",Y163="生产中",Y163="阻塞",Z163&lt;&gt;"",AA163&lt;&gt;"",AB163="是")),"已有排期字段缺少机台",IF(AND(X163&lt;&gt;"",Y163="待排"),"已填机台但状态为待排",IF(AND(Y163="生产中",AB163&lt;&gt;"是"),"需确认：生产中未锁定","可导入"))))))</x:f>
      </x:c>
    </x:row>
    <x:row r="164" ht="22" customHeight="1">
      <x:c r="A164" s="186" t="str">
        <x:f>IF(B164="","",ROW()-5)</x:f>
      </x:c>
      <x:c r="B164" s="196"/>
      <x:c r="C164" s="198"/>
      <x:c r="D164" s="196"/>
      <x:c r="E164" s="188"/>
      <x:c r="F164" s="198"/>
      <x:c r="G164" s="202"/>
      <x:c r="H164" s="204"/>
      <x:c r="I164" s="206" t="str">
        <x:f>IF(G164="","",MAX(G164-H164,0))</x:f>
      </x:c>
      <x:c r="J164" s="210"/>
      <x:c r="K164" s="190"/>
      <x:c r="L164" s="208"/>
      <x:c r="M164" s="208"/>
      <x:c r="N164" s="208"/>
      <x:c r="O164" s="208"/>
      <x:c r="P164" s="190"/>
      <x:c r="Q164" s="190"/>
      <x:c r="R164" s="190"/>
      <x:c r="S164" s="190"/>
      <x:c r="T164" s="190"/>
      <x:c r="U164" s="190"/>
      <x:c r="V164" s="212"/>
      <x:c r="W164" s="212"/>
      <x:c r="X164" s="200"/>
      <x:c r="Y164" s="192"/>
      <x:c r="Z164" s="214"/>
      <x:c r="AA164" s="214"/>
      <x:c r="AB164" s="192"/>
      <x:c r="AC164" s="194"/>
      <x:c r="AD164" s="186" t="str">
        <x:f>IF(COUNTA(B164:H164)+COUNTA(J164:AC164)=0,"",IF(OR(B164="",D164="",E164="",G164="",J164=""),"缺少必填项",IF(H164&gt;G164,"完成数大于订单数",IF(AND(X164="",OR(Y164="排队",Y164="生产中",Y164="阻塞",Z164&lt;&gt;"",AA164&lt;&gt;"",AB164="是")),"已有排期字段缺少机台",IF(AND(X164&lt;&gt;"",Y164="待排"),"已填机台但状态为待排",IF(AND(Y164="生产中",AB164&lt;&gt;"是"),"需确认：生产中未锁定","可导入"))))))</x:f>
      </x:c>
    </x:row>
    <x:row r="165" ht="22" customHeight="1">
      <x:c r="A165" s="186" t="str">
        <x:f>IF(B165="","",ROW()-5)</x:f>
      </x:c>
      <x:c r="B165" s="196"/>
      <x:c r="C165" s="198"/>
      <x:c r="D165" s="196"/>
      <x:c r="E165" s="188"/>
      <x:c r="F165" s="198"/>
      <x:c r="G165" s="202"/>
      <x:c r="H165" s="204"/>
      <x:c r="I165" s="206" t="str">
        <x:f>IF(G165="","",MAX(G165-H165,0))</x:f>
      </x:c>
      <x:c r="J165" s="210"/>
      <x:c r="K165" s="190"/>
      <x:c r="L165" s="208"/>
      <x:c r="M165" s="208"/>
      <x:c r="N165" s="208"/>
      <x:c r="O165" s="208"/>
      <x:c r="P165" s="190"/>
      <x:c r="Q165" s="190"/>
      <x:c r="R165" s="190"/>
      <x:c r="S165" s="190"/>
      <x:c r="T165" s="190"/>
      <x:c r="U165" s="190"/>
      <x:c r="V165" s="212"/>
      <x:c r="W165" s="212"/>
      <x:c r="X165" s="200"/>
      <x:c r="Y165" s="192"/>
      <x:c r="Z165" s="214"/>
      <x:c r="AA165" s="214"/>
      <x:c r="AB165" s="192"/>
      <x:c r="AC165" s="194"/>
      <x:c r="AD165" s="186" t="str">
        <x:f>IF(COUNTA(B165:H165)+COUNTA(J165:AC165)=0,"",IF(OR(B165="",D165="",E165="",G165="",J165=""),"缺少必填项",IF(H165&gt;G165,"完成数大于订单数",IF(AND(X165="",OR(Y165="排队",Y165="生产中",Y165="阻塞",Z165&lt;&gt;"",AA165&lt;&gt;"",AB165="是")),"已有排期字段缺少机台",IF(AND(X165&lt;&gt;"",Y165="待排"),"已填机台但状态为待排",IF(AND(Y165="生产中",AB165&lt;&gt;"是"),"需确认：生产中未锁定","可导入"))))))</x:f>
      </x:c>
    </x:row>
    <x:row r="166" ht="22" customHeight="1">
      <x:c r="A166" s="186" t="str">
        <x:f>IF(B166="","",ROW()-5)</x:f>
      </x:c>
      <x:c r="B166" s="196"/>
      <x:c r="C166" s="198"/>
      <x:c r="D166" s="196"/>
      <x:c r="E166" s="188"/>
      <x:c r="F166" s="198"/>
      <x:c r="G166" s="202"/>
      <x:c r="H166" s="204"/>
      <x:c r="I166" s="206" t="str">
        <x:f>IF(G166="","",MAX(G166-H166,0))</x:f>
      </x:c>
      <x:c r="J166" s="210"/>
      <x:c r="K166" s="190"/>
      <x:c r="L166" s="208"/>
      <x:c r="M166" s="208"/>
      <x:c r="N166" s="208"/>
      <x:c r="O166" s="208"/>
      <x:c r="P166" s="190"/>
      <x:c r="Q166" s="190"/>
      <x:c r="R166" s="190"/>
      <x:c r="S166" s="190"/>
      <x:c r="T166" s="190"/>
      <x:c r="U166" s="190"/>
      <x:c r="V166" s="212"/>
      <x:c r="W166" s="212"/>
      <x:c r="X166" s="200"/>
      <x:c r="Y166" s="192"/>
      <x:c r="Z166" s="214"/>
      <x:c r="AA166" s="214"/>
      <x:c r="AB166" s="192"/>
      <x:c r="AC166" s="194"/>
      <x:c r="AD166" s="186" t="str">
        <x:f>IF(COUNTA(B166:H166)+COUNTA(J166:AC166)=0,"",IF(OR(B166="",D166="",E166="",G166="",J166=""),"缺少必填项",IF(H166&gt;G166,"完成数大于订单数",IF(AND(X166="",OR(Y166="排队",Y166="生产中",Y166="阻塞",Z166&lt;&gt;"",AA166&lt;&gt;"",AB166="是")),"已有排期字段缺少机台",IF(AND(X166&lt;&gt;"",Y166="待排"),"已填机台但状态为待排",IF(AND(Y166="生产中",AB166&lt;&gt;"是"),"需确认：生产中未锁定","可导入"))))))</x:f>
      </x:c>
    </x:row>
    <x:row r="167" ht="22" customHeight="1">
      <x:c r="A167" s="186" t="str">
        <x:f>IF(B167="","",ROW()-5)</x:f>
      </x:c>
      <x:c r="B167" s="196"/>
      <x:c r="C167" s="198"/>
      <x:c r="D167" s="196"/>
      <x:c r="E167" s="188"/>
      <x:c r="F167" s="198"/>
      <x:c r="G167" s="202"/>
      <x:c r="H167" s="204"/>
      <x:c r="I167" s="206" t="str">
        <x:f>IF(G167="","",MAX(G167-H167,0))</x:f>
      </x:c>
      <x:c r="J167" s="210"/>
      <x:c r="K167" s="190"/>
      <x:c r="L167" s="208"/>
      <x:c r="M167" s="208"/>
      <x:c r="N167" s="208"/>
      <x:c r="O167" s="208"/>
      <x:c r="P167" s="190"/>
      <x:c r="Q167" s="190"/>
      <x:c r="R167" s="190"/>
      <x:c r="S167" s="190"/>
      <x:c r="T167" s="190"/>
      <x:c r="U167" s="190"/>
      <x:c r="V167" s="212"/>
      <x:c r="W167" s="212"/>
      <x:c r="X167" s="200"/>
      <x:c r="Y167" s="192"/>
      <x:c r="Z167" s="214"/>
      <x:c r="AA167" s="214"/>
      <x:c r="AB167" s="192"/>
      <x:c r="AC167" s="194"/>
      <x:c r="AD167" s="186" t="str">
        <x:f>IF(COUNTA(B167:H167)+COUNTA(J167:AC167)=0,"",IF(OR(B167="",D167="",E167="",G167="",J167=""),"缺少必填项",IF(H167&gt;G167,"完成数大于订单数",IF(AND(X167="",OR(Y167="排队",Y167="生产中",Y167="阻塞",Z167&lt;&gt;"",AA167&lt;&gt;"",AB167="是")),"已有排期字段缺少机台",IF(AND(X167&lt;&gt;"",Y167="待排"),"已填机台但状态为待排",IF(AND(Y167="生产中",AB167&lt;&gt;"是"),"需确认：生产中未锁定","可导入"))))))</x:f>
      </x:c>
    </x:row>
    <x:row r="168" ht="22" customHeight="1">
      <x:c r="A168" s="186" t="str">
        <x:f>IF(B168="","",ROW()-5)</x:f>
      </x:c>
      <x:c r="B168" s="196"/>
      <x:c r="C168" s="198"/>
      <x:c r="D168" s="196"/>
      <x:c r="E168" s="188"/>
      <x:c r="F168" s="198"/>
      <x:c r="G168" s="202"/>
      <x:c r="H168" s="204"/>
      <x:c r="I168" s="206" t="str">
        <x:f>IF(G168="","",MAX(G168-H168,0))</x:f>
      </x:c>
      <x:c r="J168" s="210"/>
      <x:c r="K168" s="190"/>
      <x:c r="L168" s="208"/>
      <x:c r="M168" s="208"/>
      <x:c r="N168" s="208"/>
      <x:c r="O168" s="208"/>
      <x:c r="P168" s="190"/>
      <x:c r="Q168" s="190"/>
      <x:c r="R168" s="190"/>
      <x:c r="S168" s="190"/>
      <x:c r="T168" s="190"/>
      <x:c r="U168" s="190"/>
      <x:c r="V168" s="212"/>
      <x:c r="W168" s="212"/>
      <x:c r="X168" s="200"/>
      <x:c r="Y168" s="192"/>
      <x:c r="Z168" s="214"/>
      <x:c r="AA168" s="214"/>
      <x:c r="AB168" s="192"/>
      <x:c r="AC168" s="194"/>
      <x:c r="AD168" s="186" t="str">
        <x:f>IF(COUNTA(B168:H168)+COUNTA(J168:AC168)=0,"",IF(OR(B168="",D168="",E168="",G168="",J168=""),"缺少必填项",IF(H168&gt;G168,"完成数大于订单数",IF(AND(X168="",OR(Y168="排队",Y168="生产中",Y168="阻塞",Z168&lt;&gt;"",AA168&lt;&gt;"",AB168="是")),"已有排期字段缺少机台",IF(AND(X168&lt;&gt;"",Y168="待排"),"已填机台但状态为待排",IF(AND(Y168="生产中",AB168&lt;&gt;"是"),"需确认：生产中未锁定","可导入"))))))</x:f>
      </x:c>
    </x:row>
    <x:row r="169" ht="22" customHeight="1">
      <x:c r="A169" s="186" t="str">
        <x:f>IF(B169="","",ROW()-5)</x:f>
      </x:c>
      <x:c r="B169" s="196"/>
      <x:c r="C169" s="198"/>
      <x:c r="D169" s="196"/>
      <x:c r="E169" s="188"/>
      <x:c r="F169" s="198"/>
      <x:c r="G169" s="202"/>
      <x:c r="H169" s="204"/>
      <x:c r="I169" s="206" t="str">
        <x:f>IF(G169="","",MAX(G169-H169,0))</x:f>
      </x:c>
      <x:c r="J169" s="210"/>
      <x:c r="K169" s="190"/>
      <x:c r="L169" s="208"/>
      <x:c r="M169" s="208"/>
      <x:c r="N169" s="208"/>
      <x:c r="O169" s="208"/>
      <x:c r="P169" s="190"/>
      <x:c r="Q169" s="190"/>
      <x:c r="R169" s="190"/>
      <x:c r="S169" s="190"/>
      <x:c r="T169" s="190"/>
      <x:c r="U169" s="190"/>
      <x:c r="V169" s="212"/>
      <x:c r="W169" s="212"/>
      <x:c r="X169" s="200"/>
      <x:c r="Y169" s="192"/>
      <x:c r="Z169" s="214"/>
      <x:c r="AA169" s="214"/>
      <x:c r="AB169" s="192"/>
      <x:c r="AC169" s="194"/>
      <x:c r="AD169" s="186" t="str">
        <x:f>IF(COUNTA(B169:H169)+COUNTA(J169:AC169)=0,"",IF(OR(B169="",D169="",E169="",G169="",J169=""),"缺少必填项",IF(H169&gt;G169,"完成数大于订单数",IF(AND(X169="",OR(Y169="排队",Y169="生产中",Y169="阻塞",Z169&lt;&gt;"",AA169&lt;&gt;"",AB169="是")),"已有排期字段缺少机台",IF(AND(X169&lt;&gt;"",Y169="待排"),"已填机台但状态为待排",IF(AND(Y169="生产中",AB169&lt;&gt;"是"),"需确认：生产中未锁定","可导入"))))))</x:f>
      </x:c>
    </x:row>
    <x:row r="170" ht="22" customHeight="1">
      <x:c r="A170" s="186" t="str">
        <x:f>IF(B170="","",ROW()-5)</x:f>
      </x:c>
      <x:c r="B170" s="196"/>
      <x:c r="C170" s="198"/>
      <x:c r="D170" s="196"/>
      <x:c r="E170" s="188"/>
      <x:c r="F170" s="198"/>
      <x:c r="G170" s="202"/>
      <x:c r="H170" s="204"/>
      <x:c r="I170" s="206" t="str">
        <x:f>IF(G170="","",MAX(G170-H170,0))</x:f>
      </x:c>
      <x:c r="J170" s="210"/>
      <x:c r="K170" s="190"/>
      <x:c r="L170" s="208"/>
      <x:c r="M170" s="208"/>
      <x:c r="N170" s="208"/>
      <x:c r="O170" s="208"/>
      <x:c r="P170" s="190"/>
      <x:c r="Q170" s="190"/>
      <x:c r="R170" s="190"/>
      <x:c r="S170" s="190"/>
      <x:c r="T170" s="190"/>
      <x:c r="U170" s="190"/>
      <x:c r="V170" s="212"/>
      <x:c r="W170" s="212"/>
      <x:c r="X170" s="200"/>
      <x:c r="Y170" s="192"/>
      <x:c r="Z170" s="214"/>
      <x:c r="AA170" s="214"/>
      <x:c r="AB170" s="192"/>
      <x:c r="AC170" s="194"/>
      <x:c r="AD170" s="186" t="str">
        <x:f>IF(COUNTA(B170:H170)+COUNTA(J170:AC170)=0,"",IF(OR(B170="",D170="",E170="",G170="",J170=""),"缺少必填项",IF(H170&gt;G170,"完成数大于订单数",IF(AND(X170="",OR(Y170="排队",Y170="生产中",Y170="阻塞",Z170&lt;&gt;"",AA170&lt;&gt;"",AB170="是")),"已有排期字段缺少机台",IF(AND(X170&lt;&gt;"",Y170="待排"),"已填机台但状态为待排",IF(AND(Y170="生产中",AB170&lt;&gt;"是"),"需确认：生产中未锁定","可导入"))))))</x:f>
      </x:c>
    </x:row>
    <x:row r="171" ht="22" customHeight="1">
      <x:c r="A171" s="186" t="str">
        <x:f>IF(B171="","",ROW()-5)</x:f>
      </x:c>
      <x:c r="B171" s="196"/>
      <x:c r="C171" s="198"/>
      <x:c r="D171" s="196"/>
      <x:c r="E171" s="188"/>
      <x:c r="F171" s="198"/>
      <x:c r="G171" s="202"/>
      <x:c r="H171" s="204"/>
      <x:c r="I171" s="206" t="str">
        <x:f>IF(G171="","",MAX(G171-H171,0))</x:f>
      </x:c>
      <x:c r="J171" s="210"/>
      <x:c r="K171" s="190"/>
      <x:c r="L171" s="208"/>
      <x:c r="M171" s="208"/>
      <x:c r="N171" s="208"/>
      <x:c r="O171" s="208"/>
      <x:c r="P171" s="190"/>
      <x:c r="Q171" s="190"/>
      <x:c r="R171" s="190"/>
      <x:c r="S171" s="190"/>
      <x:c r="T171" s="190"/>
      <x:c r="U171" s="190"/>
      <x:c r="V171" s="212"/>
      <x:c r="W171" s="212"/>
      <x:c r="X171" s="200"/>
      <x:c r="Y171" s="192"/>
      <x:c r="Z171" s="214"/>
      <x:c r="AA171" s="214"/>
      <x:c r="AB171" s="192"/>
      <x:c r="AC171" s="194"/>
      <x:c r="AD171" s="186" t="str">
        <x:f>IF(COUNTA(B171:H171)+COUNTA(J171:AC171)=0,"",IF(OR(B171="",D171="",E171="",G171="",J171=""),"缺少必填项",IF(H171&gt;G171,"完成数大于订单数",IF(AND(X171="",OR(Y171="排队",Y171="生产中",Y171="阻塞",Z171&lt;&gt;"",AA171&lt;&gt;"",AB171="是")),"已有排期字段缺少机台",IF(AND(X171&lt;&gt;"",Y171="待排"),"已填机台但状态为待排",IF(AND(Y171="生产中",AB171&lt;&gt;"是"),"需确认：生产中未锁定","可导入"))))))</x:f>
      </x:c>
    </x:row>
    <x:row r="172" ht="22" customHeight="1">
      <x:c r="A172" s="186" t="str">
        <x:f>IF(B172="","",ROW()-5)</x:f>
      </x:c>
      <x:c r="B172" s="196"/>
      <x:c r="C172" s="198"/>
      <x:c r="D172" s="196"/>
      <x:c r="E172" s="188"/>
      <x:c r="F172" s="198"/>
      <x:c r="G172" s="202"/>
      <x:c r="H172" s="204"/>
      <x:c r="I172" s="206" t="str">
        <x:f>IF(G172="","",MAX(G172-H172,0))</x:f>
      </x:c>
      <x:c r="J172" s="210"/>
      <x:c r="K172" s="190"/>
      <x:c r="L172" s="208"/>
      <x:c r="M172" s="208"/>
      <x:c r="N172" s="208"/>
      <x:c r="O172" s="208"/>
      <x:c r="P172" s="190"/>
      <x:c r="Q172" s="190"/>
      <x:c r="R172" s="190"/>
      <x:c r="S172" s="190"/>
      <x:c r="T172" s="190"/>
      <x:c r="U172" s="190"/>
      <x:c r="V172" s="212"/>
      <x:c r="W172" s="212"/>
      <x:c r="X172" s="200"/>
      <x:c r="Y172" s="192"/>
      <x:c r="Z172" s="214"/>
      <x:c r="AA172" s="214"/>
      <x:c r="AB172" s="192"/>
      <x:c r="AC172" s="194"/>
      <x:c r="AD172" s="186" t="str">
        <x:f>IF(COUNTA(B172:H172)+COUNTA(J172:AC172)=0,"",IF(OR(B172="",D172="",E172="",G172="",J172=""),"缺少必填项",IF(H172&gt;G172,"完成数大于订单数",IF(AND(X172="",OR(Y172="排队",Y172="生产中",Y172="阻塞",Z172&lt;&gt;"",AA172&lt;&gt;"",AB172="是")),"已有排期字段缺少机台",IF(AND(X172&lt;&gt;"",Y172="待排"),"已填机台但状态为待排",IF(AND(Y172="生产中",AB172&lt;&gt;"是"),"需确认：生产中未锁定","可导入"))))))</x:f>
      </x:c>
    </x:row>
    <x:row r="173" ht="22" customHeight="1">
      <x:c r="A173" s="186" t="str">
        <x:f>IF(B173="","",ROW()-5)</x:f>
      </x:c>
      <x:c r="B173" s="196"/>
      <x:c r="C173" s="198"/>
      <x:c r="D173" s="196"/>
      <x:c r="E173" s="188"/>
      <x:c r="F173" s="198"/>
      <x:c r="G173" s="202"/>
      <x:c r="H173" s="204"/>
      <x:c r="I173" s="206" t="str">
        <x:f>IF(G173="","",MAX(G173-H173,0))</x:f>
      </x:c>
      <x:c r="J173" s="210"/>
      <x:c r="K173" s="190"/>
      <x:c r="L173" s="208"/>
      <x:c r="M173" s="208"/>
      <x:c r="N173" s="208"/>
      <x:c r="O173" s="208"/>
      <x:c r="P173" s="190"/>
      <x:c r="Q173" s="190"/>
      <x:c r="R173" s="190"/>
      <x:c r="S173" s="190"/>
      <x:c r="T173" s="190"/>
      <x:c r="U173" s="190"/>
      <x:c r="V173" s="212"/>
      <x:c r="W173" s="212"/>
      <x:c r="X173" s="200"/>
      <x:c r="Y173" s="192"/>
      <x:c r="Z173" s="214"/>
      <x:c r="AA173" s="214"/>
      <x:c r="AB173" s="192"/>
      <x:c r="AC173" s="194"/>
      <x:c r="AD173" s="186" t="str">
        <x:f>IF(COUNTA(B173:H173)+COUNTA(J173:AC173)=0,"",IF(OR(B173="",D173="",E173="",G173="",J173=""),"缺少必填项",IF(H173&gt;G173,"完成数大于订单数",IF(AND(X173="",OR(Y173="排队",Y173="生产中",Y173="阻塞",Z173&lt;&gt;"",AA173&lt;&gt;"",AB173="是")),"已有排期字段缺少机台",IF(AND(X173&lt;&gt;"",Y173="待排"),"已填机台但状态为待排",IF(AND(Y173="生产中",AB173&lt;&gt;"是"),"需确认：生产中未锁定","可导入"))))))</x:f>
      </x:c>
    </x:row>
    <x:row r="174" ht="22" customHeight="1">
      <x:c r="A174" s="186" t="str">
        <x:f>IF(B174="","",ROW()-5)</x:f>
      </x:c>
      <x:c r="B174" s="196"/>
      <x:c r="C174" s="198"/>
      <x:c r="D174" s="196"/>
      <x:c r="E174" s="188"/>
      <x:c r="F174" s="198"/>
      <x:c r="G174" s="202"/>
      <x:c r="H174" s="204"/>
      <x:c r="I174" s="206" t="str">
        <x:f>IF(G174="","",MAX(G174-H174,0))</x:f>
      </x:c>
      <x:c r="J174" s="210"/>
      <x:c r="K174" s="190"/>
      <x:c r="L174" s="208"/>
      <x:c r="M174" s="208"/>
      <x:c r="N174" s="208"/>
      <x:c r="O174" s="208"/>
      <x:c r="P174" s="190"/>
      <x:c r="Q174" s="190"/>
      <x:c r="R174" s="190"/>
      <x:c r="S174" s="190"/>
      <x:c r="T174" s="190"/>
      <x:c r="U174" s="190"/>
      <x:c r="V174" s="212"/>
      <x:c r="W174" s="212"/>
      <x:c r="X174" s="200"/>
      <x:c r="Y174" s="192"/>
      <x:c r="Z174" s="214"/>
      <x:c r="AA174" s="214"/>
      <x:c r="AB174" s="192"/>
      <x:c r="AC174" s="194"/>
      <x:c r="AD174" s="186" t="str">
        <x:f>IF(COUNTA(B174:H174)+COUNTA(J174:AC174)=0,"",IF(OR(B174="",D174="",E174="",G174="",J174=""),"缺少必填项",IF(H174&gt;G174,"完成数大于订单数",IF(AND(X174="",OR(Y174="排队",Y174="生产中",Y174="阻塞",Z174&lt;&gt;"",AA174&lt;&gt;"",AB174="是")),"已有排期字段缺少机台",IF(AND(X174&lt;&gt;"",Y174="待排"),"已填机台但状态为待排",IF(AND(Y174="生产中",AB174&lt;&gt;"是"),"需确认：生产中未锁定","可导入"))))))</x:f>
      </x:c>
    </x:row>
    <x:row r="175" ht="22" customHeight="1">
      <x:c r="A175" s="186" t="str">
        <x:f>IF(B175="","",ROW()-5)</x:f>
      </x:c>
      <x:c r="B175" s="196"/>
      <x:c r="C175" s="198"/>
      <x:c r="D175" s="196"/>
      <x:c r="E175" s="188"/>
      <x:c r="F175" s="198"/>
      <x:c r="G175" s="202"/>
      <x:c r="H175" s="204"/>
      <x:c r="I175" s="206" t="str">
        <x:f>IF(G175="","",MAX(G175-H175,0))</x:f>
      </x:c>
      <x:c r="J175" s="210"/>
      <x:c r="K175" s="190"/>
      <x:c r="L175" s="208"/>
      <x:c r="M175" s="208"/>
      <x:c r="N175" s="208"/>
      <x:c r="O175" s="208"/>
      <x:c r="P175" s="190"/>
      <x:c r="Q175" s="190"/>
      <x:c r="R175" s="190"/>
      <x:c r="S175" s="190"/>
      <x:c r="T175" s="190"/>
      <x:c r="U175" s="190"/>
      <x:c r="V175" s="212"/>
      <x:c r="W175" s="212"/>
      <x:c r="X175" s="200"/>
      <x:c r="Y175" s="192"/>
      <x:c r="Z175" s="214"/>
      <x:c r="AA175" s="214"/>
      <x:c r="AB175" s="192"/>
      <x:c r="AC175" s="194"/>
      <x:c r="AD175" s="186" t="str">
        <x:f>IF(COUNTA(B175:H175)+COUNTA(J175:AC175)=0,"",IF(OR(B175="",D175="",E175="",G175="",J175=""),"缺少必填项",IF(H175&gt;G175,"完成数大于订单数",IF(AND(X175="",OR(Y175="排队",Y175="生产中",Y175="阻塞",Z175&lt;&gt;"",AA175&lt;&gt;"",AB175="是")),"已有排期字段缺少机台",IF(AND(X175&lt;&gt;"",Y175="待排"),"已填机台但状态为待排",IF(AND(Y175="生产中",AB175&lt;&gt;"是"),"需确认：生产中未锁定","可导入"))))))</x:f>
      </x:c>
    </x:row>
    <x:row r="176" ht="22" customHeight="1">
      <x:c r="A176" s="186" t="str">
        <x:f>IF(B176="","",ROW()-5)</x:f>
      </x:c>
      <x:c r="B176" s="196"/>
      <x:c r="C176" s="198"/>
      <x:c r="D176" s="196"/>
      <x:c r="E176" s="188"/>
      <x:c r="F176" s="198"/>
      <x:c r="G176" s="202"/>
      <x:c r="H176" s="204"/>
      <x:c r="I176" s="206" t="str">
        <x:f>IF(G176="","",MAX(G176-H176,0))</x:f>
      </x:c>
      <x:c r="J176" s="210"/>
      <x:c r="K176" s="190"/>
      <x:c r="L176" s="208"/>
      <x:c r="M176" s="208"/>
      <x:c r="N176" s="208"/>
      <x:c r="O176" s="208"/>
      <x:c r="P176" s="190"/>
      <x:c r="Q176" s="190"/>
      <x:c r="R176" s="190"/>
      <x:c r="S176" s="190"/>
      <x:c r="T176" s="190"/>
      <x:c r="U176" s="190"/>
      <x:c r="V176" s="212"/>
      <x:c r="W176" s="212"/>
      <x:c r="X176" s="200"/>
      <x:c r="Y176" s="192"/>
      <x:c r="Z176" s="214"/>
      <x:c r="AA176" s="214"/>
      <x:c r="AB176" s="192"/>
      <x:c r="AC176" s="194"/>
      <x:c r="AD176" s="186" t="str">
        <x:f>IF(COUNTA(B176:H176)+COUNTA(J176:AC176)=0,"",IF(OR(B176="",D176="",E176="",G176="",J176=""),"缺少必填项",IF(H176&gt;G176,"完成数大于订单数",IF(AND(X176="",OR(Y176="排队",Y176="生产中",Y176="阻塞",Z176&lt;&gt;"",AA176&lt;&gt;"",AB176="是")),"已有排期字段缺少机台",IF(AND(X176&lt;&gt;"",Y176="待排"),"已填机台但状态为待排",IF(AND(Y176="生产中",AB176&lt;&gt;"是"),"需确认：生产中未锁定","可导入"))))))</x:f>
      </x:c>
    </x:row>
    <x:row r="177" ht="22" customHeight="1">
      <x:c r="A177" s="186" t="str">
        <x:f>IF(B177="","",ROW()-5)</x:f>
      </x:c>
      <x:c r="B177" s="196"/>
      <x:c r="C177" s="198"/>
      <x:c r="D177" s="196"/>
      <x:c r="E177" s="188"/>
      <x:c r="F177" s="198"/>
      <x:c r="G177" s="202"/>
      <x:c r="H177" s="204"/>
      <x:c r="I177" s="206" t="str">
        <x:f>IF(G177="","",MAX(G177-H177,0))</x:f>
      </x:c>
      <x:c r="J177" s="210"/>
      <x:c r="K177" s="190"/>
      <x:c r="L177" s="208"/>
      <x:c r="M177" s="208"/>
      <x:c r="N177" s="208"/>
      <x:c r="O177" s="208"/>
      <x:c r="P177" s="190"/>
      <x:c r="Q177" s="190"/>
      <x:c r="R177" s="190"/>
      <x:c r="S177" s="190"/>
      <x:c r="T177" s="190"/>
      <x:c r="U177" s="190"/>
      <x:c r="V177" s="212"/>
      <x:c r="W177" s="212"/>
      <x:c r="X177" s="200"/>
      <x:c r="Y177" s="192"/>
      <x:c r="Z177" s="214"/>
      <x:c r="AA177" s="214"/>
      <x:c r="AB177" s="192"/>
      <x:c r="AC177" s="194"/>
      <x:c r="AD177" s="186" t="str">
        <x:f>IF(COUNTA(B177:H177)+COUNTA(J177:AC177)=0,"",IF(OR(B177="",D177="",E177="",G177="",J177=""),"缺少必填项",IF(H177&gt;G177,"完成数大于订单数",IF(AND(X177="",OR(Y177="排队",Y177="生产中",Y177="阻塞",Z177&lt;&gt;"",AA177&lt;&gt;"",AB177="是")),"已有排期字段缺少机台",IF(AND(X177&lt;&gt;"",Y177="待排"),"已填机台但状态为待排",IF(AND(Y177="生产中",AB177&lt;&gt;"是"),"需确认：生产中未锁定","可导入"))))))</x:f>
      </x:c>
    </x:row>
    <x:row r="178" ht="22" customHeight="1">
      <x:c r="A178" s="186" t="str">
        <x:f>IF(B178="","",ROW()-5)</x:f>
      </x:c>
      <x:c r="B178" s="196"/>
      <x:c r="C178" s="198"/>
      <x:c r="D178" s="196"/>
      <x:c r="E178" s="188"/>
      <x:c r="F178" s="198"/>
      <x:c r="G178" s="202"/>
      <x:c r="H178" s="204"/>
      <x:c r="I178" s="206" t="str">
        <x:f>IF(G178="","",MAX(G178-H178,0))</x:f>
      </x:c>
      <x:c r="J178" s="210"/>
      <x:c r="K178" s="190"/>
      <x:c r="L178" s="208"/>
      <x:c r="M178" s="208"/>
      <x:c r="N178" s="208"/>
      <x:c r="O178" s="208"/>
      <x:c r="P178" s="190"/>
      <x:c r="Q178" s="190"/>
      <x:c r="R178" s="190"/>
      <x:c r="S178" s="190"/>
      <x:c r="T178" s="190"/>
      <x:c r="U178" s="190"/>
      <x:c r="V178" s="212"/>
      <x:c r="W178" s="212"/>
      <x:c r="X178" s="200"/>
      <x:c r="Y178" s="192"/>
      <x:c r="Z178" s="214"/>
      <x:c r="AA178" s="214"/>
      <x:c r="AB178" s="192"/>
      <x:c r="AC178" s="194"/>
      <x:c r="AD178" s="186" t="str">
        <x:f>IF(COUNTA(B178:H178)+COUNTA(J178:AC178)=0,"",IF(OR(B178="",D178="",E178="",G178="",J178=""),"缺少必填项",IF(H178&gt;G178,"完成数大于订单数",IF(AND(X178="",OR(Y178="排队",Y178="生产中",Y178="阻塞",Z178&lt;&gt;"",AA178&lt;&gt;"",AB178="是")),"已有排期字段缺少机台",IF(AND(X178&lt;&gt;"",Y178="待排"),"已填机台但状态为待排",IF(AND(Y178="生产中",AB178&lt;&gt;"是"),"需确认：生产中未锁定","可导入"))))))</x:f>
      </x:c>
    </x:row>
    <x:row r="179" ht="22" customHeight="1">
      <x:c r="A179" s="186" t="str">
        <x:f>IF(B179="","",ROW()-5)</x:f>
      </x:c>
      <x:c r="B179" s="196"/>
      <x:c r="C179" s="198"/>
      <x:c r="D179" s="196"/>
      <x:c r="E179" s="188"/>
      <x:c r="F179" s="198"/>
      <x:c r="G179" s="202"/>
      <x:c r="H179" s="204"/>
      <x:c r="I179" s="206" t="str">
        <x:f>IF(G179="","",MAX(G179-H179,0))</x:f>
      </x:c>
      <x:c r="J179" s="210"/>
      <x:c r="K179" s="190"/>
      <x:c r="L179" s="208"/>
      <x:c r="M179" s="208"/>
      <x:c r="N179" s="208"/>
      <x:c r="O179" s="208"/>
      <x:c r="P179" s="190"/>
      <x:c r="Q179" s="190"/>
      <x:c r="R179" s="190"/>
      <x:c r="S179" s="190"/>
      <x:c r="T179" s="190"/>
      <x:c r="U179" s="190"/>
      <x:c r="V179" s="212"/>
      <x:c r="W179" s="212"/>
      <x:c r="X179" s="200"/>
      <x:c r="Y179" s="192"/>
      <x:c r="Z179" s="214"/>
      <x:c r="AA179" s="214"/>
      <x:c r="AB179" s="192"/>
      <x:c r="AC179" s="194"/>
      <x:c r="AD179" s="186" t="str">
        <x:f>IF(COUNTA(B179:H179)+COUNTA(J179:AC179)=0,"",IF(OR(B179="",D179="",E179="",G179="",J179=""),"缺少必填项",IF(H179&gt;G179,"完成数大于订单数",IF(AND(X179="",OR(Y179="排队",Y179="生产中",Y179="阻塞",Z179&lt;&gt;"",AA179&lt;&gt;"",AB179="是")),"已有排期字段缺少机台",IF(AND(X179&lt;&gt;"",Y179="待排"),"已填机台但状态为待排",IF(AND(Y179="生产中",AB179&lt;&gt;"是"),"需确认：生产中未锁定","可导入"))))))</x:f>
      </x:c>
    </x:row>
    <x:row r="180" ht="22" customHeight="1">
      <x:c r="A180" s="186" t="str">
        <x:f>IF(B180="","",ROW()-5)</x:f>
      </x:c>
      <x:c r="B180" s="196"/>
      <x:c r="C180" s="198"/>
      <x:c r="D180" s="196"/>
      <x:c r="E180" s="188"/>
      <x:c r="F180" s="198"/>
      <x:c r="G180" s="202"/>
      <x:c r="H180" s="204"/>
      <x:c r="I180" s="206" t="str">
        <x:f>IF(G180="","",MAX(G180-H180,0))</x:f>
      </x:c>
      <x:c r="J180" s="210"/>
      <x:c r="K180" s="190"/>
      <x:c r="L180" s="208"/>
      <x:c r="M180" s="208"/>
      <x:c r="N180" s="208"/>
      <x:c r="O180" s="208"/>
      <x:c r="P180" s="190"/>
      <x:c r="Q180" s="190"/>
      <x:c r="R180" s="190"/>
      <x:c r="S180" s="190"/>
      <x:c r="T180" s="190"/>
      <x:c r="U180" s="190"/>
      <x:c r="V180" s="212"/>
      <x:c r="W180" s="212"/>
      <x:c r="X180" s="200"/>
      <x:c r="Y180" s="192"/>
      <x:c r="Z180" s="214"/>
      <x:c r="AA180" s="214"/>
      <x:c r="AB180" s="192"/>
      <x:c r="AC180" s="194"/>
      <x:c r="AD180" s="186" t="str">
        <x:f>IF(COUNTA(B180:H180)+COUNTA(J180:AC180)=0,"",IF(OR(B180="",D180="",E180="",G180="",J180=""),"缺少必填项",IF(H180&gt;G180,"完成数大于订单数",IF(AND(X180="",OR(Y180="排队",Y180="生产中",Y180="阻塞",Z180&lt;&gt;"",AA180&lt;&gt;"",AB180="是")),"已有排期字段缺少机台",IF(AND(X180&lt;&gt;"",Y180="待排"),"已填机台但状态为待排",IF(AND(Y180="生产中",AB180&lt;&gt;"是"),"需确认：生产中未锁定","可导入"))))))</x:f>
      </x:c>
    </x:row>
    <x:row r="181" ht="22" customHeight="1">
      <x:c r="A181" s="186" t="str">
        <x:f>IF(B181="","",ROW()-5)</x:f>
      </x:c>
      <x:c r="B181" s="196"/>
      <x:c r="C181" s="198"/>
      <x:c r="D181" s="196"/>
      <x:c r="E181" s="188"/>
      <x:c r="F181" s="198"/>
      <x:c r="G181" s="202"/>
      <x:c r="H181" s="204"/>
      <x:c r="I181" s="206" t="str">
        <x:f>IF(G181="","",MAX(G181-H181,0))</x:f>
      </x:c>
      <x:c r="J181" s="210"/>
      <x:c r="K181" s="190"/>
      <x:c r="L181" s="208"/>
      <x:c r="M181" s="208"/>
      <x:c r="N181" s="208"/>
      <x:c r="O181" s="208"/>
      <x:c r="P181" s="190"/>
      <x:c r="Q181" s="190"/>
      <x:c r="R181" s="190"/>
      <x:c r="S181" s="190"/>
      <x:c r="T181" s="190"/>
      <x:c r="U181" s="190"/>
      <x:c r="V181" s="212"/>
      <x:c r="W181" s="212"/>
      <x:c r="X181" s="200"/>
      <x:c r="Y181" s="192"/>
      <x:c r="Z181" s="214"/>
      <x:c r="AA181" s="214"/>
      <x:c r="AB181" s="192"/>
      <x:c r="AC181" s="194"/>
      <x:c r="AD181" s="186" t="str">
        <x:f>IF(COUNTA(B181:H181)+COUNTA(J181:AC181)=0,"",IF(OR(B181="",D181="",E181="",G181="",J181=""),"缺少必填项",IF(H181&gt;G181,"完成数大于订单数",IF(AND(X181="",OR(Y181="排队",Y181="生产中",Y181="阻塞",Z181&lt;&gt;"",AA181&lt;&gt;"",AB181="是")),"已有排期字段缺少机台",IF(AND(X181&lt;&gt;"",Y181="待排"),"已填机台但状态为待排",IF(AND(Y181="生产中",AB181&lt;&gt;"是"),"需确认：生产中未锁定","可导入"))))))</x:f>
      </x:c>
    </x:row>
    <x:row r="182" ht="22" customHeight="1">
      <x:c r="A182" s="186" t="str">
        <x:f>IF(B182="","",ROW()-5)</x:f>
      </x:c>
      <x:c r="B182" s="196"/>
      <x:c r="C182" s="198"/>
      <x:c r="D182" s="196"/>
      <x:c r="E182" s="188"/>
      <x:c r="F182" s="198"/>
      <x:c r="G182" s="202"/>
      <x:c r="H182" s="204"/>
      <x:c r="I182" s="206" t="str">
        <x:f>IF(G182="","",MAX(G182-H182,0))</x:f>
      </x:c>
      <x:c r="J182" s="210"/>
      <x:c r="K182" s="190"/>
      <x:c r="L182" s="208"/>
      <x:c r="M182" s="208"/>
      <x:c r="N182" s="208"/>
      <x:c r="O182" s="208"/>
      <x:c r="P182" s="190"/>
      <x:c r="Q182" s="190"/>
      <x:c r="R182" s="190"/>
      <x:c r="S182" s="190"/>
      <x:c r="T182" s="190"/>
      <x:c r="U182" s="190"/>
      <x:c r="V182" s="212"/>
      <x:c r="W182" s="212"/>
      <x:c r="X182" s="200"/>
      <x:c r="Y182" s="192"/>
      <x:c r="Z182" s="214"/>
      <x:c r="AA182" s="214"/>
      <x:c r="AB182" s="192"/>
      <x:c r="AC182" s="194"/>
      <x:c r="AD182" s="186" t="str">
        <x:f>IF(COUNTA(B182:H182)+COUNTA(J182:AC182)=0,"",IF(OR(B182="",D182="",E182="",G182="",J182=""),"缺少必填项",IF(H182&gt;G182,"完成数大于订单数",IF(AND(X182="",OR(Y182="排队",Y182="生产中",Y182="阻塞",Z182&lt;&gt;"",AA182&lt;&gt;"",AB182="是")),"已有排期字段缺少机台",IF(AND(X182&lt;&gt;"",Y182="待排"),"已填机台但状态为待排",IF(AND(Y182="生产中",AB182&lt;&gt;"是"),"需确认：生产中未锁定","可导入"))))))</x:f>
      </x:c>
    </x:row>
    <x:row r="183" ht="22" customHeight="1">
      <x:c r="A183" s="186" t="str">
        <x:f>IF(B183="","",ROW()-5)</x:f>
      </x:c>
      <x:c r="B183" s="196"/>
      <x:c r="C183" s="198"/>
      <x:c r="D183" s="196"/>
      <x:c r="E183" s="188"/>
      <x:c r="F183" s="198"/>
      <x:c r="G183" s="202"/>
      <x:c r="H183" s="204"/>
      <x:c r="I183" s="206" t="str">
        <x:f>IF(G183="","",MAX(G183-H183,0))</x:f>
      </x:c>
      <x:c r="J183" s="210"/>
      <x:c r="K183" s="190"/>
      <x:c r="L183" s="208"/>
      <x:c r="M183" s="208"/>
      <x:c r="N183" s="208"/>
      <x:c r="O183" s="208"/>
      <x:c r="P183" s="190"/>
      <x:c r="Q183" s="190"/>
      <x:c r="R183" s="190"/>
      <x:c r="S183" s="190"/>
      <x:c r="T183" s="190"/>
      <x:c r="U183" s="190"/>
      <x:c r="V183" s="212"/>
      <x:c r="W183" s="212"/>
      <x:c r="X183" s="200"/>
      <x:c r="Y183" s="192"/>
      <x:c r="Z183" s="214"/>
      <x:c r="AA183" s="214"/>
      <x:c r="AB183" s="192"/>
      <x:c r="AC183" s="194"/>
      <x:c r="AD183" s="186" t="str">
        <x:f>IF(COUNTA(B183:H183)+COUNTA(J183:AC183)=0,"",IF(OR(B183="",D183="",E183="",G183="",J183=""),"缺少必填项",IF(H183&gt;G183,"完成数大于订单数",IF(AND(X183="",OR(Y183="排队",Y183="生产中",Y183="阻塞",Z183&lt;&gt;"",AA183&lt;&gt;"",AB183="是")),"已有排期字段缺少机台",IF(AND(X183&lt;&gt;"",Y183="待排"),"已填机台但状态为待排",IF(AND(Y183="生产中",AB183&lt;&gt;"是"),"需确认：生产中未锁定","可导入"))))))</x:f>
      </x:c>
    </x:row>
    <x:row r="184" ht="22" customHeight="1">
      <x:c r="A184" s="186" t="str">
        <x:f>IF(B184="","",ROW()-5)</x:f>
      </x:c>
      <x:c r="B184" s="196"/>
      <x:c r="C184" s="198"/>
      <x:c r="D184" s="196"/>
      <x:c r="E184" s="188"/>
      <x:c r="F184" s="198"/>
      <x:c r="G184" s="202"/>
      <x:c r="H184" s="204"/>
      <x:c r="I184" s="206" t="str">
        <x:f>IF(G184="","",MAX(G184-H184,0))</x:f>
      </x:c>
      <x:c r="J184" s="210"/>
      <x:c r="K184" s="190"/>
      <x:c r="L184" s="208"/>
      <x:c r="M184" s="208"/>
      <x:c r="N184" s="208"/>
      <x:c r="O184" s="208"/>
      <x:c r="P184" s="190"/>
      <x:c r="Q184" s="190"/>
      <x:c r="R184" s="190"/>
      <x:c r="S184" s="190"/>
      <x:c r="T184" s="190"/>
      <x:c r="U184" s="190"/>
      <x:c r="V184" s="212"/>
      <x:c r="W184" s="212"/>
      <x:c r="X184" s="200"/>
      <x:c r="Y184" s="192"/>
      <x:c r="Z184" s="214"/>
      <x:c r="AA184" s="214"/>
      <x:c r="AB184" s="192"/>
      <x:c r="AC184" s="194"/>
      <x:c r="AD184" s="186" t="str">
        <x:f>IF(COUNTA(B184:H184)+COUNTA(J184:AC184)=0,"",IF(OR(B184="",D184="",E184="",G184="",J184=""),"缺少必填项",IF(H184&gt;G184,"完成数大于订单数",IF(AND(X184="",OR(Y184="排队",Y184="生产中",Y184="阻塞",Z184&lt;&gt;"",AA184&lt;&gt;"",AB184="是")),"已有排期字段缺少机台",IF(AND(X184&lt;&gt;"",Y184="待排"),"已填机台但状态为待排",IF(AND(Y184="生产中",AB184&lt;&gt;"是"),"需确认：生产中未锁定","可导入"))))))</x:f>
      </x:c>
    </x:row>
    <x:row r="185" ht="22" customHeight="1">
      <x:c r="A185" s="186" t="str">
        <x:f>IF(B185="","",ROW()-5)</x:f>
      </x:c>
      <x:c r="B185" s="196"/>
      <x:c r="C185" s="198"/>
      <x:c r="D185" s="196"/>
      <x:c r="E185" s="188"/>
      <x:c r="F185" s="198"/>
      <x:c r="G185" s="202"/>
      <x:c r="H185" s="204"/>
      <x:c r="I185" s="206" t="str">
        <x:f>IF(G185="","",MAX(G185-H185,0))</x:f>
      </x:c>
      <x:c r="J185" s="210"/>
      <x:c r="K185" s="190"/>
      <x:c r="L185" s="208"/>
      <x:c r="M185" s="208"/>
      <x:c r="N185" s="208"/>
      <x:c r="O185" s="208"/>
      <x:c r="P185" s="190"/>
      <x:c r="Q185" s="190"/>
      <x:c r="R185" s="190"/>
      <x:c r="S185" s="190"/>
      <x:c r="T185" s="190"/>
      <x:c r="U185" s="190"/>
      <x:c r="V185" s="212"/>
      <x:c r="W185" s="212"/>
      <x:c r="X185" s="200"/>
      <x:c r="Y185" s="192"/>
      <x:c r="Z185" s="214"/>
      <x:c r="AA185" s="214"/>
      <x:c r="AB185" s="192"/>
      <x:c r="AC185" s="194"/>
      <x:c r="AD185" s="186" t="str">
        <x:f>IF(COUNTA(B185:H185)+COUNTA(J185:AC185)=0,"",IF(OR(B185="",D185="",E185="",G185="",J185=""),"缺少必填项",IF(H185&gt;G185,"完成数大于订单数",IF(AND(X185="",OR(Y185="排队",Y185="生产中",Y185="阻塞",Z185&lt;&gt;"",AA185&lt;&gt;"",AB185="是")),"已有排期字段缺少机台",IF(AND(X185&lt;&gt;"",Y185="待排"),"已填机台但状态为待排",IF(AND(Y185="生产中",AB185&lt;&gt;"是"),"需确认：生产中未锁定","可导入"))))))</x:f>
      </x:c>
    </x:row>
    <x:row r="186" ht="22" customHeight="1">
      <x:c r="A186" s="186" t="str">
        <x:f>IF(B186="","",ROW()-5)</x:f>
      </x:c>
      <x:c r="B186" s="196"/>
      <x:c r="C186" s="198"/>
      <x:c r="D186" s="196"/>
      <x:c r="E186" s="188"/>
      <x:c r="F186" s="198"/>
      <x:c r="G186" s="202"/>
      <x:c r="H186" s="204"/>
      <x:c r="I186" s="206" t="str">
        <x:f>IF(G186="","",MAX(G186-H186,0))</x:f>
      </x:c>
      <x:c r="J186" s="210"/>
      <x:c r="K186" s="190"/>
      <x:c r="L186" s="208"/>
      <x:c r="M186" s="208"/>
      <x:c r="N186" s="208"/>
      <x:c r="O186" s="208"/>
      <x:c r="P186" s="190"/>
      <x:c r="Q186" s="190"/>
      <x:c r="R186" s="190"/>
      <x:c r="S186" s="190"/>
      <x:c r="T186" s="190"/>
      <x:c r="U186" s="190"/>
      <x:c r="V186" s="212"/>
      <x:c r="W186" s="212"/>
      <x:c r="X186" s="200"/>
      <x:c r="Y186" s="192"/>
      <x:c r="Z186" s="214"/>
      <x:c r="AA186" s="214"/>
      <x:c r="AB186" s="192"/>
      <x:c r="AC186" s="194"/>
      <x:c r="AD186" s="186" t="str">
        <x:f>IF(COUNTA(B186:H186)+COUNTA(J186:AC186)=0,"",IF(OR(B186="",D186="",E186="",G186="",J186=""),"缺少必填项",IF(H186&gt;G186,"完成数大于订单数",IF(AND(X186="",OR(Y186="排队",Y186="生产中",Y186="阻塞",Z186&lt;&gt;"",AA186&lt;&gt;"",AB186="是")),"已有排期字段缺少机台",IF(AND(X186&lt;&gt;"",Y186="待排"),"已填机台但状态为待排",IF(AND(Y186="生产中",AB186&lt;&gt;"是"),"需确认：生产中未锁定","可导入"))))))</x:f>
      </x:c>
    </x:row>
    <x:row r="187" ht="22" customHeight="1">
      <x:c r="A187" s="186" t="str">
        <x:f>IF(B187="","",ROW()-5)</x:f>
      </x:c>
      <x:c r="B187" s="196"/>
      <x:c r="C187" s="198"/>
      <x:c r="D187" s="196"/>
      <x:c r="E187" s="188"/>
      <x:c r="F187" s="198"/>
      <x:c r="G187" s="202"/>
      <x:c r="H187" s="204"/>
      <x:c r="I187" s="206" t="str">
        <x:f>IF(G187="","",MAX(G187-H187,0))</x:f>
      </x:c>
      <x:c r="J187" s="210"/>
      <x:c r="K187" s="190"/>
      <x:c r="L187" s="208"/>
      <x:c r="M187" s="208"/>
      <x:c r="N187" s="208"/>
      <x:c r="O187" s="208"/>
      <x:c r="P187" s="190"/>
      <x:c r="Q187" s="190"/>
      <x:c r="R187" s="190"/>
      <x:c r="S187" s="190"/>
      <x:c r="T187" s="190"/>
      <x:c r="U187" s="190"/>
      <x:c r="V187" s="212"/>
      <x:c r="W187" s="212"/>
      <x:c r="X187" s="200"/>
      <x:c r="Y187" s="192"/>
      <x:c r="Z187" s="214"/>
      <x:c r="AA187" s="214"/>
      <x:c r="AB187" s="192"/>
      <x:c r="AC187" s="194"/>
      <x:c r="AD187" s="186" t="str">
        <x:f>IF(COUNTA(B187:H187)+COUNTA(J187:AC187)=0,"",IF(OR(B187="",D187="",E187="",G187="",J187=""),"缺少必填项",IF(H187&gt;G187,"完成数大于订单数",IF(AND(X187="",OR(Y187="排队",Y187="生产中",Y187="阻塞",Z187&lt;&gt;"",AA187&lt;&gt;"",AB187="是")),"已有排期字段缺少机台",IF(AND(X187&lt;&gt;"",Y187="待排"),"已填机台但状态为待排",IF(AND(Y187="生产中",AB187&lt;&gt;"是"),"需确认：生产中未锁定","可导入"))))))</x:f>
      </x:c>
    </x:row>
    <x:row r="188" ht="22" customHeight="1">
      <x:c r="A188" s="186" t="str">
        <x:f>IF(B188="","",ROW()-5)</x:f>
      </x:c>
      <x:c r="B188" s="196"/>
      <x:c r="C188" s="198"/>
      <x:c r="D188" s="196"/>
      <x:c r="E188" s="188"/>
      <x:c r="F188" s="198"/>
      <x:c r="G188" s="202"/>
      <x:c r="H188" s="204"/>
      <x:c r="I188" s="206" t="str">
        <x:f>IF(G188="","",MAX(G188-H188,0))</x:f>
      </x:c>
      <x:c r="J188" s="210"/>
      <x:c r="K188" s="190"/>
      <x:c r="L188" s="208"/>
      <x:c r="M188" s="208"/>
      <x:c r="N188" s="208"/>
      <x:c r="O188" s="208"/>
      <x:c r="P188" s="190"/>
      <x:c r="Q188" s="190"/>
      <x:c r="R188" s="190"/>
      <x:c r="S188" s="190"/>
      <x:c r="T188" s="190"/>
      <x:c r="U188" s="190"/>
      <x:c r="V188" s="212"/>
      <x:c r="W188" s="212"/>
      <x:c r="X188" s="200"/>
      <x:c r="Y188" s="192"/>
      <x:c r="Z188" s="214"/>
      <x:c r="AA188" s="214"/>
      <x:c r="AB188" s="192"/>
      <x:c r="AC188" s="194"/>
      <x:c r="AD188" s="186" t="str">
        <x:f>IF(COUNTA(B188:H188)+COUNTA(J188:AC188)=0,"",IF(OR(B188="",D188="",E188="",G188="",J188=""),"缺少必填项",IF(H188&gt;G188,"完成数大于订单数",IF(AND(X188="",OR(Y188="排队",Y188="生产中",Y188="阻塞",Z188&lt;&gt;"",AA188&lt;&gt;"",AB188="是")),"已有排期字段缺少机台",IF(AND(X188&lt;&gt;"",Y188="待排"),"已填机台但状态为待排",IF(AND(Y188="生产中",AB188&lt;&gt;"是"),"需确认：生产中未锁定","可导入"))))))</x:f>
      </x:c>
    </x:row>
    <x:row r="189" ht="22" customHeight="1">
      <x:c r="A189" s="186" t="str">
        <x:f>IF(B189="","",ROW()-5)</x:f>
      </x:c>
      <x:c r="B189" s="196"/>
      <x:c r="C189" s="198"/>
      <x:c r="D189" s="196"/>
      <x:c r="E189" s="188"/>
      <x:c r="F189" s="198"/>
      <x:c r="G189" s="202"/>
      <x:c r="H189" s="204"/>
      <x:c r="I189" s="206" t="str">
        <x:f>IF(G189="","",MAX(G189-H189,0))</x:f>
      </x:c>
      <x:c r="J189" s="210"/>
      <x:c r="K189" s="190"/>
      <x:c r="L189" s="208"/>
      <x:c r="M189" s="208"/>
      <x:c r="N189" s="208"/>
      <x:c r="O189" s="208"/>
      <x:c r="P189" s="190"/>
      <x:c r="Q189" s="190"/>
      <x:c r="R189" s="190"/>
      <x:c r="S189" s="190"/>
      <x:c r="T189" s="190"/>
      <x:c r="U189" s="190"/>
      <x:c r="V189" s="212"/>
      <x:c r="W189" s="212"/>
      <x:c r="X189" s="200"/>
      <x:c r="Y189" s="192"/>
      <x:c r="Z189" s="214"/>
      <x:c r="AA189" s="214"/>
      <x:c r="AB189" s="192"/>
      <x:c r="AC189" s="194"/>
      <x:c r="AD189" s="186" t="str">
        <x:f>IF(COUNTA(B189:H189)+COUNTA(J189:AC189)=0,"",IF(OR(B189="",D189="",E189="",G189="",J189=""),"缺少必填项",IF(H189&gt;G189,"完成数大于订单数",IF(AND(X189="",OR(Y189="排队",Y189="生产中",Y189="阻塞",Z189&lt;&gt;"",AA189&lt;&gt;"",AB189="是")),"已有排期字段缺少机台",IF(AND(X189&lt;&gt;"",Y189="待排"),"已填机台但状态为待排",IF(AND(Y189="生产中",AB189&lt;&gt;"是"),"需确认：生产中未锁定","可导入"))))))</x:f>
      </x:c>
    </x:row>
    <x:row r="190" ht="22" customHeight="1">
      <x:c r="A190" s="186" t="str">
        <x:f>IF(B190="","",ROW()-5)</x:f>
      </x:c>
      <x:c r="B190" s="196"/>
      <x:c r="C190" s="198"/>
      <x:c r="D190" s="196"/>
      <x:c r="E190" s="188"/>
      <x:c r="F190" s="198"/>
      <x:c r="G190" s="202"/>
      <x:c r="H190" s="204"/>
      <x:c r="I190" s="206" t="str">
        <x:f>IF(G190="","",MAX(G190-H190,0))</x:f>
      </x:c>
      <x:c r="J190" s="210"/>
      <x:c r="K190" s="190"/>
      <x:c r="L190" s="208"/>
      <x:c r="M190" s="208"/>
      <x:c r="N190" s="208"/>
      <x:c r="O190" s="208"/>
      <x:c r="P190" s="190"/>
      <x:c r="Q190" s="190"/>
      <x:c r="R190" s="190"/>
      <x:c r="S190" s="190"/>
      <x:c r="T190" s="190"/>
      <x:c r="U190" s="190"/>
      <x:c r="V190" s="212"/>
      <x:c r="W190" s="212"/>
      <x:c r="X190" s="200"/>
      <x:c r="Y190" s="192"/>
      <x:c r="Z190" s="214"/>
      <x:c r="AA190" s="214"/>
      <x:c r="AB190" s="192"/>
      <x:c r="AC190" s="194"/>
      <x:c r="AD190" s="186" t="str">
        <x:f>IF(COUNTA(B190:H190)+COUNTA(J190:AC190)=0,"",IF(OR(B190="",D190="",E190="",G190="",J190=""),"缺少必填项",IF(H190&gt;G190,"完成数大于订单数",IF(AND(X190="",OR(Y190="排队",Y190="生产中",Y190="阻塞",Z190&lt;&gt;"",AA190&lt;&gt;"",AB190="是")),"已有排期字段缺少机台",IF(AND(X190&lt;&gt;"",Y190="待排"),"已填机台但状态为待排",IF(AND(Y190="生产中",AB190&lt;&gt;"是"),"需确认：生产中未锁定","可导入"))))))</x:f>
      </x:c>
    </x:row>
    <x:row r="191" ht="22" customHeight="1">
      <x:c r="A191" s="186" t="str">
        <x:f>IF(B191="","",ROW()-5)</x:f>
      </x:c>
      <x:c r="B191" s="196"/>
      <x:c r="C191" s="198"/>
      <x:c r="D191" s="196"/>
      <x:c r="E191" s="188"/>
      <x:c r="F191" s="198"/>
      <x:c r="G191" s="202"/>
      <x:c r="H191" s="204"/>
      <x:c r="I191" s="206" t="str">
        <x:f>IF(G191="","",MAX(G191-H191,0))</x:f>
      </x:c>
      <x:c r="J191" s="210"/>
      <x:c r="K191" s="190"/>
      <x:c r="L191" s="208"/>
      <x:c r="M191" s="208"/>
      <x:c r="N191" s="208"/>
      <x:c r="O191" s="208"/>
      <x:c r="P191" s="190"/>
      <x:c r="Q191" s="190"/>
      <x:c r="R191" s="190"/>
      <x:c r="S191" s="190"/>
      <x:c r="T191" s="190"/>
      <x:c r="U191" s="190"/>
      <x:c r="V191" s="212"/>
      <x:c r="W191" s="212"/>
      <x:c r="X191" s="200"/>
      <x:c r="Y191" s="192"/>
      <x:c r="Z191" s="214"/>
      <x:c r="AA191" s="214"/>
      <x:c r="AB191" s="192"/>
      <x:c r="AC191" s="194"/>
      <x:c r="AD191" s="186" t="str">
        <x:f>IF(COUNTA(B191:H191)+COUNTA(J191:AC191)=0,"",IF(OR(B191="",D191="",E191="",G191="",J191=""),"缺少必填项",IF(H191&gt;G191,"完成数大于订单数",IF(AND(X191="",OR(Y191="排队",Y191="生产中",Y191="阻塞",Z191&lt;&gt;"",AA191&lt;&gt;"",AB191="是")),"已有排期字段缺少机台",IF(AND(X191&lt;&gt;"",Y191="待排"),"已填机台但状态为待排",IF(AND(Y191="生产中",AB191&lt;&gt;"是"),"需确认：生产中未锁定","可导入"))))))</x:f>
      </x:c>
    </x:row>
    <x:row r="192" ht="22" customHeight="1">
      <x:c r="A192" s="186" t="str">
        <x:f>IF(B192="","",ROW()-5)</x:f>
      </x:c>
      <x:c r="B192" s="196"/>
      <x:c r="C192" s="198"/>
      <x:c r="D192" s="196"/>
      <x:c r="E192" s="188"/>
      <x:c r="F192" s="198"/>
      <x:c r="G192" s="202"/>
      <x:c r="H192" s="204"/>
      <x:c r="I192" s="206" t="str">
        <x:f>IF(G192="","",MAX(G192-H192,0))</x:f>
      </x:c>
      <x:c r="J192" s="210"/>
      <x:c r="K192" s="190"/>
      <x:c r="L192" s="208"/>
      <x:c r="M192" s="208"/>
      <x:c r="N192" s="208"/>
      <x:c r="O192" s="208"/>
      <x:c r="P192" s="190"/>
      <x:c r="Q192" s="190"/>
      <x:c r="R192" s="190"/>
      <x:c r="S192" s="190"/>
      <x:c r="T192" s="190"/>
      <x:c r="U192" s="190"/>
      <x:c r="V192" s="212"/>
      <x:c r="W192" s="212"/>
      <x:c r="X192" s="200"/>
      <x:c r="Y192" s="192"/>
      <x:c r="Z192" s="214"/>
      <x:c r="AA192" s="214"/>
      <x:c r="AB192" s="192"/>
      <x:c r="AC192" s="194"/>
      <x:c r="AD192" s="186" t="str">
        <x:f>IF(COUNTA(B192:H192)+COUNTA(J192:AC192)=0,"",IF(OR(B192="",D192="",E192="",G192="",J192=""),"缺少必填项",IF(H192&gt;G192,"完成数大于订单数",IF(AND(X192="",OR(Y192="排队",Y192="生产中",Y192="阻塞",Z192&lt;&gt;"",AA192&lt;&gt;"",AB192="是")),"已有排期字段缺少机台",IF(AND(X192&lt;&gt;"",Y192="待排"),"已填机台但状态为待排",IF(AND(Y192="生产中",AB192&lt;&gt;"是"),"需确认：生产中未锁定","可导入"))))))</x:f>
      </x:c>
    </x:row>
    <x:row r="193" ht="22" customHeight="1">
      <x:c r="A193" s="186" t="str">
        <x:f>IF(B193="","",ROW()-5)</x:f>
      </x:c>
      <x:c r="B193" s="196"/>
      <x:c r="C193" s="198"/>
      <x:c r="D193" s="196"/>
      <x:c r="E193" s="188"/>
      <x:c r="F193" s="198"/>
      <x:c r="G193" s="202"/>
      <x:c r="H193" s="204"/>
      <x:c r="I193" s="206" t="str">
        <x:f>IF(G193="","",MAX(G193-H193,0))</x:f>
      </x:c>
      <x:c r="J193" s="210"/>
      <x:c r="K193" s="190"/>
      <x:c r="L193" s="208"/>
      <x:c r="M193" s="208"/>
      <x:c r="N193" s="208"/>
      <x:c r="O193" s="208"/>
      <x:c r="P193" s="190"/>
      <x:c r="Q193" s="190"/>
      <x:c r="R193" s="190"/>
      <x:c r="S193" s="190"/>
      <x:c r="T193" s="190"/>
      <x:c r="U193" s="190"/>
      <x:c r="V193" s="212"/>
      <x:c r="W193" s="212"/>
      <x:c r="X193" s="200"/>
      <x:c r="Y193" s="192"/>
      <x:c r="Z193" s="214"/>
      <x:c r="AA193" s="214"/>
      <x:c r="AB193" s="192"/>
      <x:c r="AC193" s="194"/>
      <x:c r="AD193" s="186" t="str">
        <x:f>IF(COUNTA(B193:H193)+COUNTA(J193:AC193)=0,"",IF(OR(B193="",D193="",E193="",G193="",J193=""),"缺少必填项",IF(H193&gt;G193,"完成数大于订单数",IF(AND(X193="",OR(Y193="排队",Y193="生产中",Y193="阻塞",Z193&lt;&gt;"",AA193&lt;&gt;"",AB193="是")),"已有排期字段缺少机台",IF(AND(X193&lt;&gt;"",Y193="待排"),"已填机台但状态为待排",IF(AND(Y193="生产中",AB193&lt;&gt;"是"),"需确认：生产中未锁定","可导入"))))))</x:f>
      </x:c>
    </x:row>
    <x:row r="194" ht="22" customHeight="1">
      <x:c r="A194" s="186" t="str">
        <x:f>IF(B194="","",ROW()-5)</x:f>
      </x:c>
      <x:c r="B194" s="196"/>
      <x:c r="C194" s="198"/>
      <x:c r="D194" s="196"/>
      <x:c r="E194" s="188"/>
      <x:c r="F194" s="198"/>
      <x:c r="G194" s="202"/>
      <x:c r="H194" s="204"/>
      <x:c r="I194" s="206" t="str">
        <x:f>IF(G194="","",MAX(G194-H194,0))</x:f>
      </x:c>
      <x:c r="J194" s="210"/>
      <x:c r="K194" s="190"/>
      <x:c r="L194" s="208"/>
      <x:c r="M194" s="208"/>
      <x:c r="N194" s="208"/>
      <x:c r="O194" s="208"/>
      <x:c r="P194" s="190"/>
      <x:c r="Q194" s="190"/>
      <x:c r="R194" s="190"/>
      <x:c r="S194" s="190"/>
      <x:c r="T194" s="190"/>
      <x:c r="U194" s="190"/>
      <x:c r="V194" s="212"/>
      <x:c r="W194" s="212"/>
      <x:c r="X194" s="200"/>
      <x:c r="Y194" s="192"/>
      <x:c r="Z194" s="214"/>
      <x:c r="AA194" s="214"/>
      <x:c r="AB194" s="192"/>
      <x:c r="AC194" s="194"/>
      <x:c r="AD194" s="186" t="str">
        <x:f>IF(COUNTA(B194:H194)+COUNTA(J194:AC194)=0,"",IF(OR(B194="",D194="",E194="",G194="",J194=""),"缺少必填项",IF(H194&gt;G194,"完成数大于订单数",IF(AND(X194="",OR(Y194="排队",Y194="生产中",Y194="阻塞",Z194&lt;&gt;"",AA194&lt;&gt;"",AB194="是")),"已有排期字段缺少机台",IF(AND(X194&lt;&gt;"",Y194="待排"),"已填机台但状态为待排",IF(AND(Y194="生产中",AB194&lt;&gt;"是"),"需确认：生产中未锁定","可导入"))))))</x:f>
      </x:c>
    </x:row>
    <x:row r="195" ht="22" customHeight="1">
      <x:c r="A195" s="186" t="str">
        <x:f>IF(B195="","",ROW()-5)</x:f>
      </x:c>
      <x:c r="B195" s="196"/>
      <x:c r="C195" s="198"/>
      <x:c r="D195" s="196"/>
      <x:c r="E195" s="188"/>
      <x:c r="F195" s="198"/>
      <x:c r="G195" s="202"/>
      <x:c r="H195" s="204"/>
      <x:c r="I195" s="206" t="str">
        <x:f>IF(G195="","",MAX(G195-H195,0))</x:f>
      </x:c>
      <x:c r="J195" s="210"/>
      <x:c r="K195" s="190"/>
      <x:c r="L195" s="208"/>
      <x:c r="M195" s="208"/>
      <x:c r="N195" s="208"/>
      <x:c r="O195" s="208"/>
      <x:c r="P195" s="190"/>
      <x:c r="Q195" s="190"/>
      <x:c r="R195" s="190"/>
      <x:c r="S195" s="190"/>
      <x:c r="T195" s="190"/>
      <x:c r="U195" s="190"/>
      <x:c r="V195" s="212"/>
      <x:c r="W195" s="212"/>
      <x:c r="X195" s="200"/>
      <x:c r="Y195" s="192"/>
      <x:c r="Z195" s="214"/>
      <x:c r="AA195" s="214"/>
      <x:c r="AB195" s="192"/>
      <x:c r="AC195" s="194"/>
      <x:c r="AD195" s="186" t="str">
        <x:f>IF(COUNTA(B195:H195)+COUNTA(J195:AC195)=0,"",IF(OR(B195="",D195="",E195="",G195="",J195=""),"缺少必填项",IF(H195&gt;G195,"完成数大于订单数",IF(AND(X195="",OR(Y195="排队",Y195="生产中",Y195="阻塞",Z195&lt;&gt;"",AA195&lt;&gt;"",AB195="是")),"已有排期字段缺少机台",IF(AND(X195&lt;&gt;"",Y195="待排"),"已填机台但状态为待排",IF(AND(Y195="生产中",AB195&lt;&gt;"是"),"需确认：生产中未锁定","可导入"))))))</x:f>
      </x:c>
    </x:row>
    <x:row r="196" ht="22" customHeight="1">
      <x:c r="A196" s="186" t="str">
        <x:f>IF(B196="","",ROW()-5)</x:f>
      </x:c>
      <x:c r="B196" s="196"/>
      <x:c r="C196" s="198"/>
      <x:c r="D196" s="196"/>
      <x:c r="E196" s="188"/>
      <x:c r="F196" s="198"/>
      <x:c r="G196" s="202"/>
      <x:c r="H196" s="204"/>
      <x:c r="I196" s="206" t="str">
        <x:f>IF(G196="","",MAX(G196-H196,0))</x:f>
      </x:c>
      <x:c r="J196" s="210"/>
      <x:c r="K196" s="190"/>
      <x:c r="L196" s="208"/>
      <x:c r="M196" s="208"/>
      <x:c r="N196" s="208"/>
      <x:c r="O196" s="208"/>
      <x:c r="P196" s="190"/>
      <x:c r="Q196" s="190"/>
      <x:c r="R196" s="190"/>
      <x:c r="S196" s="190"/>
      <x:c r="T196" s="190"/>
      <x:c r="U196" s="190"/>
      <x:c r="V196" s="212"/>
      <x:c r="W196" s="212"/>
      <x:c r="X196" s="200"/>
      <x:c r="Y196" s="192"/>
      <x:c r="Z196" s="214"/>
      <x:c r="AA196" s="214"/>
      <x:c r="AB196" s="192"/>
      <x:c r="AC196" s="194"/>
      <x:c r="AD196" s="186" t="str">
        <x:f>IF(COUNTA(B196:H196)+COUNTA(J196:AC196)=0,"",IF(OR(B196="",D196="",E196="",G196="",J196=""),"缺少必填项",IF(H196&gt;G196,"完成数大于订单数",IF(AND(X196="",OR(Y196="排队",Y196="生产中",Y196="阻塞",Z196&lt;&gt;"",AA196&lt;&gt;"",AB196="是")),"已有排期字段缺少机台",IF(AND(X196&lt;&gt;"",Y196="待排"),"已填机台但状态为待排",IF(AND(Y196="生产中",AB196&lt;&gt;"是"),"需确认：生产中未锁定","可导入"))))))</x:f>
      </x:c>
    </x:row>
    <x:row r="197" ht="22" customHeight="1">
      <x:c r="A197" s="186" t="str">
        <x:f>IF(B197="","",ROW()-5)</x:f>
      </x:c>
      <x:c r="B197" s="196"/>
      <x:c r="C197" s="198"/>
      <x:c r="D197" s="196"/>
      <x:c r="E197" s="188"/>
      <x:c r="F197" s="198"/>
      <x:c r="G197" s="202"/>
      <x:c r="H197" s="204"/>
      <x:c r="I197" s="206" t="str">
        <x:f>IF(G197="","",MAX(G197-H197,0))</x:f>
      </x:c>
      <x:c r="J197" s="210"/>
      <x:c r="K197" s="190"/>
      <x:c r="L197" s="208"/>
      <x:c r="M197" s="208"/>
      <x:c r="N197" s="208"/>
      <x:c r="O197" s="208"/>
      <x:c r="P197" s="190"/>
      <x:c r="Q197" s="190"/>
      <x:c r="R197" s="190"/>
      <x:c r="S197" s="190"/>
      <x:c r="T197" s="190"/>
      <x:c r="U197" s="190"/>
      <x:c r="V197" s="212"/>
      <x:c r="W197" s="212"/>
      <x:c r="X197" s="200"/>
      <x:c r="Y197" s="192"/>
      <x:c r="Z197" s="214"/>
      <x:c r="AA197" s="214"/>
      <x:c r="AB197" s="192"/>
      <x:c r="AC197" s="194"/>
      <x:c r="AD197" s="186" t="str">
        <x:f>IF(COUNTA(B197:H197)+COUNTA(J197:AC197)=0,"",IF(OR(B197="",D197="",E197="",G197="",J197=""),"缺少必填项",IF(H197&gt;G197,"完成数大于订单数",IF(AND(X197="",OR(Y197="排队",Y197="生产中",Y197="阻塞",Z197&lt;&gt;"",AA197&lt;&gt;"",AB197="是")),"已有排期字段缺少机台",IF(AND(X197&lt;&gt;"",Y197="待排"),"已填机台但状态为待排",IF(AND(Y197="生产中",AB197&lt;&gt;"是"),"需确认：生产中未锁定","可导入"))))))</x:f>
      </x:c>
    </x:row>
    <x:row r="198" ht="22" customHeight="1">
      <x:c r="A198" s="186" t="str">
        <x:f>IF(B198="","",ROW()-5)</x:f>
      </x:c>
      <x:c r="B198" s="196"/>
      <x:c r="C198" s="198"/>
      <x:c r="D198" s="196"/>
      <x:c r="E198" s="188"/>
      <x:c r="F198" s="198"/>
      <x:c r="G198" s="202"/>
      <x:c r="H198" s="204"/>
      <x:c r="I198" s="206" t="str">
        <x:f>IF(G198="","",MAX(G198-H198,0))</x:f>
      </x:c>
      <x:c r="J198" s="210"/>
      <x:c r="K198" s="190"/>
      <x:c r="L198" s="208"/>
      <x:c r="M198" s="208"/>
      <x:c r="N198" s="208"/>
      <x:c r="O198" s="208"/>
      <x:c r="P198" s="190"/>
      <x:c r="Q198" s="190"/>
      <x:c r="R198" s="190"/>
      <x:c r="S198" s="190"/>
      <x:c r="T198" s="190"/>
      <x:c r="U198" s="190"/>
      <x:c r="V198" s="212"/>
      <x:c r="W198" s="212"/>
      <x:c r="X198" s="200"/>
      <x:c r="Y198" s="192"/>
      <x:c r="Z198" s="214"/>
      <x:c r="AA198" s="214"/>
      <x:c r="AB198" s="192"/>
      <x:c r="AC198" s="194"/>
      <x:c r="AD198" s="186" t="str">
        <x:f>IF(COUNTA(B198:H198)+COUNTA(J198:AC198)=0,"",IF(OR(B198="",D198="",E198="",G198="",J198=""),"缺少必填项",IF(H198&gt;G198,"完成数大于订单数",IF(AND(X198="",OR(Y198="排队",Y198="生产中",Y198="阻塞",Z198&lt;&gt;"",AA198&lt;&gt;"",AB198="是")),"已有排期字段缺少机台",IF(AND(X198&lt;&gt;"",Y198="待排"),"已填机台但状态为待排",IF(AND(Y198="生产中",AB198&lt;&gt;"是"),"需确认：生产中未锁定","可导入"))))))</x:f>
      </x:c>
    </x:row>
    <x:row r="199" ht="22" customHeight="1">
      <x:c r="A199" s="186" t="str">
        <x:f>IF(B199="","",ROW()-5)</x:f>
      </x:c>
      <x:c r="B199" s="196"/>
      <x:c r="C199" s="198"/>
      <x:c r="D199" s="196"/>
      <x:c r="E199" s="188"/>
      <x:c r="F199" s="198"/>
      <x:c r="G199" s="202"/>
      <x:c r="H199" s="204"/>
      <x:c r="I199" s="206" t="str">
        <x:f>IF(G199="","",MAX(G199-H199,0))</x:f>
      </x:c>
      <x:c r="J199" s="210"/>
      <x:c r="K199" s="190"/>
      <x:c r="L199" s="208"/>
      <x:c r="M199" s="208"/>
      <x:c r="N199" s="208"/>
      <x:c r="O199" s="208"/>
      <x:c r="P199" s="190"/>
      <x:c r="Q199" s="190"/>
      <x:c r="R199" s="190"/>
      <x:c r="S199" s="190"/>
      <x:c r="T199" s="190"/>
      <x:c r="U199" s="190"/>
      <x:c r="V199" s="212"/>
      <x:c r="W199" s="212"/>
      <x:c r="X199" s="200"/>
      <x:c r="Y199" s="192"/>
      <x:c r="Z199" s="214"/>
      <x:c r="AA199" s="214"/>
      <x:c r="AB199" s="192"/>
      <x:c r="AC199" s="194"/>
      <x:c r="AD199" s="186" t="str">
        <x:f>IF(COUNTA(B199:H199)+COUNTA(J199:AC199)=0,"",IF(OR(B199="",D199="",E199="",G199="",J199=""),"缺少必填项",IF(H199&gt;G199,"完成数大于订单数",IF(AND(X199="",OR(Y199="排队",Y199="生产中",Y199="阻塞",Z199&lt;&gt;"",AA199&lt;&gt;"",AB199="是")),"已有排期字段缺少机台",IF(AND(X199&lt;&gt;"",Y199="待排"),"已填机台但状态为待排",IF(AND(Y199="生产中",AB199&lt;&gt;"是"),"需确认：生产中未锁定","可导入"))))))</x:f>
      </x:c>
    </x:row>
    <x:row r="200" ht="22" customHeight="1">
      <x:c r="A200" s="186" t="str">
        <x:f>IF(B200="","",ROW()-5)</x:f>
      </x:c>
      <x:c r="B200" s="196"/>
      <x:c r="C200" s="198"/>
      <x:c r="D200" s="196"/>
      <x:c r="E200" s="188"/>
      <x:c r="F200" s="198"/>
      <x:c r="G200" s="202"/>
      <x:c r="H200" s="204"/>
      <x:c r="I200" s="206" t="str">
        <x:f>IF(G200="","",MAX(G200-H200,0))</x:f>
      </x:c>
      <x:c r="J200" s="210"/>
      <x:c r="K200" s="190"/>
      <x:c r="L200" s="208"/>
      <x:c r="M200" s="208"/>
      <x:c r="N200" s="208"/>
      <x:c r="O200" s="208"/>
      <x:c r="P200" s="190"/>
      <x:c r="Q200" s="190"/>
      <x:c r="R200" s="190"/>
      <x:c r="S200" s="190"/>
      <x:c r="T200" s="190"/>
      <x:c r="U200" s="190"/>
      <x:c r="V200" s="212"/>
      <x:c r="W200" s="212"/>
      <x:c r="X200" s="200"/>
      <x:c r="Y200" s="192"/>
      <x:c r="Z200" s="214"/>
      <x:c r="AA200" s="214"/>
      <x:c r="AB200" s="192"/>
      <x:c r="AC200" s="194"/>
      <x:c r="AD200" s="186" t="str">
        <x:f>IF(COUNTA(B200:H200)+COUNTA(J200:AC200)=0,"",IF(OR(B200="",D200="",E200="",G200="",J200=""),"缺少必填项",IF(H200&gt;G200,"完成数大于订单数",IF(AND(X200="",OR(Y200="排队",Y200="生产中",Y200="阻塞",Z200&lt;&gt;"",AA200&lt;&gt;"",AB200="是")),"已有排期字段缺少机台",IF(AND(X200&lt;&gt;"",Y200="待排"),"已填机台但状态为待排",IF(AND(Y200="生产中",AB200&lt;&gt;"是"),"需确认：生产中未锁定","可导入"))))))</x:f>
      </x:c>
    </x:row>
    <x:row r="201" ht="22" customHeight="1">
      <x:c r="A201" s="186" t="str">
        <x:f>IF(B201="","",ROW()-5)</x:f>
      </x:c>
      <x:c r="B201" s="196"/>
      <x:c r="C201" s="198"/>
      <x:c r="D201" s="196"/>
      <x:c r="E201" s="188"/>
      <x:c r="F201" s="198"/>
      <x:c r="G201" s="202"/>
      <x:c r="H201" s="204"/>
      <x:c r="I201" s="206" t="str">
        <x:f>IF(G201="","",MAX(G201-H201,0))</x:f>
      </x:c>
      <x:c r="J201" s="210"/>
      <x:c r="K201" s="190"/>
      <x:c r="L201" s="208"/>
      <x:c r="M201" s="208"/>
      <x:c r="N201" s="208"/>
      <x:c r="O201" s="208"/>
      <x:c r="P201" s="190"/>
      <x:c r="Q201" s="190"/>
      <x:c r="R201" s="190"/>
      <x:c r="S201" s="190"/>
      <x:c r="T201" s="190"/>
      <x:c r="U201" s="190"/>
      <x:c r="V201" s="212"/>
      <x:c r="W201" s="212"/>
      <x:c r="X201" s="200"/>
      <x:c r="Y201" s="192"/>
      <x:c r="Z201" s="214"/>
      <x:c r="AA201" s="214"/>
      <x:c r="AB201" s="192"/>
      <x:c r="AC201" s="194"/>
      <x:c r="AD201" s="186" t="str">
        <x:f>IF(COUNTA(B201:H201)+COUNTA(J201:AC201)=0,"",IF(OR(B201="",D201="",E201="",G201="",J201=""),"缺少必填项",IF(H201&gt;G201,"完成数大于订单数",IF(AND(X201="",OR(Y201="排队",Y201="生产中",Y201="阻塞",Z201&lt;&gt;"",AA201&lt;&gt;"",AB201="是")),"已有排期字段缺少机台",IF(AND(X201&lt;&gt;"",Y201="待排"),"已填机台但状态为待排",IF(AND(Y201="生产中",AB201&lt;&gt;"是"),"需确认：生产中未锁定","可导入"))))))</x:f>
      </x:c>
    </x:row>
    <x:row r="202" ht="22" customHeight="1">
      <x:c r="A202" s="186" t="str">
        <x:f>IF(B202="","",ROW()-5)</x:f>
      </x:c>
      <x:c r="B202" s="196"/>
      <x:c r="C202" s="198"/>
      <x:c r="D202" s="196"/>
      <x:c r="E202" s="188"/>
      <x:c r="F202" s="198"/>
      <x:c r="G202" s="202"/>
      <x:c r="H202" s="204"/>
      <x:c r="I202" s="206" t="str">
        <x:f>IF(G202="","",MAX(G202-H202,0))</x:f>
      </x:c>
      <x:c r="J202" s="210"/>
      <x:c r="K202" s="190"/>
      <x:c r="L202" s="208"/>
      <x:c r="M202" s="208"/>
      <x:c r="N202" s="208"/>
      <x:c r="O202" s="208"/>
      <x:c r="P202" s="190"/>
      <x:c r="Q202" s="190"/>
      <x:c r="R202" s="190"/>
      <x:c r="S202" s="190"/>
      <x:c r="T202" s="190"/>
      <x:c r="U202" s="190"/>
      <x:c r="V202" s="212"/>
      <x:c r="W202" s="212"/>
      <x:c r="X202" s="200"/>
      <x:c r="Y202" s="192"/>
      <x:c r="Z202" s="214"/>
      <x:c r="AA202" s="214"/>
      <x:c r="AB202" s="192"/>
      <x:c r="AC202" s="194"/>
      <x:c r="AD202" s="186" t="str">
        <x:f>IF(COUNTA(B202:H202)+COUNTA(J202:AC202)=0,"",IF(OR(B202="",D202="",E202="",G202="",J202=""),"缺少必填项",IF(H202&gt;G202,"完成数大于订单数",IF(AND(X202="",OR(Y202="排队",Y202="生产中",Y202="阻塞",Z202&lt;&gt;"",AA202&lt;&gt;"",AB202="是")),"已有排期字段缺少机台",IF(AND(X202&lt;&gt;"",Y202="待排"),"已填机台但状态为待排",IF(AND(Y202="生产中",AB202&lt;&gt;"是"),"需确认：生产中未锁定","可导入"))))))</x:f>
      </x:c>
    </x:row>
    <x:row r="203" ht="22" customHeight="1">
      <x:c r="A203" s="186" t="str">
        <x:f>IF(B203="","",ROW()-5)</x:f>
      </x:c>
      <x:c r="B203" s="196"/>
      <x:c r="C203" s="198"/>
      <x:c r="D203" s="196"/>
      <x:c r="E203" s="188"/>
      <x:c r="F203" s="198"/>
      <x:c r="G203" s="202"/>
      <x:c r="H203" s="204"/>
      <x:c r="I203" s="206" t="str">
        <x:f>IF(G203="","",MAX(G203-H203,0))</x:f>
      </x:c>
      <x:c r="J203" s="210"/>
      <x:c r="K203" s="190"/>
      <x:c r="L203" s="208"/>
      <x:c r="M203" s="208"/>
      <x:c r="N203" s="208"/>
      <x:c r="O203" s="208"/>
      <x:c r="P203" s="190"/>
      <x:c r="Q203" s="190"/>
      <x:c r="R203" s="190"/>
      <x:c r="S203" s="190"/>
      <x:c r="T203" s="190"/>
      <x:c r="U203" s="190"/>
      <x:c r="V203" s="212"/>
      <x:c r="W203" s="212"/>
      <x:c r="X203" s="200"/>
      <x:c r="Y203" s="192"/>
      <x:c r="Z203" s="214"/>
      <x:c r="AA203" s="214"/>
      <x:c r="AB203" s="192"/>
      <x:c r="AC203" s="194"/>
      <x:c r="AD203" s="186" t="str">
        <x:f>IF(COUNTA(B203:H203)+COUNTA(J203:AC203)=0,"",IF(OR(B203="",D203="",E203="",G203="",J203=""),"缺少必填项",IF(H203&gt;G203,"完成数大于订单数",IF(AND(X203="",OR(Y203="排队",Y203="生产中",Y203="阻塞",Z203&lt;&gt;"",AA203&lt;&gt;"",AB203="是")),"已有排期字段缺少机台",IF(AND(X203&lt;&gt;"",Y203="待排"),"已填机台但状态为待排",IF(AND(Y203="生产中",AB203&lt;&gt;"是"),"需确认：生产中未锁定","可导入"))))))</x:f>
      </x:c>
    </x:row>
    <x:row r="204" ht="22" customHeight="1">
      <x:c r="A204" s="186" t="str">
        <x:f>IF(B204="","",ROW()-5)</x:f>
      </x:c>
      <x:c r="B204" s="196"/>
      <x:c r="C204" s="198"/>
      <x:c r="D204" s="196"/>
      <x:c r="E204" s="188"/>
      <x:c r="F204" s="198"/>
      <x:c r="G204" s="202"/>
      <x:c r="H204" s="204"/>
      <x:c r="I204" s="206" t="str">
        <x:f>IF(G204="","",MAX(G204-H204,0))</x:f>
      </x:c>
      <x:c r="J204" s="210"/>
      <x:c r="K204" s="190"/>
      <x:c r="L204" s="208"/>
      <x:c r="M204" s="208"/>
      <x:c r="N204" s="208"/>
      <x:c r="O204" s="208"/>
      <x:c r="P204" s="190"/>
      <x:c r="Q204" s="190"/>
      <x:c r="R204" s="190"/>
      <x:c r="S204" s="190"/>
      <x:c r="T204" s="190"/>
      <x:c r="U204" s="190"/>
      <x:c r="V204" s="212"/>
      <x:c r="W204" s="212"/>
      <x:c r="X204" s="200"/>
      <x:c r="Y204" s="192"/>
      <x:c r="Z204" s="214"/>
      <x:c r="AA204" s="214"/>
      <x:c r="AB204" s="192"/>
      <x:c r="AC204" s="194"/>
      <x:c r="AD204" s="186" t="str">
        <x:f>IF(COUNTA(B204:H204)+COUNTA(J204:AC204)=0,"",IF(OR(B204="",D204="",E204="",G204="",J204=""),"缺少必填项",IF(H204&gt;G204,"完成数大于订单数",IF(AND(X204="",OR(Y204="排队",Y204="生产中",Y204="阻塞",Z204&lt;&gt;"",AA204&lt;&gt;"",AB204="是")),"已有排期字段缺少机台",IF(AND(X204&lt;&gt;"",Y204="待排"),"已填机台但状态为待排",IF(AND(Y204="生产中",AB204&lt;&gt;"是"),"需确认：生产中未锁定","可导入"))))))</x:f>
      </x:c>
    </x:row>
    <x:row r="205" ht="22" customHeight="1">
      <x:c r="A205" s="186" t="str">
        <x:f>IF(B205="","",ROW()-5)</x:f>
      </x:c>
      <x:c r="B205" s="196"/>
      <x:c r="C205" s="198"/>
      <x:c r="D205" s="196"/>
      <x:c r="E205" s="188"/>
      <x:c r="F205" s="198"/>
      <x:c r="G205" s="202"/>
      <x:c r="H205" s="204"/>
      <x:c r="I205" s="206" t="str">
        <x:f>IF(G205="","",MAX(G205-H205,0))</x:f>
      </x:c>
      <x:c r="J205" s="210"/>
      <x:c r="K205" s="190"/>
      <x:c r="L205" s="208"/>
      <x:c r="M205" s="208"/>
      <x:c r="N205" s="208"/>
      <x:c r="O205" s="208"/>
      <x:c r="P205" s="190"/>
      <x:c r="Q205" s="190"/>
      <x:c r="R205" s="190"/>
      <x:c r="S205" s="190"/>
      <x:c r="T205" s="190"/>
      <x:c r="U205" s="190"/>
      <x:c r="V205" s="212"/>
      <x:c r="W205" s="212"/>
      <x:c r="X205" s="200"/>
      <x:c r="Y205" s="192"/>
      <x:c r="Z205" s="214"/>
      <x:c r="AA205" s="214"/>
      <x:c r="AB205" s="192"/>
      <x:c r="AC205" s="194"/>
      <x:c r="AD205" s="186" t="str">
        <x:f>IF(COUNTA(B205:H205)+COUNTA(J205:AC205)=0,"",IF(OR(B205="",D205="",E205="",G205="",J205=""),"缺少必填项",IF(H205&gt;G205,"完成数大于订单数",IF(AND(X205="",OR(Y205="排队",Y205="生产中",Y205="阻塞",Z205&lt;&gt;"",AA205&lt;&gt;"",AB205="是")),"已有排期字段缺少机台",IF(AND(X205&lt;&gt;"",Y205="待排"),"已填机台但状态为待排",IF(AND(Y205="生产中",AB205&lt;&gt;"是"),"需确认：生产中未锁定","可导入"))))))</x:f>
      </x:c>
    </x:row>
    <x:row r="206" ht="22" customHeight="1">
      <x:c r="A206" s="186" t="str">
        <x:f>IF(B206="","",ROW()-5)</x:f>
      </x:c>
      <x:c r="B206" s="196"/>
      <x:c r="C206" s="198"/>
      <x:c r="D206" s="196"/>
      <x:c r="E206" s="188"/>
      <x:c r="F206" s="198"/>
      <x:c r="G206" s="202"/>
      <x:c r="H206" s="204"/>
      <x:c r="I206" s="206" t="str">
        <x:f>IF(G206="","",MAX(G206-H206,0))</x:f>
      </x:c>
      <x:c r="J206" s="210"/>
      <x:c r="K206" s="190"/>
      <x:c r="L206" s="208"/>
      <x:c r="M206" s="208"/>
      <x:c r="N206" s="208"/>
      <x:c r="O206" s="208"/>
      <x:c r="P206" s="190"/>
      <x:c r="Q206" s="190"/>
      <x:c r="R206" s="190"/>
      <x:c r="S206" s="190"/>
      <x:c r="T206" s="190"/>
      <x:c r="U206" s="190"/>
      <x:c r="V206" s="212"/>
      <x:c r="W206" s="212"/>
      <x:c r="X206" s="200"/>
      <x:c r="Y206" s="192"/>
      <x:c r="Z206" s="214"/>
      <x:c r="AA206" s="214"/>
      <x:c r="AB206" s="192"/>
      <x:c r="AC206" s="194"/>
      <x:c r="AD206" s="186" t="str">
        <x:f>IF(COUNTA(B206:H206)+COUNTA(J206:AC206)=0,"",IF(OR(B206="",D206="",E206="",G206="",J206=""),"缺少必填项",IF(H206&gt;G206,"完成数大于订单数",IF(AND(X206="",OR(Y206="排队",Y206="生产中",Y206="阻塞",Z206&lt;&gt;"",AA206&lt;&gt;"",AB206="是")),"已有排期字段缺少机台",IF(AND(X206&lt;&gt;"",Y206="待排"),"已填机台但状态为待排",IF(AND(Y206="生产中",AB206&lt;&gt;"是"),"需确认：生产中未锁定","可导入"))))))</x:f>
      </x:c>
    </x:row>
    <x:row r="207" ht="22" customHeight="1">
      <x:c r="A207" s="186" t="str">
        <x:f>IF(B207="","",ROW()-5)</x:f>
      </x:c>
      <x:c r="B207" s="196"/>
      <x:c r="C207" s="198"/>
      <x:c r="D207" s="196"/>
      <x:c r="E207" s="188"/>
      <x:c r="F207" s="198"/>
      <x:c r="G207" s="202"/>
      <x:c r="H207" s="204"/>
      <x:c r="I207" s="206" t="str">
        <x:f>IF(G207="","",MAX(G207-H207,0))</x:f>
      </x:c>
      <x:c r="J207" s="210"/>
      <x:c r="K207" s="190"/>
      <x:c r="L207" s="208"/>
      <x:c r="M207" s="208"/>
      <x:c r="N207" s="208"/>
      <x:c r="O207" s="208"/>
      <x:c r="P207" s="190"/>
      <x:c r="Q207" s="190"/>
      <x:c r="R207" s="190"/>
      <x:c r="S207" s="190"/>
      <x:c r="T207" s="190"/>
      <x:c r="U207" s="190"/>
      <x:c r="V207" s="212"/>
      <x:c r="W207" s="212"/>
      <x:c r="X207" s="200"/>
      <x:c r="Y207" s="192"/>
      <x:c r="Z207" s="214"/>
      <x:c r="AA207" s="214"/>
      <x:c r="AB207" s="192"/>
      <x:c r="AC207" s="194"/>
      <x:c r="AD207" s="186" t="str">
        <x:f>IF(COUNTA(B207:H207)+COUNTA(J207:AC207)=0,"",IF(OR(B207="",D207="",E207="",G207="",J207=""),"缺少必填项",IF(H207&gt;G207,"完成数大于订单数",IF(AND(X207="",OR(Y207="排队",Y207="生产中",Y207="阻塞",Z207&lt;&gt;"",AA207&lt;&gt;"",AB207="是")),"已有排期字段缺少机台",IF(AND(X207&lt;&gt;"",Y207="待排"),"已填机台但状态为待排",IF(AND(Y207="生产中",AB207&lt;&gt;"是"),"需确认：生产中未锁定","可导入"))))))</x:f>
      </x:c>
    </x:row>
    <x:row r="208" ht="22" customHeight="1">
      <x:c r="A208" s="186" t="str">
        <x:f>IF(B208="","",ROW()-5)</x:f>
      </x:c>
      <x:c r="B208" s="196"/>
      <x:c r="C208" s="198"/>
      <x:c r="D208" s="196"/>
      <x:c r="E208" s="188"/>
      <x:c r="F208" s="198"/>
      <x:c r="G208" s="202"/>
      <x:c r="H208" s="204"/>
      <x:c r="I208" s="206" t="str">
        <x:f>IF(G208="","",MAX(G208-H208,0))</x:f>
      </x:c>
      <x:c r="J208" s="210"/>
      <x:c r="K208" s="190"/>
      <x:c r="L208" s="208"/>
      <x:c r="M208" s="208"/>
      <x:c r="N208" s="208"/>
      <x:c r="O208" s="208"/>
      <x:c r="P208" s="190"/>
      <x:c r="Q208" s="190"/>
      <x:c r="R208" s="190"/>
      <x:c r="S208" s="190"/>
      <x:c r="T208" s="190"/>
      <x:c r="U208" s="190"/>
      <x:c r="V208" s="212"/>
      <x:c r="W208" s="212"/>
      <x:c r="X208" s="200"/>
      <x:c r="Y208" s="192"/>
      <x:c r="Z208" s="214"/>
      <x:c r="AA208" s="214"/>
      <x:c r="AB208" s="192"/>
      <x:c r="AC208" s="194"/>
      <x:c r="AD208" s="186" t="str">
        <x:f>IF(COUNTA(B208:H208)+COUNTA(J208:AC208)=0,"",IF(OR(B208="",D208="",E208="",G208="",J208=""),"缺少必填项",IF(H208&gt;G208,"完成数大于订单数",IF(AND(X208="",OR(Y208="排队",Y208="生产中",Y208="阻塞",Z208&lt;&gt;"",AA208&lt;&gt;"",AB208="是")),"已有排期字段缺少机台",IF(AND(X208&lt;&gt;"",Y208="待排"),"已填机台但状态为待排",IF(AND(Y208="生产中",AB208&lt;&gt;"是"),"需确认：生产中未锁定","可导入"))))))</x:f>
      </x:c>
    </x:row>
    <x:row r="209" ht="22" customHeight="1">
      <x:c r="A209" s="186" t="str">
        <x:f>IF(B209="","",ROW()-5)</x:f>
      </x:c>
      <x:c r="B209" s="196"/>
      <x:c r="C209" s="198"/>
      <x:c r="D209" s="196"/>
      <x:c r="E209" s="188"/>
      <x:c r="F209" s="198"/>
      <x:c r="G209" s="202"/>
      <x:c r="H209" s="204"/>
      <x:c r="I209" s="206" t="str">
        <x:f>IF(G209="","",MAX(G209-H209,0))</x:f>
      </x:c>
      <x:c r="J209" s="210"/>
      <x:c r="K209" s="190"/>
      <x:c r="L209" s="208"/>
      <x:c r="M209" s="208"/>
      <x:c r="N209" s="208"/>
      <x:c r="O209" s="208"/>
      <x:c r="P209" s="190"/>
      <x:c r="Q209" s="190"/>
      <x:c r="R209" s="190"/>
      <x:c r="S209" s="190"/>
      <x:c r="T209" s="190"/>
      <x:c r="U209" s="190"/>
      <x:c r="V209" s="212"/>
      <x:c r="W209" s="212"/>
      <x:c r="X209" s="200"/>
      <x:c r="Y209" s="192"/>
      <x:c r="Z209" s="214"/>
      <x:c r="AA209" s="214"/>
      <x:c r="AB209" s="192"/>
      <x:c r="AC209" s="194"/>
      <x:c r="AD209" s="186" t="str">
        <x:f>IF(COUNTA(B209:H209)+COUNTA(J209:AC209)=0,"",IF(OR(B209="",D209="",E209="",G209="",J209=""),"缺少必填项",IF(H209&gt;G209,"完成数大于订单数",IF(AND(X209="",OR(Y209="排队",Y209="生产中",Y209="阻塞",Z209&lt;&gt;"",AA209&lt;&gt;"",AB209="是")),"已有排期字段缺少机台",IF(AND(X209&lt;&gt;"",Y209="待排"),"已填机台但状态为待排",IF(AND(Y209="生产中",AB209&lt;&gt;"是"),"需确认：生产中未锁定","可导入"))))))</x:f>
      </x:c>
    </x:row>
    <x:row r="210" ht="22" customHeight="1">
      <x:c r="A210" s="186" t="str">
        <x:f>IF(B210="","",ROW()-5)</x:f>
      </x:c>
      <x:c r="B210" s="196"/>
      <x:c r="C210" s="198"/>
      <x:c r="D210" s="196"/>
      <x:c r="E210" s="188"/>
      <x:c r="F210" s="198"/>
      <x:c r="G210" s="202"/>
      <x:c r="H210" s="204"/>
      <x:c r="I210" s="206" t="str">
        <x:f>IF(G210="","",MAX(G210-H210,0))</x:f>
      </x:c>
      <x:c r="J210" s="210"/>
      <x:c r="K210" s="190"/>
      <x:c r="L210" s="208"/>
      <x:c r="M210" s="208"/>
      <x:c r="N210" s="208"/>
      <x:c r="O210" s="208"/>
      <x:c r="P210" s="190"/>
      <x:c r="Q210" s="190"/>
      <x:c r="R210" s="190"/>
      <x:c r="S210" s="190"/>
      <x:c r="T210" s="190"/>
      <x:c r="U210" s="190"/>
      <x:c r="V210" s="212"/>
      <x:c r="W210" s="212"/>
      <x:c r="X210" s="200"/>
      <x:c r="Y210" s="192"/>
      <x:c r="Z210" s="214"/>
      <x:c r="AA210" s="214"/>
      <x:c r="AB210" s="192"/>
      <x:c r="AC210" s="194"/>
      <x:c r="AD210" s="186" t="str">
        <x:f>IF(COUNTA(B210:H210)+COUNTA(J210:AC210)=0,"",IF(OR(B210="",D210="",E210="",G210="",J210=""),"缺少必填项",IF(H210&gt;G210,"完成数大于订单数",IF(AND(X210="",OR(Y210="排队",Y210="生产中",Y210="阻塞",Z210&lt;&gt;"",AA210&lt;&gt;"",AB210="是")),"已有排期字段缺少机台",IF(AND(X210&lt;&gt;"",Y210="待排"),"已填机台但状态为待排",IF(AND(Y210="生产中",AB210&lt;&gt;"是"),"需确认：生产中未锁定","可导入"))))))</x:f>
      </x:c>
    </x:row>
    <x:row r="211" ht="22" customHeight="1">
      <x:c r="A211" s="186" t="str">
        <x:f>IF(B211="","",ROW()-5)</x:f>
      </x:c>
      <x:c r="B211" s="196"/>
      <x:c r="C211" s="198"/>
      <x:c r="D211" s="196"/>
      <x:c r="E211" s="188"/>
      <x:c r="F211" s="198"/>
      <x:c r="G211" s="202"/>
      <x:c r="H211" s="204"/>
      <x:c r="I211" s="206" t="str">
        <x:f>IF(G211="","",MAX(G211-H211,0))</x:f>
      </x:c>
      <x:c r="J211" s="210"/>
      <x:c r="K211" s="190"/>
      <x:c r="L211" s="208"/>
      <x:c r="M211" s="208"/>
      <x:c r="N211" s="208"/>
      <x:c r="O211" s="208"/>
      <x:c r="P211" s="190"/>
      <x:c r="Q211" s="190"/>
      <x:c r="R211" s="190"/>
      <x:c r="S211" s="190"/>
      <x:c r="T211" s="190"/>
      <x:c r="U211" s="190"/>
      <x:c r="V211" s="212"/>
      <x:c r="W211" s="212"/>
      <x:c r="X211" s="200"/>
      <x:c r="Y211" s="192"/>
      <x:c r="Z211" s="214"/>
      <x:c r="AA211" s="214"/>
      <x:c r="AB211" s="192"/>
      <x:c r="AC211" s="194"/>
      <x:c r="AD211" s="186" t="str">
        <x:f>IF(COUNTA(B211:H211)+COUNTA(J211:AC211)=0,"",IF(OR(B211="",D211="",E211="",G211="",J211=""),"缺少必填项",IF(H211&gt;G211,"完成数大于订单数",IF(AND(X211="",OR(Y211="排队",Y211="生产中",Y211="阻塞",Z211&lt;&gt;"",AA211&lt;&gt;"",AB211="是")),"已有排期字段缺少机台",IF(AND(X211&lt;&gt;"",Y211="待排"),"已填机台但状态为待排",IF(AND(Y211="生产中",AB211&lt;&gt;"是"),"需确认：生产中未锁定","可导入"))))))</x:f>
      </x:c>
    </x:row>
    <x:row r="212" ht="22" customHeight="1">
      <x:c r="A212" s="186" t="str">
        <x:f>IF(B212="","",ROW()-5)</x:f>
      </x:c>
      <x:c r="B212" s="196"/>
      <x:c r="C212" s="198"/>
      <x:c r="D212" s="196"/>
      <x:c r="E212" s="188"/>
      <x:c r="F212" s="198"/>
      <x:c r="G212" s="202"/>
      <x:c r="H212" s="204"/>
      <x:c r="I212" s="206" t="str">
        <x:f>IF(G212="","",MAX(G212-H212,0))</x:f>
      </x:c>
      <x:c r="J212" s="210"/>
      <x:c r="K212" s="190"/>
      <x:c r="L212" s="208"/>
      <x:c r="M212" s="208"/>
      <x:c r="N212" s="208"/>
      <x:c r="O212" s="208"/>
      <x:c r="P212" s="190"/>
      <x:c r="Q212" s="190"/>
      <x:c r="R212" s="190"/>
      <x:c r="S212" s="190"/>
      <x:c r="T212" s="190"/>
      <x:c r="U212" s="190"/>
      <x:c r="V212" s="212"/>
      <x:c r="W212" s="212"/>
      <x:c r="X212" s="200"/>
      <x:c r="Y212" s="192"/>
      <x:c r="Z212" s="214"/>
      <x:c r="AA212" s="214"/>
      <x:c r="AB212" s="192"/>
      <x:c r="AC212" s="194"/>
      <x:c r="AD212" s="186" t="str">
        <x:f>IF(COUNTA(B212:H212)+COUNTA(J212:AC212)=0,"",IF(OR(B212="",D212="",E212="",G212="",J212=""),"缺少必填项",IF(H212&gt;G212,"完成数大于订单数",IF(AND(X212="",OR(Y212="排队",Y212="生产中",Y212="阻塞",Z212&lt;&gt;"",AA212&lt;&gt;"",AB212="是")),"已有排期字段缺少机台",IF(AND(X212&lt;&gt;"",Y212="待排"),"已填机台但状态为待排",IF(AND(Y212="生产中",AB212&lt;&gt;"是"),"需确认：生产中未锁定","可导入"))))))</x:f>
      </x:c>
    </x:row>
    <x:row r="213" ht="22" customHeight="1">
      <x:c r="A213" s="186" t="str">
        <x:f>IF(B213="","",ROW()-5)</x:f>
      </x:c>
      <x:c r="B213" s="196"/>
      <x:c r="C213" s="198"/>
      <x:c r="D213" s="196"/>
      <x:c r="E213" s="188"/>
      <x:c r="F213" s="198"/>
      <x:c r="G213" s="202"/>
      <x:c r="H213" s="204"/>
      <x:c r="I213" s="206" t="str">
        <x:f>IF(G213="","",MAX(G213-H213,0))</x:f>
      </x:c>
      <x:c r="J213" s="210"/>
      <x:c r="K213" s="190"/>
      <x:c r="L213" s="208"/>
      <x:c r="M213" s="208"/>
      <x:c r="N213" s="208"/>
      <x:c r="O213" s="208"/>
      <x:c r="P213" s="190"/>
      <x:c r="Q213" s="190"/>
      <x:c r="R213" s="190"/>
      <x:c r="S213" s="190"/>
      <x:c r="T213" s="190"/>
      <x:c r="U213" s="190"/>
      <x:c r="V213" s="212"/>
      <x:c r="W213" s="212"/>
      <x:c r="X213" s="200"/>
      <x:c r="Y213" s="192"/>
      <x:c r="Z213" s="214"/>
      <x:c r="AA213" s="214"/>
      <x:c r="AB213" s="192"/>
      <x:c r="AC213" s="194"/>
      <x:c r="AD213" s="186" t="str">
        <x:f>IF(COUNTA(B213:H213)+COUNTA(J213:AC213)=0,"",IF(OR(B213="",D213="",E213="",G213="",J213=""),"缺少必填项",IF(H213&gt;G213,"完成数大于订单数",IF(AND(X213="",OR(Y213="排队",Y213="生产中",Y213="阻塞",Z213&lt;&gt;"",AA213&lt;&gt;"",AB213="是")),"已有排期字段缺少机台",IF(AND(X213&lt;&gt;"",Y213="待排"),"已填机台但状态为待排",IF(AND(Y213="生产中",AB213&lt;&gt;"是"),"需确认：生产中未锁定","可导入"))))))</x:f>
      </x:c>
    </x:row>
    <x:row r="214" ht="22" customHeight="1">
      <x:c r="A214" s="186" t="str">
        <x:f>IF(B214="","",ROW()-5)</x:f>
      </x:c>
      <x:c r="B214" s="196"/>
      <x:c r="C214" s="198"/>
      <x:c r="D214" s="196"/>
      <x:c r="E214" s="188"/>
      <x:c r="F214" s="198"/>
      <x:c r="G214" s="202"/>
      <x:c r="H214" s="204"/>
      <x:c r="I214" s="206" t="str">
        <x:f>IF(G214="","",MAX(G214-H214,0))</x:f>
      </x:c>
      <x:c r="J214" s="210"/>
      <x:c r="K214" s="190"/>
      <x:c r="L214" s="208"/>
      <x:c r="M214" s="208"/>
      <x:c r="N214" s="208"/>
      <x:c r="O214" s="208"/>
      <x:c r="P214" s="190"/>
      <x:c r="Q214" s="190"/>
      <x:c r="R214" s="190"/>
      <x:c r="S214" s="190"/>
      <x:c r="T214" s="190"/>
      <x:c r="U214" s="190"/>
      <x:c r="V214" s="212"/>
      <x:c r="W214" s="212"/>
      <x:c r="X214" s="200"/>
      <x:c r="Y214" s="192"/>
      <x:c r="Z214" s="214"/>
      <x:c r="AA214" s="214"/>
      <x:c r="AB214" s="192"/>
      <x:c r="AC214" s="194"/>
      <x:c r="AD214" s="186" t="str">
        <x:f>IF(COUNTA(B214:H214)+COUNTA(J214:AC214)=0,"",IF(OR(B214="",D214="",E214="",G214="",J214=""),"缺少必填项",IF(H214&gt;G214,"完成数大于订单数",IF(AND(X214="",OR(Y214="排队",Y214="生产中",Y214="阻塞",Z214&lt;&gt;"",AA214&lt;&gt;"",AB214="是")),"已有排期字段缺少机台",IF(AND(X214&lt;&gt;"",Y214="待排"),"已填机台但状态为待排",IF(AND(Y214="生产中",AB214&lt;&gt;"是"),"需确认：生产中未锁定","可导入"))))))</x:f>
      </x:c>
    </x:row>
    <x:row r="215" ht="22" customHeight="1">
      <x:c r="A215" s="186" t="str">
        <x:f>IF(B215="","",ROW()-5)</x:f>
      </x:c>
      <x:c r="B215" s="196"/>
      <x:c r="C215" s="198"/>
      <x:c r="D215" s="196"/>
      <x:c r="E215" s="188"/>
      <x:c r="F215" s="198"/>
      <x:c r="G215" s="202"/>
      <x:c r="H215" s="204"/>
      <x:c r="I215" s="206" t="str">
        <x:f>IF(G215="","",MAX(G215-H215,0))</x:f>
      </x:c>
      <x:c r="J215" s="210"/>
      <x:c r="K215" s="190"/>
      <x:c r="L215" s="208"/>
      <x:c r="M215" s="208"/>
      <x:c r="N215" s="208"/>
      <x:c r="O215" s="208"/>
      <x:c r="P215" s="190"/>
      <x:c r="Q215" s="190"/>
      <x:c r="R215" s="190"/>
      <x:c r="S215" s="190"/>
      <x:c r="T215" s="190"/>
      <x:c r="U215" s="190"/>
      <x:c r="V215" s="212"/>
      <x:c r="W215" s="212"/>
      <x:c r="X215" s="200"/>
      <x:c r="Y215" s="192"/>
      <x:c r="Z215" s="214"/>
      <x:c r="AA215" s="214"/>
      <x:c r="AB215" s="192"/>
      <x:c r="AC215" s="194"/>
      <x:c r="AD215" s="186" t="str">
        <x:f>IF(COUNTA(B215:H215)+COUNTA(J215:AC215)=0,"",IF(OR(B215="",D215="",E215="",G215="",J215=""),"缺少必填项",IF(H215&gt;G215,"完成数大于订单数",IF(AND(X215="",OR(Y215="排队",Y215="生产中",Y215="阻塞",Z215&lt;&gt;"",AA215&lt;&gt;"",AB215="是")),"已有排期字段缺少机台",IF(AND(X215&lt;&gt;"",Y215="待排"),"已填机台但状态为待排",IF(AND(Y215="生产中",AB215&lt;&gt;"是"),"需确认：生产中未锁定","可导入"))))))</x:f>
      </x:c>
    </x:row>
    <x:row r="216" ht="22" customHeight="1">
      <x:c r="A216" s="186" t="str">
        <x:f>IF(B216="","",ROW()-5)</x:f>
      </x:c>
      <x:c r="B216" s="196"/>
      <x:c r="C216" s="198"/>
      <x:c r="D216" s="196"/>
      <x:c r="E216" s="188"/>
      <x:c r="F216" s="198"/>
      <x:c r="G216" s="202"/>
      <x:c r="H216" s="204"/>
      <x:c r="I216" s="206" t="str">
        <x:f>IF(G216="","",MAX(G216-H216,0))</x:f>
      </x:c>
      <x:c r="J216" s="210"/>
      <x:c r="K216" s="190"/>
      <x:c r="L216" s="208"/>
      <x:c r="M216" s="208"/>
      <x:c r="N216" s="208"/>
      <x:c r="O216" s="208"/>
      <x:c r="P216" s="190"/>
      <x:c r="Q216" s="190"/>
      <x:c r="R216" s="190"/>
      <x:c r="S216" s="190"/>
      <x:c r="T216" s="190"/>
      <x:c r="U216" s="190"/>
      <x:c r="V216" s="212"/>
      <x:c r="W216" s="212"/>
      <x:c r="X216" s="200"/>
      <x:c r="Y216" s="192"/>
      <x:c r="Z216" s="214"/>
      <x:c r="AA216" s="214"/>
      <x:c r="AB216" s="192"/>
      <x:c r="AC216" s="194"/>
      <x:c r="AD216" s="186" t="str">
        <x:f>IF(COUNTA(B216:H216)+COUNTA(J216:AC216)=0,"",IF(OR(B216="",D216="",E216="",G216="",J216=""),"缺少必填项",IF(H216&gt;G216,"完成数大于订单数",IF(AND(X216="",OR(Y216="排队",Y216="生产中",Y216="阻塞",Z216&lt;&gt;"",AA216&lt;&gt;"",AB216="是")),"已有排期字段缺少机台",IF(AND(X216&lt;&gt;"",Y216="待排"),"已填机台但状态为待排",IF(AND(Y216="生产中",AB216&lt;&gt;"是"),"需确认：生产中未锁定","可导入"))))))</x:f>
      </x:c>
    </x:row>
    <x:row r="217" ht="22" customHeight="1">
      <x:c r="A217" s="186" t="str">
        <x:f>IF(B217="","",ROW()-5)</x:f>
      </x:c>
      <x:c r="B217" s="196"/>
      <x:c r="C217" s="198"/>
      <x:c r="D217" s="196"/>
      <x:c r="E217" s="188"/>
      <x:c r="F217" s="198"/>
      <x:c r="G217" s="202"/>
      <x:c r="H217" s="204"/>
      <x:c r="I217" s="206" t="str">
        <x:f>IF(G217="","",MAX(G217-H217,0))</x:f>
      </x:c>
      <x:c r="J217" s="210"/>
      <x:c r="K217" s="190"/>
      <x:c r="L217" s="208"/>
      <x:c r="M217" s="208"/>
      <x:c r="N217" s="208"/>
      <x:c r="O217" s="208"/>
      <x:c r="P217" s="190"/>
      <x:c r="Q217" s="190"/>
      <x:c r="R217" s="190"/>
      <x:c r="S217" s="190"/>
      <x:c r="T217" s="190"/>
      <x:c r="U217" s="190"/>
      <x:c r="V217" s="212"/>
      <x:c r="W217" s="212"/>
      <x:c r="X217" s="200"/>
      <x:c r="Y217" s="192"/>
      <x:c r="Z217" s="214"/>
      <x:c r="AA217" s="214"/>
      <x:c r="AB217" s="192"/>
      <x:c r="AC217" s="194"/>
      <x:c r="AD217" s="186" t="str">
        <x:f>IF(COUNTA(B217:H217)+COUNTA(J217:AC217)=0,"",IF(OR(B217="",D217="",E217="",G217="",J217=""),"缺少必填项",IF(H217&gt;G217,"完成数大于订单数",IF(AND(X217="",OR(Y217="排队",Y217="生产中",Y217="阻塞",Z217&lt;&gt;"",AA217&lt;&gt;"",AB217="是")),"已有排期字段缺少机台",IF(AND(X217&lt;&gt;"",Y217="待排"),"已填机台但状态为待排",IF(AND(Y217="生产中",AB217&lt;&gt;"是"),"需确认：生产中未锁定","可导入"))))))</x:f>
      </x:c>
    </x:row>
    <x:row r="218" ht="22" customHeight="1">
      <x:c r="A218" s="186" t="str">
        <x:f>IF(B218="","",ROW()-5)</x:f>
      </x:c>
      <x:c r="B218" s="196"/>
      <x:c r="C218" s="198"/>
      <x:c r="D218" s="196"/>
      <x:c r="E218" s="188"/>
      <x:c r="F218" s="198"/>
      <x:c r="G218" s="202"/>
      <x:c r="H218" s="204"/>
      <x:c r="I218" s="206" t="str">
        <x:f>IF(G218="","",MAX(G218-H218,0))</x:f>
      </x:c>
      <x:c r="J218" s="210"/>
      <x:c r="K218" s="190"/>
      <x:c r="L218" s="208"/>
      <x:c r="M218" s="208"/>
      <x:c r="N218" s="208"/>
      <x:c r="O218" s="208"/>
      <x:c r="P218" s="190"/>
      <x:c r="Q218" s="190"/>
      <x:c r="R218" s="190"/>
      <x:c r="S218" s="190"/>
      <x:c r="T218" s="190"/>
      <x:c r="U218" s="190"/>
      <x:c r="V218" s="212"/>
      <x:c r="W218" s="212"/>
      <x:c r="X218" s="200"/>
      <x:c r="Y218" s="192"/>
      <x:c r="Z218" s="214"/>
      <x:c r="AA218" s="214"/>
      <x:c r="AB218" s="192"/>
      <x:c r="AC218" s="194"/>
      <x:c r="AD218" s="186" t="str">
        <x:f>IF(COUNTA(B218:H218)+COUNTA(J218:AC218)=0,"",IF(OR(B218="",D218="",E218="",G218="",J218=""),"缺少必填项",IF(H218&gt;G218,"完成数大于订单数",IF(AND(X218="",OR(Y218="排队",Y218="生产中",Y218="阻塞",Z218&lt;&gt;"",AA218&lt;&gt;"",AB218="是")),"已有排期字段缺少机台",IF(AND(X218&lt;&gt;"",Y218="待排"),"已填机台但状态为待排",IF(AND(Y218="生产中",AB218&lt;&gt;"是"),"需确认：生产中未锁定","可导入"))))))</x:f>
      </x:c>
    </x:row>
    <x:row r="219" ht="22" customHeight="1">
      <x:c r="A219" s="186" t="str">
        <x:f>IF(B219="","",ROW()-5)</x:f>
      </x:c>
      <x:c r="B219" s="196"/>
      <x:c r="C219" s="198"/>
      <x:c r="D219" s="196"/>
      <x:c r="E219" s="188"/>
      <x:c r="F219" s="198"/>
      <x:c r="G219" s="202"/>
      <x:c r="H219" s="204"/>
      <x:c r="I219" s="206" t="str">
        <x:f>IF(G219="","",MAX(G219-H219,0))</x:f>
      </x:c>
      <x:c r="J219" s="210"/>
      <x:c r="K219" s="190"/>
      <x:c r="L219" s="208"/>
      <x:c r="M219" s="208"/>
      <x:c r="N219" s="208"/>
      <x:c r="O219" s="208"/>
      <x:c r="P219" s="190"/>
      <x:c r="Q219" s="190"/>
      <x:c r="R219" s="190"/>
      <x:c r="S219" s="190"/>
      <x:c r="T219" s="190"/>
      <x:c r="U219" s="190"/>
      <x:c r="V219" s="212"/>
      <x:c r="W219" s="212"/>
      <x:c r="X219" s="200"/>
      <x:c r="Y219" s="192"/>
      <x:c r="Z219" s="214"/>
      <x:c r="AA219" s="214"/>
      <x:c r="AB219" s="192"/>
      <x:c r="AC219" s="194"/>
      <x:c r="AD219" s="186" t="str">
        <x:f>IF(COUNTA(B219:H219)+COUNTA(J219:AC219)=0,"",IF(OR(B219="",D219="",E219="",G219="",J219=""),"缺少必填项",IF(H219&gt;G219,"完成数大于订单数",IF(AND(X219="",OR(Y219="排队",Y219="生产中",Y219="阻塞",Z219&lt;&gt;"",AA219&lt;&gt;"",AB219="是")),"已有排期字段缺少机台",IF(AND(X219&lt;&gt;"",Y219="待排"),"已填机台但状态为待排",IF(AND(Y219="生产中",AB219&lt;&gt;"是"),"需确认：生产中未锁定","可导入"))))))</x:f>
      </x:c>
    </x:row>
    <x:row r="220" ht="22" customHeight="1">
      <x:c r="A220" s="186" t="str">
        <x:f>IF(B220="","",ROW()-5)</x:f>
      </x:c>
      <x:c r="B220" s="196"/>
      <x:c r="C220" s="198"/>
      <x:c r="D220" s="196"/>
      <x:c r="E220" s="188"/>
      <x:c r="F220" s="198"/>
      <x:c r="G220" s="202"/>
      <x:c r="H220" s="204"/>
      <x:c r="I220" s="206" t="str">
        <x:f>IF(G220="","",MAX(G220-H220,0))</x:f>
      </x:c>
      <x:c r="J220" s="210"/>
      <x:c r="K220" s="190"/>
      <x:c r="L220" s="208"/>
      <x:c r="M220" s="208"/>
      <x:c r="N220" s="208"/>
      <x:c r="O220" s="208"/>
      <x:c r="P220" s="190"/>
      <x:c r="Q220" s="190"/>
      <x:c r="R220" s="190"/>
      <x:c r="S220" s="190"/>
      <x:c r="T220" s="190"/>
      <x:c r="U220" s="190"/>
      <x:c r="V220" s="212"/>
      <x:c r="W220" s="212"/>
      <x:c r="X220" s="200"/>
      <x:c r="Y220" s="192"/>
      <x:c r="Z220" s="214"/>
      <x:c r="AA220" s="214"/>
      <x:c r="AB220" s="192"/>
      <x:c r="AC220" s="194"/>
      <x:c r="AD220" s="186" t="str">
        <x:f>IF(COUNTA(B220:H220)+COUNTA(J220:AC220)=0,"",IF(OR(B220="",D220="",E220="",G220="",J220=""),"缺少必填项",IF(H220&gt;G220,"完成数大于订单数",IF(AND(X220="",OR(Y220="排队",Y220="生产中",Y220="阻塞",Z220&lt;&gt;"",AA220&lt;&gt;"",AB220="是")),"已有排期字段缺少机台",IF(AND(X220&lt;&gt;"",Y220="待排"),"已填机台但状态为待排",IF(AND(Y220="生产中",AB220&lt;&gt;"是"),"需确认：生产中未锁定","可导入"))))))</x:f>
      </x:c>
    </x:row>
    <x:row r="221" ht="22" customHeight="1">
      <x:c r="A221" s="186" t="str">
        <x:f>IF(B221="","",ROW()-5)</x:f>
      </x:c>
      <x:c r="B221" s="196"/>
      <x:c r="C221" s="198"/>
      <x:c r="D221" s="196"/>
      <x:c r="E221" s="188"/>
      <x:c r="F221" s="198"/>
      <x:c r="G221" s="202"/>
      <x:c r="H221" s="204"/>
      <x:c r="I221" s="206" t="str">
        <x:f>IF(G221="","",MAX(G221-H221,0))</x:f>
      </x:c>
      <x:c r="J221" s="210"/>
      <x:c r="K221" s="190"/>
      <x:c r="L221" s="208"/>
      <x:c r="M221" s="208"/>
      <x:c r="N221" s="208"/>
      <x:c r="O221" s="208"/>
      <x:c r="P221" s="190"/>
      <x:c r="Q221" s="190"/>
      <x:c r="R221" s="190"/>
      <x:c r="S221" s="190"/>
      <x:c r="T221" s="190"/>
      <x:c r="U221" s="190"/>
      <x:c r="V221" s="212"/>
      <x:c r="W221" s="212"/>
      <x:c r="X221" s="200"/>
      <x:c r="Y221" s="192"/>
      <x:c r="Z221" s="214"/>
      <x:c r="AA221" s="214"/>
      <x:c r="AB221" s="192"/>
      <x:c r="AC221" s="194"/>
      <x:c r="AD221" s="186" t="str">
        <x:f>IF(COUNTA(B221:H221)+COUNTA(J221:AC221)=0,"",IF(OR(B221="",D221="",E221="",G221="",J221=""),"缺少必填项",IF(H221&gt;G221,"完成数大于订单数",IF(AND(X221="",OR(Y221="排队",Y221="生产中",Y221="阻塞",Z221&lt;&gt;"",AA221&lt;&gt;"",AB221="是")),"已有排期字段缺少机台",IF(AND(X221&lt;&gt;"",Y221="待排"),"已填机台但状态为待排",IF(AND(Y221="生产中",AB221&lt;&gt;"是"),"需确认：生产中未锁定","可导入"))))))</x:f>
      </x:c>
    </x:row>
    <x:row r="222" ht="22" customHeight="1">
      <x:c r="A222" s="186" t="str">
        <x:f>IF(B222="","",ROW()-5)</x:f>
      </x:c>
      <x:c r="B222" s="196"/>
      <x:c r="C222" s="198"/>
      <x:c r="D222" s="196"/>
      <x:c r="E222" s="188"/>
      <x:c r="F222" s="198"/>
      <x:c r="G222" s="202"/>
      <x:c r="H222" s="204"/>
      <x:c r="I222" s="206" t="str">
        <x:f>IF(G222="","",MAX(G222-H222,0))</x:f>
      </x:c>
      <x:c r="J222" s="210"/>
      <x:c r="K222" s="190"/>
      <x:c r="L222" s="208"/>
      <x:c r="M222" s="208"/>
      <x:c r="N222" s="208"/>
      <x:c r="O222" s="208"/>
      <x:c r="P222" s="190"/>
      <x:c r="Q222" s="190"/>
      <x:c r="R222" s="190"/>
      <x:c r="S222" s="190"/>
      <x:c r="T222" s="190"/>
      <x:c r="U222" s="190"/>
      <x:c r="V222" s="212"/>
      <x:c r="W222" s="212"/>
      <x:c r="X222" s="200"/>
      <x:c r="Y222" s="192"/>
      <x:c r="Z222" s="214"/>
      <x:c r="AA222" s="214"/>
      <x:c r="AB222" s="192"/>
      <x:c r="AC222" s="194"/>
      <x:c r="AD222" s="186" t="str">
        <x:f>IF(COUNTA(B222:H222)+COUNTA(J222:AC222)=0,"",IF(OR(B222="",D222="",E222="",G222="",J222=""),"缺少必填项",IF(H222&gt;G222,"完成数大于订单数",IF(AND(X222="",OR(Y222="排队",Y222="生产中",Y222="阻塞",Z222&lt;&gt;"",AA222&lt;&gt;"",AB222="是")),"已有排期字段缺少机台",IF(AND(X222&lt;&gt;"",Y222="待排"),"已填机台但状态为待排",IF(AND(Y222="生产中",AB222&lt;&gt;"是"),"需确认：生产中未锁定","可导入"))))))</x:f>
      </x:c>
    </x:row>
    <x:row r="223" ht="22" customHeight="1">
      <x:c r="A223" s="186" t="str">
        <x:f>IF(B223="","",ROW()-5)</x:f>
      </x:c>
      <x:c r="B223" s="196"/>
      <x:c r="C223" s="198"/>
      <x:c r="D223" s="196"/>
      <x:c r="E223" s="188"/>
      <x:c r="F223" s="198"/>
      <x:c r="G223" s="202"/>
      <x:c r="H223" s="204"/>
      <x:c r="I223" s="206" t="str">
        <x:f>IF(G223="","",MAX(G223-H223,0))</x:f>
      </x:c>
      <x:c r="J223" s="210"/>
      <x:c r="K223" s="190"/>
      <x:c r="L223" s="208"/>
      <x:c r="M223" s="208"/>
      <x:c r="N223" s="208"/>
      <x:c r="O223" s="208"/>
      <x:c r="P223" s="190"/>
      <x:c r="Q223" s="190"/>
      <x:c r="R223" s="190"/>
      <x:c r="S223" s="190"/>
      <x:c r="T223" s="190"/>
      <x:c r="U223" s="190"/>
      <x:c r="V223" s="212"/>
      <x:c r="W223" s="212"/>
      <x:c r="X223" s="200"/>
      <x:c r="Y223" s="192"/>
      <x:c r="Z223" s="214"/>
      <x:c r="AA223" s="214"/>
      <x:c r="AB223" s="192"/>
      <x:c r="AC223" s="194"/>
      <x:c r="AD223" s="186" t="str">
        <x:f>IF(COUNTA(B223:H223)+COUNTA(J223:AC223)=0,"",IF(OR(B223="",D223="",E223="",G223="",J223=""),"缺少必填项",IF(H223&gt;G223,"完成数大于订单数",IF(AND(X223="",OR(Y223="排队",Y223="生产中",Y223="阻塞",Z223&lt;&gt;"",AA223&lt;&gt;"",AB223="是")),"已有排期字段缺少机台",IF(AND(X223&lt;&gt;"",Y223="待排"),"已填机台但状态为待排",IF(AND(Y223="生产中",AB223&lt;&gt;"是"),"需确认：生产中未锁定","可导入"))))))</x:f>
      </x:c>
    </x:row>
    <x:row r="224" ht="22" customHeight="1">
      <x:c r="A224" s="186" t="str">
        <x:f>IF(B224="","",ROW()-5)</x:f>
      </x:c>
      <x:c r="B224" s="196"/>
      <x:c r="C224" s="198"/>
      <x:c r="D224" s="196"/>
      <x:c r="E224" s="188"/>
      <x:c r="F224" s="198"/>
      <x:c r="G224" s="202"/>
      <x:c r="H224" s="204"/>
      <x:c r="I224" s="206" t="str">
        <x:f>IF(G224="","",MAX(G224-H224,0))</x:f>
      </x:c>
      <x:c r="J224" s="210"/>
      <x:c r="K224" s="190"/>
      <x:c r="L224" s="208"/>
      <x:c r="M224" s="208"/>
      <x:c r="N224" s="208"/>
      <x:c r="O224" s="208"/>
      <x:c r="P224" s="190"/>
      <x:c r="Q224" s="190"/>
      <x:c r="R224" s="190"/>
      <x:c r="S224" s="190"/>
      <x:c r="T224" s="190"/>
      <x:c r="U224" s="190"/>
      <x:c r="V224" s="212"/>
      <x:c r="W224" s="212"/>
      <x:c r="X224" s="200"/>
      <x:c r="Y224" s="192"/>
      <x:c r="Z224" s="214"/>
      <x:c r="AA224" s="214"/>
      <x:c r="AB224" s="192"/>
      <x:c r="AC224" s="194"/>
      <x:c r="AD224" s="186" t="str">
        <x:f>IF(COUNTA(B224:H224)+COUNTA(J224:AC224)=0,"",IF(OR(B224="",D224="",E224="",G224="",J224=""),"缺少必填项",IF(H224&gt;G224,"完成数大于订单数",IF(AND(X224="",OR(Y224="排队",Y224="生产中",Y224="阻塞",Z224&lt;&gt;"",AA224&lt;&gt;"",AB224="是")),"已有排期字段缺少机台",IF(AND(X224&lt;&gt;"",Y224="待排"),"已填机台但状态为待排",IF(AND(Y224="生产中",AB224&lt;&gt;"是"),"需确认：生产中未锁定","可导入"))))))</x:f>
      </x:c>
    </x:row>
    <x:row r="225" ht="22" customHeight="1">
      <x:c r="A225" s="186" t="str">
        <x:f>IF(B225="","",ROW()-5)</x:f>
      </x:c>
      <x:c r="B225" s="196"/>
      <x:c r="C225" s="198"/>
      <x:c r="D225" s="196"/>
      <x:c r="E225" s="188"/>
      <x:c r="F225" s="198"/>
      <x:c r="G225" s="202"/>
      <x:c r="H225" s="204"/>
      <x:c r="I225" s="206" t="str">
        <x:f>IF(G225="","",MAX(G225-H225,0))</x:f>
      </x:c>
      <x:c r="J225" s="210"/>
      <x:c r="K225" s="190"/>
      <x:c r="L225" s="208"/>
      <x:c r="M225" s="208"/>
      <x:c r="N225" s="208"/>
      <x:c r="O225" s="208"/>
      <x:c r="P225" s="190"/>
      <x:c r="Q225" s="190"/>
      <x:c r="R225" s="190"/>
      <x:c r="S225" s="190"/>
      <x:c r="T225" s="190"/>
      <x:c r="U225" s="190"/>
      <x:c r="V225" s="212"/>
      <x:c r="W225" s="212"/>
      <x:c r="X225" s="200"/>
      <x:c r="Y225" s="192"/>
      <x:c r="Z225" s="214"/>
      <x:c r="AA225" s="214"/>
      <x:c r="AB225" s="192"/>
      <x:c r="AC225" s="194"/>
      <x:c r="AD225" s="186" t="str">
        <x:f>IF(COUNTA(B225:H225)+COUNTA(J225:AC225)=0,"",IF(OR(B225="",D225="",E225="",G225="",J225=""),"缺少必填项",IF(H225&gt;G225,"完成数大于订单数",IF(AND(X225="",OR(Y225="排队",Y225="生产中",Y225="阻塞",Z225&lt;&gt;"",AA225&lt;&gt;"",AB225="是")),"已有排期字段缺少机台",IF(AND(X225&lt;&gt;"",Y225="待排"),"已填机台但状态为待排",IF(AND(Y225="生产中",AB225&lt;&gt;"是"),"需确认：生产中未锁定","可导入"))))))</x:f>
      </x:c>
    </x:row>
    <x:row r="226" ht="22" customHeight="1">
      <x:c r="A226" s="186" t="str">
        <x:f>IF(B226="","",ROW()-5)</x:f>
      </x:c>
      <x:c r="B226" s="196"/>
      <x:c r="C226" s="198"/>
      <x:c r="D226" s="196"/>
      <x:c r="E226" s="188"/>
      <x:c r="F226" s="198"/>
      <x:c r="G226" s="202"/>
      <x:c r="H226" s="204"/>
      <x:c r="I226" s="206" t="str">
        <x:f>IF(G226="","",MAX(G226-H226,0))</x:f>
      </x:c>
      <x:c r="J226" s="210"/>
      <x:c r="K226" s="190"/>
      <x:c r="L226" s="208"/>
      <x:c r="M226" s="208"/>
      <x:c r="N226" s="208"/>
      <x:c r="O226" s="208"/>
      <x:c r="P226" s="190"/>
      <x:c r="Q226" s="190"/>
      <x:c r="R226" s="190"/>
      <x:c r="S226" s="190"/>
      <x:c r="T226" s="190"/>
      <x:c r="U226" s="190"/>
      <x:c r="V226" s="212"/>
      <x:c r="W226" s="212"/>
      <x:c r="X226" s="200"/>
      <x:c r="Y226" s="192"/>
      <x:c r="Z226" s="214"/>
      <x:c r="AA226" s="214"/>
      <x:c r="AB226" s="192"/>
      <x:c r="AC226" s="194"/>
      <x:c r="AD226" s="186" t="str">
        <x:f>IF(COUNTA(B226:H226)+COUNTA(J226:AC226)=0,"",IF(OR(B226="",D226="",E226="",G226="",J226=""),"缺少必填项",IF(H226&gt;G226,"完成数大于订单数",IF(AND(X226="",OR(Y226="排队",Y226="生产中",Y226="阻塞",Z226&lt;&gt;"",AA226&lt;&gt;"",AB226="是")),"已有排期字段缺少机台",IF(AND(X226&lt;&gt;"",Y226="待排"),"已填机台但状态为待排",IF(AND(Y226="生产中",AB226&lt;&gt;"是"),"需确认：生产中未锁定","可导入"))))))</x:f>
      </x:c>
    </x:row>
    <x:row r="227" ht="22" customHeight="1">
      <x:c r="A227" s="186" t="str">
        <x:f>IF(B227="","",ROW()-5)</x:f>
      </x:c>
      <x:c r="B227" s="196"/>
      <x:c r="C227" s="198"/>
      <x:c r="D227" s="196"/>
      <x:c r="E227" s="188"/>
      <x:c r="F227" s="198"/>
      <x:c r="G227" s="202"/>
      <x:c r="H227" s="204"/>
      <x:c r="I227" s="206" t="str">
        <x:f>IF(G227="","",MAX(G227-H227,0))</x:f>
      </x:c>
      <x:c r="J227" s="210"/>
      <x:c r="K227" s="190"/>
      <x:c r="L227" s="208"/>
      <x:c r="M227" s="208"/>
      <x:c r="N227" s="208"/>
      <x:c r="O227" s="208"/>
      <x:c r="P227" s="190"/>
      <x:c r="Q227" s="190"/>
      <x:c r="R227" s="190"/>
      <x:c r="S227" s="190"/>
      <x:c r="T227" s="190"/>
      <x:c r="U227" s="190"/>
      <x:c r="V227" s="212"/>
      <x:c r="W227" s="212"/>
      <x:c r="X227" s="200"/>
      <x:c r="Y227" s="192"/>
      <x:c r="Z227" s="214"/>
      <x:c r="AA227" s="214"/>
      <x:c r="AB227" s="192"/>
      <x:c r="AC227" s="194"/>
      <x:c r="AD227" s="186" t="str">
        <x:f>IF(COUNTA(B227:H227)+COUNTA(J227:AC227)=0,"",IF(OR(B227="",D227="",E227="",G227="",J227=""),"缺少必填项",IF(H227&gt;G227,"完成数大于订单数",IF(AND(X227="",OR(Y227="排队",Y227="生产中",Y227="阻塞",Z227&lt;&gt;"",AA227&lt;&gt;"",AB227="是")),"已有排期字段缺少机台",IF(AND(X227&lt;&gt;"",Y227="待排"),"已填机台但状态为待排",IF(AND(Y227="生产中",AB227&lt;&gt;"是"),"需确认：生产中未锁定","可导入"))))))</x:f>
      </x:c>
    </x:row>
    <x:row r="228" ht="22" customHeight="1">
      <x:c r="A228" s="186" t="str">
        <x:f>IF(B228="","",ROW()-5)</x:f>
      </x:c>
      <x:c r="B228" s="196"/>
      <x:c r="C228" s="198"/>
      <x:c r="D228" s="196"/>
      <x:c r="E228" s="188"/>
      <x:c r="F228" s="198"/>
      <x:c r="G228" s="202"/>
      <x:c r="H228" s="204"/>
      <x:c r="I228" s="206" t="str">
        <x:f>IF(G228="","",MAX(G228-H228,0))</x:f>
      </x:c>
      <x:c r="J228" s="210"/>
      <x:c r="K228" s="190"/>
      <x:c r="L228" s="208"/>
      <x:c r="M228" s="208"/>
      <x:c r="N228" s="208"/>
      <x:c r="O228" s="208"/>
      <x:c r="P228" s="190"/>
      <x:c r="Q228" s="190"/>
      <x:c r="R228" s="190"/>
      <x:c r="S228" s="190"/>
      <x:c r="T228" s="190"/>
      <x:c r="U228" s="190"/>
      <x:c r="V228" s="212"/>
      <x:c r="W228" s="212"/>
      <x:c r="X228" s="200"/>
      <x:c r="Y228" s="192"/>
      <x:c r="Z228" s="214"/>
      <x:c r="AA228" s="214"/>
      <x:c r="AB228" s="192"/>
      <x:c r="AC228" s="194"/>
      <x:c r="AD228" s="186" t="str">
        <x:f>IF(COUNTA(B228:H228)+COUNTA(J228:AC228)=0,"",IF(OR(B228="",D228="",E228="",G228="",J228=""),"缺少必填项",IF(H228&gt;G228,"完成数大于订单数",IF(AND(X228="",OR(Y228="排队",Y228="生产中",Y228="阻塞",Z228&lt;&gt;"",AA228&lt;&gt;"",AB228="是")),"已有排期字段缺少机台",IF(AND(X228&lt;&gt;"",Y228="待排"),"已填机台但状态为待排",IF(AND(Y228="生产中",AB228&lt;&gt;"是"),"需确认：生产中未锁定","可导入"))))))</x:f>
      </x:c>
    </x:row>
    <x:row r="229" ht="22" customHeight="1">
      <x:c r="A229" s="186" t="str">
        <x:f>IF(B229="","",ROW()-5)</x:f>
      </x:c>
      <x:c r="B229" s="196"/>
      <x:c r="C229" s="198"/>
      <x:c r="D229" s="196"/>
      <x:c r="E229" s="188"/>
      <x:c r="F229" s="198"/>
      <x:c r="G229" s="202"/>
      <x:c r="H229" s="204"/>
      <x:c r="I229" s="206" t="str">
        <x:f>IF(G229="","",MAX(G229-H229,0))</x:f>
      </x:c>
      <x:c r="J229" s="210"/>
      <x:c r="K229" s="190"/>
      <x:c r="L229" s="208"/>
      <x:c r="M229" s="208"/>
      <x:c r="N229" s="208"/>
      <x:c r="O229" s="208"/>
      <x:c r="P229" s="190"/>
      <x:c r="Q229" s="190"/>
      <x:c r="R229" s="190"/>
      <x:c r="S229" s="190"/>
      <x:c r="T229" s="190"/>
      <x:c r="U229" s="190"/>
      <x:c r="V229" s="212"/>
      <x:c r="W229" s="212"/>
      <x:c r="X229" s="200"/>
      <x:c r="Y229" s="192"/>
      <x:c r="Z229" s="214"/>
      <x:c r="AA229" s="214"/>
      <x:c r="AB229" s="192"/>
      <x:c r="AC229" s="194"/>
      <x:c r="AD229" s="186" t="str">
        <x:f>IF(COUNTA(B229:H229)+COUNTA(J229:AC229)=0,"",IF(OR(B229="",D229="",E229="",G229="",J229=""),"缺少必填项",IF(H229&gt;G229,"完成数大于订单数",IF(AND(X229="",OR(Y229="排队",Y229="生产中",Y229="阻塞",Z229&lt;&gt;"",AA229&lt;&gt;"",AB229="是")),"已有排期字段缺少机台",IF(AND(X229&lt;&gt;"",Y229="待排"),"已填机台但状态为待排",IF(AND(Y229="生产中",AB229&lt;&gt;"是"),"需确认：生产中未锁定","可导入"))))))</x:f>
      </x:c>
    </x:row>
    <x:row r="230" ht="22" customHeight="1">
      <x:c r="A230" s="186" t="str">
        <x:f>IF(B230="","",ROW()-5)</x:f>
      </x:c>
      <x:c r="B230" s="196"/>
      <x:c r="C230" s="198"/>
      <x:c r="D230" s="196"/>
      <x:c r="E230" s="188"/>
      <x:c r="F230" s="198"/>
      <x:c r="G230" s="202"/>
      <x:c r="H230" s="204"/>
      <x:c r="I230" s="206" t="str">
        <x:f>IF(G230="","",MAX(G230-H230,0))</x:f>
      </x:c>
      <x:c r="J230" s="210"/>
      <x:c r="K230" s="190"/>
      <x:c r="L230" s="208"/>
      <x:c r="M230" s="208"/>
      <x:c r="N230" s="208"/>
      <x:c r="O230" s="208"/>
      <x:c r="P230" s="190"/>
      <x:c r="Q230" s="190"/>
      <x:c r="R230" s="190"/>
      <x:c r="S230" s="190"/>
      <x:c r="T230" s="190"/>
      <x:c r="U230" s="190"/>
      <x:c r="V230" s="212"/>
      <x:c r="W230" s="212"/>
      <x:c r="X230" s="200"/>
      <x:c r="Y230" s="192"/>
      <x:c r="Z230" s="214"/>
      <x:c r="AA230" s="214"/>
      <x:c r="AB230" s="192"/>
      <x:c r="AC230" s="194"/>
      <x:c r="AD230" s="186" t="str">
        <x:f>IF(COUNTA(B230:H230)+COUNTA(J230:AC230)=0,"",IF(OR(B230="",D230="",E230="",G230="",J230=""),"缺少必填项",IF(H230&gt;G230,"完成数大于订单数",IF(AND(X230="",OR(Y230="排队",Y230="生产中",Y230="阻塞",Z230&lt;&gt;"",AA230&lt;&gt;"",AB230="是")),"已有排期字段缺少机台",IF(AND(X230&lt;&gt;"",Y230="待排"),"已填机台但状态为待排",IF(AND(Y230="生产中",AB230&lt;&gt;"是"),"需确认：生产中未锁定","可导入"))))))</x:f>
      </x:c>
    </x:row>
    <x:row r="231" ht="22" customHeight="1">
      <x:c r="A231" s="186" t="str">
        <x:f>IF(B231="","",ROW()-5)</x:f>
      </x:c>
      <x:c r="B231" s="196"/>
      <x:c r="C231" s="198"/>
      <x:c r="D231" s="196"/>
      <x:c r="E231" s="188"/>
      <x:c r="F231" s="198"/>
      <x:c r="G231" s="202"/>
      <x:c r="H231" s="204"/>
      <x:c r="I231" s="206" t="str">
        <x:f>IF(G231="","",MAX(G231-H231,0))</x:f>
      </x:c>
      <x:c r="J231" s="210"/>
      <x:c r="K231" s="190"/>
      <x:c r="L231" s="208"/>
      <x:c r="M231" s="208"/>
      <x:c r="N231" s="208"/>
      <x:c r="O231" s="208"/>
      <x:c r="P231" s="190"/>
      <x:c r="Q231" s="190"/>
      <x:c r="R231" s="190"/>
      <x:c r="S231" s="190"/>
      <x:c r="T231" s="190"/>
      <x:c r="U231" s="190"/>
      <x:c r="V231" s="212"/>
      <x:c r="W231" s="212"/>
      <x:c r="X231" s="200"/>
      <x:c r="Y231" s="192"/>
      <x:c r="Z231" s="214"/>
      <x:c r="AA231" s="214"/>
      <x:c r="AB231" s="192"/>
      <x:c r="AC231" s="194"/>
      <x:c r="AD231" s="186" t="str">
        <x:f>IF(COUNTA(B231:H231)+COUNTA(J231:AC231)=0,"",IF(OR(B231="",D231="",E231="",G231="",J231=""),"缺少必填项",IF(H231&gt;G231,"完成数大于订单数",IF(AND(X231="",OR(Y231="排队",Y231="生产中",Y231="阻塞",Z231&lt;&gt;"",AA231&lt;&gt;"",AB231="是")),"已有排期字段缺少机台",IF(AND(X231&lt;&gt;"",Y231="待排"),"已填机台但状态为待排",IF(AND(Y231="生产中",AB231&lt;&gt;"是"),"需确认：生产中未锁定","可导入"))))))</x:f>
      </x:c>
    </x:row>
    <x:row r="232" ht="22" customHeight="1">
      <x:c r="A232" s="186" t="str">
        <x:f>IF(B232="","",ROW()-5)</x:f>
      </x:c>
      <x:c r="B232" s="196"/>
      <x:c r="C232" s="198"/>
      <x:c r="D232" s="196"/>
      <x:c r="E232" s="188"/>
      <x:c r="F232" s="198"/>
      <x:c r="G232" s="202"/>
      <x:c r="H232" s="204"/>
      <x:c r="I232" s="206" t="str">
        <x:f>IF(G232="","",MAX(G232-H232,0))</x:f>
      </x:c>
      <x:c r="J232" s="210"/>
      <x:c r="K232" s="190"/>
      <x:c r="L232" s="208"/>
      <x:c r="M232" s="208"/>
      <x:c r="N232" s="208"/>
      <x:c r="O232" s="208"/>
      <x:c r="P232" s="190"/>
      <x:c r="Q232" s="190"/>
      <x:c r="R232" s="190"/>
      <x:c r="S232" s="190"/>
      <x:c r="T232" s="190"/>
      <x:c r="U232" s="190"/>
      <x:c r="V232" s="212"/>
      <x:c r="W232" s="212"/>
      <x:c r="X232" s="200"/>
      <x:c r="Y232" s="192"/>
      <x:c r="Z232" s="214"/>
      <x:c r="AA232" s="214"/>
      <x:c r="AB232" s="192"/>
      <x:c r="AC232" s="194"/>
      <x:c r="AD232" s="186" t="str">
        <x:f>IF(COUNTA(B232:H232)+COUNTA(J232:AC232)=0,"",IF(OR(B232="",D232="",E232="",G232="",J232=""),"缺少必填项",IF(H232&gt;G232,"完成数大于订单数",IF(AND(X232="",OR(Y232="排队",Y232="生产中",Y232="阻塞",Z232&lt;&gt;"",AA232&lt;&gt;"",AB232="是")),"已有排期字段缺少机台",IF(AND(X232&lt;&gt;"",Y232="待排"),"已填机台但状态为待排",IF(AND(Y232="生产中",AB232&lt;&gt;"是"),"需确认：生产中未锁定","可导入"))))))</x:f>
      </x:c>
    </x:row>
    <x:row r="233" ht="22" customHeight="1">
      <x:c r="A233" s="186" t="str">
        <x:f>IF(B233="","",ROW()-5)</x:f>
      </x:c>
      <x:c r="B233" s="196"/>
      <x:c r="C233" s="198"/>
      <x:c r="D233" s="196"/>
      <x:c r="E233" s="188"/>
      <x:c r="F233" s="198"/>
      <x:c r="G233" s="202"/>
      <x:c r="H233" s="204"/>
      <x:c r="I233" s="206" t="str">
        <x:f>IF(G233="","",MAX(G233-H233,0))</x:f>
      </x:c>
      <x:c r="J233" s="210"/>
      <x:c r="K233" s="190"/>
      <x:c r="L233" s="208"/>
      <x:c r="M233" s="208"/>
      <x:c r="N233" s="208"/>
      <x:c r="O233" s="208"/>
      <x:c r="P233" s="190"/>
      <x:c r="Q233" s="190"/>
      <x:c r="R233" s="190"/>
      <x:c r="S233" s="190"/>
      <x:c r="T233" s="190"/>
      <x:c r="U233" s="190"/>
      <x:c r="V233" s="212"/>
      <x:c r="W233" s="212"/>
      <x:c r="X233" s="200"/>
      <x:c r="Y233" s="192"/>
      <x:c r="Z233" s="214"/>
      <x:c r="AA233" s="214"/>
      <x:c r="AB233" s="192"/>
      <x:c r="AC233" s="194"/>
      <x:c r="AD233" s="186" t="str">
        <x:f>IF(COUNTA(B233:H233)+COUNTA(J233:AC233)=0,"",IF(OR(B233="",D233="",E233="",G233="",J233=""),"缺少必填项",IF(H233&gt;G233,"完成数大于订单数",IF(AND(X233="",OR(Y233="排队",Y233="生产中",Y233="阻塞",Z233&lt;&gt;"",AA233&lt;&gt;"",AB233="是")),"已有排期字段缺少机台",IF(AND(X233&lt;&gt;"",Y233="待排"),"已填机台但状态为待排",IF(AND(Y233="生产中",AB233&lt;&gt;"是"),"需确认：生产中未锁定","可导入"))))))</x:f>
      </x:c>
    </x:row>
    <x:row r="234" ht="22" customHeight="1">
      <x:c r="A234" s="186" t="str">
        <x:f>IF(B234="","",ROW()-5)</x:f>
      </x:c>
      <x:c r="B234" s="196"/>
      <x:c r="C234" s="198"/>
      <x:c r="D234" s="196"/>
      <x:c r="E234" s="188"/>
      <x:c r="F234" s="198"/>
      <x:c r="G234" s="202"/>
      <x:c r="H234" s="204"/>
      <x:c r="I234" s="206" t="str">
        <x:f>IF(G234="","",MAX(G234-H234,0))</x:f>
      </x:c>
      <x:c r="J234" s="210"/>
      <x:c r="K234" s="190"/>
      <x:c r="L234" s="208"/>
      <x:c r="M234" s="208"/>
      <x:c r="N234" s="208"/>
      <x:c r="O234" s="208"/>
      <x:c r="P234" s="190"/>
      <x:c r="Q234" s="190"/>
      <x:c r="R234" s="190"/>
      <x:c r="S234" s="190"/>
      <x:c r="T234" s="190"/>
      <x:c r="U234" s="190"/>
      <x:c r="V234" s="212"/>
      <x:c r="W234" s="212"/>
      <x:c r="X234" s="200"/>
      <x:c r="Y234" s="192"/>
      <x:c r="Z234" s="214"/>
      <x:c r="AA234" s="214"/>
      <x:c r="AB234" s="192"/>
      <x:c r="AC234" s="194"/>
      <x:c r="AD234" s="186" t="str">
        <x:f>IF(COUNTA(B234:H234)+COUNTA(J234:AC234)=0,"",IF(OR(B234="",D234="",E234="",G234="",J234=""),"缺少必填项",IF(H234&gt;G234,"完成数大于订单数",IF(AND(X234="",OR(Y234="排队",Y234="生产中",Y234="阻塞",Z234&lt;&gt;"",AA234&lt;&gt;"",AB234="是")),"已有排期字段缺少机台",IF(AND(X234&lt;&gt;"",Y234="待排"),"已填机台但状态为待排",IF(AND(Y234="生产中",AB234&lt;&gt;"是"),"需确认：生产中未锁定","可导入"))))))</x:f>
      </x:c>
    </x:row>
    <x:row r="235" ht="22" customHeight="1">
      <x:c r="A235" s="186" t="str">
        <x:f>IF(B235="","",ROW()-5)</x:f>
      </x:c>
      <x:c r="B235" s="196"/>
      <x:c r="C235" s="198"/>
      <x:c r="D235" s="196"/>
      <x:c r="E235" s="188"/>
      <x:c r="F235" s="198"/>
      <x:c r="G235" s="202"/>
      <x:c r="H235" s="204"/>
      <x:c r="I235" s="206" t="str">
        <x:f>IF(G235="","",MAX(G235-H235,0))</x:f>
      </x:c>
      <x:c r="J235" s="210"/>
      <x:c r="K235" s="190"/>
      <x:c r="L235" s="208"/>
      <x:c r="M235" s="208"/>
      <x:c r="N235" s="208"/>
      <x:c r="O235" s="208"/>
      <x:c r="P235" s="190"/>
      <x:c r="Q235" s="190"/>
      <x:c r="R235" s="190"/>
      <x:c r="S235" s="190"/>
      <x:c r="T235" s="190"/>
      <x:c r="U235" s="190"/>
      <x:c r="V235" s="212"/>
      <x:c r="W235" s="212"/>
      <x:c r="X235" s="200"/>
      <x:c r="Y235" s="192"/>
      <x:c r="Z235" s="214"/>
      <x:c r="AA235" s="214"/>
      <x:c r="AB235" s="192"/>
      <x:c r="AC235" s="194"/>
      <x:c r="AD235" s="186" t="str">
        <x:f>IF(COUNTA(B235:H235)+COUNTA(J235:AC235)=0,"",IF(OR(B235="",D235="",E235="",G235="",J235=""),"缺少必填项",IF(H235&gt;G235,"完成数大于订单数",IF(AND(X235="",OR(Y235="排队",Y235="生产中",Y235="阻塞",Z235&lt;&gt;"",AA235&lt;&gt;"",AB235="是")),"已有排期字段缺少机台",IF(AND(X235&lt;&gt;"",Y235="待排"),"已填机台但状态为待排",IF(AND(Y235="生产中",AB235&lt;&gt;"是"),"需确认：生产中未锁定","可导入"))))))</x:f>
      </x:c>
    </x:row>
    <x:row r="236" ht="22" customHeight="1">
      <x:c r="A236" s="186" t="str">
        <x:f>IF(B236="","",ROW()-5)</x:f>
      </x:c>
      <x:c r="B236" s="196"/>
      <x:c r="C236" s="198"/>
      <x:c r="D236" s="196"/>
      <x:c r="E236" s="188"/>
      <x:c r="F236" s="198"/>
      <x:c r="G236" s="202"/>
      <x:c r="H236" s="204"/>
      <x:c r="I236" s="206" t="str">
        <x:f>IF(G236="","",MAX(G236-H236,0))</x:f>
      </x:c>
      <x:c r="J236" s="210"/>
      <x:c r="K236" s="190"/>
      <x:c r="L236" s="208"/>
      <x:c r="M236" s="208"/>
      <x:c r="N236" s="208"/>
      <x:c r="O236" s="208"/>
      <x:c r="P236" s="190"/>
      <x:c r="Q236" s="190"/>
      <x:c r="R236" s="190"/>
      <x:c r="S236" s="190"/>
      <x:c r="T236" s="190"/>
      <x:c r="U236" s="190"/>
      <x:c r="V236" s="212"/>
      <x:c r="W236" s="212"/>
      <x:c r="X236" s="200"/>
      <x:c r="Y236" s="192"/>
      <x:c r="Z236" s="214"/>
      <x:c r="AA236" s="214"/>
      <x:c r="AB236" s="192"/>
      <x:c r="AC236" s="194"/>
      <x:c r="AD236" s="186" t="str">
        <x:f>IF(COUNTA(B236:H236)+COUNTA(J236:AC236)=0,"",IF(OR(B236="",D236="",E236="",G236="",J236=""),"缺少必填项",IF(H236&gt;G236,"完成数大于订单数",IF(AND(X236="",OR(Y236="排队",Y236="生产中",Y236="阻塞",Z236&lt;&gt;"",AA236&lt;&gt;"",AB236="是")),"已有排期字段缺少机台",IF(AND(X236&lt;&gt;"",Y236="待排"),"已填机台但状态为待排",IF(AND(Y236="生产中",AB236&lt;&gt;"是"),"需确认：生产中未锁定","可导入"))))))</x:f>
      </x:c>
    </x:row>
    <x:row r="237" ht="22" customHeight="1">
      <x:c r="A237" s="186" t="str">
        <x:f>IF(B237="","",ROW()-5)</x:f>
      </x:c>
      <x:c r="B237" s="196"/>
      <x:c r="C237" s="198"/>
      <x:c r="D237" s="196"/>
      <x:c r="E237" s="188"/>
      <x:c r="F237" s="198"/>
      <x:c r="G237" s="202"/>
      <x:c r="H237" s="204"/>
      <x:c r="I237" s="206" t="str">
        <x:f>IF(G237="","",MAX(G237-H237,0))</x:f>
      </x:c>
      <x:c r="J237" s="210"/>
      <x:c r="K237" s="190"/>
      <x:c r="L237" s="208"/>
      <x:c r="M237" s="208"/>
      <x:c r="N237" s="208"/>
      <x:c r="O237" s="208"/>
      <x:c r="P237" s="190"/>
      <x:c r="Q237" s="190"/>
      <x:c r="R237" s="190"/>
      <x:c r="S237" s="190"/>
      <x:c r="T237" s="190"/>
      <x:c r="U237" s="190"/>
      <x:c r="V237" s="212"/>
      <x:c r="W237" s="212"/>
      <x:c r="X237" s="200"/>
      <x:c r="Y237" s="192"/>
      <x:c r="Z237" s="214"/>
      <x:c r="AA237" s="214"/>
      <x:c r="AB237" s="192"/>
      <x:c r="AC237" s="194"/>
      <x:c r="AD237" s="186" t="str">
        <x:f>IF(COUNTA(B237:H237)+COUNTA(J237:AC237)=0,"",IF(OR(B237="",D237="",E237="",G237="",J237=""),"缺少必填项",IF(H237&gt;G237,"完成数大于订单数",IF(AND(X237="",OR(Y237="排队",Y237="生产中",Y237="阻塞",Z237&lt;&gt;"",AA237&lt;&gt;"",AB237="是")),"已有排期字段缺少机台",IF(AND(X237&lt;&gt;"",Y237="待排"),"已填机台但状态为待排",IF(AND(Y237="生产中",AB237&lt;&gt;"是"),"需确认：生产中未锁定","可导入"))))))</x:f>
      </x:c>
    </x:row>
    <x:row r="238" ht="22" customHeight="1">
      <x:c r="A238" s="186" t="str">
        <x:f>IF(B238="","",ROW()-5)</x:f>
      </x:c>
      <x:c r="B238" s="196"/>
      <x:c r="C238" s="198"/>
      <x:c r="D238" s="196"/>
      <x:c r="E238" s="188"/>
      <x:c r="F238" s="198"/>
      <x:c r="G238" s="202"/>
      <x:c r="H238" s="204"/>
      <x:c r="I238" s="206" t="str">
        <x:f>IF(G238="","",MAX(G238-H238,0))</x:f>
      </x:c>
      <x:c r="J238" s="210"/>
      <x:c r="K238" s="190"/>
      <x:c r="L238" s="208"/>
      <x:c r="M238" s="208"/>
      <x:c r="N238" s="208"/>
      <x:c r="O238" s="208"/>
      <x:c r="P238" s="190"/>
      <x:c r="Q238" s="190"/>
      <x:c r="R238" s="190"/>
      <x:c r="S238" s="190"/>
      <x:c r="T238" s="190"/>
      <x:c r="U238" s="190"/>
      <x:c r="V238" s="212"/>
      <x:c r="W238" s="212"/>
      <x:c r="X238" s="200"/>
      <x:c r="Y238" s="192"/>
      <x:c r="Z238" s="214"/>
      <x:c r="AA238" s="214"/>
      <x:c r="AB238" s="192"/>
      <x:c r="AC238" s="194"/>
      <x:c r="AD238" s="186" t="str">
        <x:f>IF(COUNTA(B238:H238)+COUNTA(J238:AC238)=0,"",IF(OR(B238="",D238="",E238="",G238="",J238=""),"缺少必填项",IF(H238&gt;G238,"完成数大于订单数",IF(AND(X238="",OR(Y238="排队",Y238="生产中",Y238="阻塞",Z238&lt;&gt;"",AA238&lt;&gt;"",AB238="是")),"已有排期字段缺少机台",IF(AND(X238&lt;&gt;"",Y238="待排"),"已填机台但状态为待排",IF(AND(Y238="生产中",AB238&lt;&gt;"是"),"需确认：生产中未锁定","可导入"))))))</x:f>
      </x:c>
    </x:row>
    <x:row r="239" ht="22" customHeight="1">
      <x:c r="A239" s="186" t="str">
        <x:f>IF(B239="","",ROW()-5)</x:f>
      </x:c>
      <x:c r="B239" s="196"/>
      <x:c r="C239" s="198"/>
      <x:c r="D239" s="196"/>
      <x:c r="E239" s="188"/>
      <x:c r="F239" s="198"/>
      <x:c r="G239" s="202"/>
      <x:c r="H239" s="204"/>
      <x:c r="I239" s="206" t="str">
        <x:f>IF(G239="","",MAX(G239-H239,0))</x:f>
      </x:c>
      <x:c r="J239" s="210"/>
      <x:c r="K239" s="190"/>
      <x:c r="L239" s="208"/>
      <x:c r="M239" s="208"/>
      <x:c r="N239" s="208"/>
      <x:c r="O239" s="208"/>
      <x:c r="P239" s="190"/>
      <x:c r="Q239" s="190"/>
      <x:c r="R239" s="190"/>
      <x:c r="S239" s="190"/>
      <x:c r="T239" s="190"/>
      <x:c r="U239" s="190"/>
      <x:c r="V239" s="212"/>
      <x:c r="W239" s="212"/>
      <x:c r="X239" s="200"/>
      <x:c r="Y239" s="192"/>
      <x:c r="Z239" s="214"/>
      <x:c r="AA239" s="214"/>
      <x:c r="AB239" s="192"/>
      <x:c r="AC239" s="194"/>
      <x:c r="AD239" s="186" t="str">
        <x:f>IF(COUNTA(B239:H239)+COUNTA(J239:AC239)=0,"",IF(OR(B239="",D239="",E239="",G239="",J239=""),"缺少必填项",IF(H239&gt;G239,"完成数大于订单数",IF(AND(X239="",OR(Y239="排队",Y239="生产中",Y239="阻塞",Z239&lt;&gt;"",AA239&lt;&gt;"",AB239="是")),"已有排期字段缺少机台",IF(AND(X239&lt;&gt;"",Y239="待排"),"已填机台但状态为待排",IF(AND(Y239="生产中",AB239&lt;&gt;"是"),"需确认：生产中未锁定","可导入"))))))</x:f>
      </x:c>
    </x:row>
    <x:row r="240" ht="22" customHeight="1">
      <x:c r="A240" s="186" t="str">
        <x:f>IF(B240="","",ROW()-5)</x:f>
      </x:c>
      <x:c r="B240" s="196"/>
      <x:c r="C240" s="198"/>
      <x:c r="D240" s="196"/>
      <x:c r="E240" s="188"/>
      <x:c r="F240" s="198"/>
      <x:c r="G240" s="202"/>
      <x:c r="H240" s="204"/>
      <x:c r="I240" s="206" t="str">
        <x:f>IF(G240="","",MAX(G240-H240,0))</x:f>
      </x:c>
      <x:c r="J240" s="210"/>
      <x:c r="K240" s="190"/>
      <x:c r="L240" s="208"/>
      <x:c r="M240" s="208"/>
      <x:c r="N240" s="208"/>
      <x:c r="O240" s="208"/>
      <x:c r="P240" s="190"/>
      <x:c r="Q240" s="190"/>
      <x:c r="R240" s="190"/>
      <x:c r="S240" s="190"/>
      <x:c r="T240" s="190"/>
      <x:c r="U240" s="190"/>
      <x:c r="V240" s="212"/>
      <x:c r="W240" s="212"/>
      <x:c r="X240" s="200"/>
      <x:c r="Y240" s="192"/>
      <x:c r="Z240" s="214"/>
      <x:c r="AA240" s="214"/>
      <x:c r="AB240" s="192"/>
      <x:c r="AC240" s="194"/>
      <x:c r="AD240" s="186" t="str">
        <x:f>IF(COUNTA(B240:H240)+COUNTA(J240:AC240)=0,"",IF(OR(B240="",D240="",E240="",G240="",J240=""),"缺少必填项",IF(H240&gt;G240,"完成数大于订单数",IF(AND(X240="",OR(Y240="排队",Y240="生产中",Y240="阻塞",Z240&lt;&gt;"",AA240&lt;&gt;"",AB240="是")),"已有排期字段缺少机台",IF(AND(X240&lt;&gt;"",Y240="待排"),"已填机台但状态为待排",IF(AND(Y240="生产中",AB240&lt;&gt;"是"),"需确认：生产中未锁定","可导入"))))))</x:f>
      </x:c>
    </x:row>
    <x:row r="241" ht="22" customHeight="1">
      <x:c r="A241" s="186" t="str">
        <x:f>IF(B241="","",ROW()-5)</x:f>
      </x:c>
      <x:c r="B241" s="196"/>
      <x:c r="C241" s="198"/>
      <x:c r="D241" s="196"/>
      <x:c r="E241" s="188"/>
      <x:c r="F241" s="198"/>
      <x:c r="G241" s="202"/>
      <x:c r="H241" s="204"/>
      <x:c r="I241" s="206" t="str">
        <x:f>IF(G241="","",MAX(G241-H241,0))</x:f>
      </x:c>
      <x:c r="J241" s="210"/>
      <x:c r="K241" s="190"/>
      <x:c r="L241" s="208"/>
      <x:c r="M241" s="208"/>
      <x:c r="N241" s="208"/>
      <x:c r="O241" s="208"/>
      <x:c r="P241" s="190"/>
      <x:c r="Q241" s="190"/>
      <x:c r="R241" s="190"/>
      <x:c r="S241" s="190"/>
      <x:c r="T241" s="190"/>
      <x:c r="U241" s="190"/>
      <x:c r="V241" s="212"/>
      <x:c r="W241" s="212"/>
      <x:c r="X241" s="200"/>
      <x:c r="Y241" s="192"/>
      <x:c r="Z241" s="214"/>
      <x:c r="AA241" s="214"/>
      <x:c r="AB241" s="192"/>
      <x:c r="AC241" s="194"/>
      <x:c r="AD241" s="186" t="str">
        <x:f>IF(COUNTA(B241:H241)+COUNTA(J241:AC241)=0,"",IF(OR(B241="",D241="",E241="",G241="",J241=""),"缺少必填项",IF(H241&gt;G241,"完成数大于订单数",IF(AND(X241="",OR(Y241="排队",Y241="生产中",Y241="阻塞",Z241&lt;&gt;"",AA241&lt;&gt;"",AB241="是")),"已有排期字段缺少机台",IF(AND(X241&lt;&gt;"",Y241="待排"),"已填机台但状态为待排",IF(AND(Y241="生产中",AB241&lt;&gt;"是"),"需确认：生产中未锁定","可导入"))))))</x:f>
      </x:c>
    </x:row>
    <x:row r="242" ht="22" customHeight="1">
      <x:c r="A242" s="186" t="str">
        <x:f>IF(B242="","",ROW()-5)</x:f>
      </x:c>
      <x:c r="B242" s="196"/>
      <x:c r="C242" s="198"/>
      <x:c r="D242" s="196"/>
      <x:c r="E242" s="188"/>
      <x:c r="F242" s="198"/>
      <x:c r="G242" s="202"/>
      <x:c r="H242" s="204"/>
      <x:c r="I242" s="206" t="str">
        <x:f>IF(G242="","",MAX(G242-H242,0))</x:f>
      </x:c>
      <x:c r="J242" s="210"/>
      <x:c r="K242" s="190"/>
      <x:c r="L242" s="208"/>
      <x:c r="M242" s="208"/>
      <x:c r="N242" s="208"/>
      <x:c r="O242" s="208"/>
      <x:c r="P242" s="190"/>
      <x:c r="Q242" s="190"/>
      <x:c r="R242" s="190"/>
      <x:c r="S242" s="190"/>
      <x:c r="T242" s="190"/>
      <x:c r="U242" s="190"/>
      <x:c r="V242" s="212"/>
      <x:c r="W242" s="212"/>
      <x:c r="X242" s="200"/>
      <x:c r="Y242" s="192"/>
      <x:c r="Z242" s="214"/>
      <x:c r="AA242" s="214"/>
      <x:c r="AB242" s="192"/>
      <x:c r="AC242" s="194"/>
      <x:c r="AD242" s="186" t="str">
        <x:f>IF(COUNTA(B242:H242)+COUNTA(J242:AC242)=0,"",IF(OR(B242="",D242="",E242="",G242="",J242=""),"缺少必填项",IF(H242&gt;G242,"完成数大于订单数",IF(AND(X242="",OR(Y242="排队",Y242="生产中",Y242="阻塞",Z242&lt;&gt;"",AA242&lt;&gt;"",AB242="是")),"已有排期字段缺少机台",IF(AND(X242&lt;&gt;"",Y242="待排"),"已填机台但状态为待排",IF(AND(Y242="生产中",AB242&lt;&gt;"是"),"需确认：生产中未锁定","可导入"))))))</x:f>
      </x:c>
    </x:row>
    <x:row r="243" ht="22" customHeight="1">
      <x:c r="A243" s="186" t="str">
        <x:f>IF(B243="","",ROW()-5)</x:f>
      </x:c>
      <x:c r="B243" s="196"/>
      <x:c r="C243" s="198"/>
      <x:c r="D243" s="196"/>
      <x:c r="E243" s="188"/>
      <x:c r="F243" s="198"/>
      <x:c r="G243" s="202"/>
      <x:c r="H243" s="204"/>
      <x:c r="I243" s="206" t="str">
        <x:f>IF(G243="","",MAX(G243-H243,0))</x:f>
      </x:c>
      <x:c r="J243" s="210"/>
      <x:c r="K243" s="190"/>
      <x:c r="L243" s="208"/>
      <x:c r="M243" s="208"/>
      <x:c r="N243" s="208"/>
      <x:c r="O243" s="208"/>
      <x:c r="P243" s="190"/>
      <x:c r="Q243" s="190"/>
      <x:c r="R243" s="190"/>
      <x:c r="S243" s="190"/>
      <x:c r="T243" s="190"/>
      <x:c r="U243" s="190"/>
      <x:c r="V243" s="212"/>
      <x:c r="W243" s="212"/>
      <x:c r="X243" s="200"/>
      <x:c r="Y243" s="192"/>
      <x:c r="Z243" s="214"/>
      <x:c r="AA243" s="214"/>
      <x:c r="AB243" s="192"/>
      <x:c r="AC243" s="194"/>
      <x:c r="AD243" s="186" t="str">
        <x:f>IF(COUNTA(B243:H243)+COUNTA(J243:AC243)=0,"",IF(OR(B243="",D243="",E243="",G243="",J243=""),"缺少必填项",IF(H243&gt;G243,"完成数大于订单数",IF(AND(X243="",OR(Y243="排队",Y243="生产中",Y243="阻塞",Z243&lt;&gt;"",AA243&lt;&gt;"",AB243="是")),"已有排期字段缺少机台",IF(AND(X243&lt;&gt;"",Y243="待排"),"已填机台但状态为待排",IF(AND(Y243="生产中",AB243&lt;&gt;"是"),"需确认：生产中未锁定","可导入"))))))</x:f>
      </x:c>
    </x:row>
    <x:row r="244" ht="22" customHeight="1">
      <x:c r="A244" s="186" t="str">
        <x:f>IF(B244="","",ROW()-5)</x:f>
      </x:c>
      <x:c r="B244" s="196"/>
      <x:c r="C244" s="198"/>
      <x:c r="D244" s="196"/>
      <x:c r="E244" s="188"/>
      <x:c r="F244" s="198"/>
      <x:c r="G244" s="202"/>
      <x:c r="H244" s="204"/>
      <x:c r="I244" s="206" t="str">
        <x:f>IF(G244="","",MAX(G244-H244,0))</x:f>
      </x:c>
      <x:c r="J244" s="210"/>
      <x:c r="K244" s="190"/>
      <x:c r="L244" s="208"/>
      <x:c r="M244" s="208"/>
      <x:c r="N244" s="208"/>
      <x:c r="O244" s="208"/>
      <x:c r="P244" s="190"/>
      <x:c r="Q244" s="190"/>
      <x:c r="R244" s="190"/>
      <x:c r="S244" s="190"/>
      <x:c r="T244" s="190"/>
      <x:c r="U244" s="190"/>
      <x:c r="V244" s="212"/>
      <x:c r="W244" s="212"/>
      <x:c r="X244" s="200"/>
      <x:c r="Y244" s="192"/>
      <x:c r="Z244" s="214"/>
      <x:c r="AA244" s="214"/>
      <x:c r="AB244" s="192"/>
      <x:c r="AC244" s="194"/>
      <x:c r="AD244" s="186" t="str">
        <x:f>IF(COUNTA(B244:H244)+COUNTA(J244:AC244)=0,"",IF(OR(B244="",D244="",E244="",G244="",J244=""),"缺少必填项",IF(H244&gt;G244,"完成数大于订单数",IF(AND(X244="",OR(Y244="排队",Y244="生产中",Y244="阻塞",Z244&lt;&gt;"",AA244&lt;&gt;"",AB244="是")),"已有排期字段缺少机台",IF(AND(X244&lt;&gt;"",Y244="待排"),"已填机台但状态为待排",IF(AND(Y244="生产中",AB244&lt;&gt;"是"),"需确认：生产中未锁定","可导入"))))))</x:f>
      </x:c>
    </x:row>
    <x:row r="245" ht="22" customHeight="1">
      <x:c r="A245" s="186" t="str">
        <x:f>IF(B245="","",ROW()-5)</x:f>
      </x:c>
      <x:c r="B245" s="196"/>
      <x:c r="C245" s="198"/>
      <x:c r="D245" s="196"/>
      <x:c r="E245" s="188"/>
      <x:c r="F245" s="198"/>
      <x:c r="G245" s="202"/>
      <x:c r="H245" s="204"/>
      <x:c r="I245" s="206" t="str">
        <x:f>IF(G245="","",MAX(G245-H245,0))</x:f>
      </x:c>
      <x:c r="J245" s="210"/>
      <x:c r="K245" s="190"/>
      <x:c r="L245" s="208"/>
      <x:c r="M245" s="208"/>
      <x:c r="N245" s="208"/>
      <x:c r="O245" s="208"/>
      <x:c r="P245" s="190"/>
      <x:c r="Q245" s="190"/>
      <x:c r="R245" s="190"/>
      <x:c r="S245" s="190"/>
      <x:c r="T245" s="190"/>
      <x:c r="U245" s="190"/>
      <x:c r="V245" s="212"/>
      <x:c r="W245" s="212"/>
      <x:c r="X245" s="200"/>
      <x:c r="Y245" s="192"/>
      <x:c r="Z245" s="214"/>
      <x:c r="AA245" s="214"/>
      <x:c r="AB245" s="192"/>
      <x:c r="AC245" s="194"/>
      <x:c r="AD245" s="186" t="str">
        <x:f>IF(COUNTA(B245:H245)+COUNTA(J245:AC245)=0,"",IF(OR(B245="",D245="",E245="",G245="",J245=""),"缺少必填项",IF(H245&gt;G245,"完成数大于订单数",IF(AND(X245="",OR(Y245="排队",Y245="生产中",Y245="阻塞",Z245&lt;&gt;"",AA245&lt;&gt;"",AB245="是")),"已有排期字段缺少机台",IF(AND(X245&lt;&gt;"",Y245="待排"),"已填机台但状态为待排",IF(AND(Y245="生产中",AB245&lt;&gt;"是"),"需确认：生产中未锁定","可导入"))))))</x:f>
      </x:c>
    </x:row>
    <x:row r="246" ht="22" customHeight="1">
      <x:c r="A246" s="186" t="str">
        <x:f>IF(B246="","",ROW()-5)</x:f>
      </x:c>
      <x:c r="B246" s="196"/>
      <x:c r="C246" s="198"/>
      <x:c r="D246" s="196"/>
      <x:c r="E246" s="188"/>
      <x:c r="F246" s="198"/>
      <x:c r="G246" s="202"/>
      <x:c r="H246" s="204"/>
      <x:c r="I246" s="206" t="str">
        <x:f>IF(G246="","",MAX(G246-H246,0))</x:f>
      </x:c>
      <x:c r="J246" s="210"/>
      <x:c r="K246" s="190"/>
      <x:c r="L246" s="208"/>
      <x:c r="M246" s="208"/>
      <x:c r="N246" s="208"/>
      <x:c r="O246" s="208"/>
      <x:c r="P246" s="190"/>
      <x:c r="Q246" s="190"/>
      <x:c r="R246" s="190"/>
      <x:c r="S246" s="190"/>
      <x:c r="T246" s="190"/>
      <x:c r="U246" s="190"/>
      <x:c r="V246" s="212"/>
      <x:c r="W246" s="212"/>
      <x:c r="X246" s="200"/>
      <x:c r="Y246" s="192"/>
      <x:c r="Z246" s="214"/>
      <x:c r="AA246" s="214"/>
      <x:c r="AB246" s="192"/>
      <x:c r="AC246" s="194"/>
      <x:c r="AD246" s="186" t="str">
        <x:f>IF(COUNTA(B246:H246)+COUNTA(J246:AC246)=0,"",IF(OR(B246="",D246="",E246="",G246="",J246=""),"缺少必填项",IF(H246&gt;G246,"完成数大于订单数",IF(AND(X246="",OR(Y246="排队",Y246="生产中",Y246="阻塞",Z246&lt;&gt;"",AA246&lt;&gt;"",AB246="是")),"已有排期字段缺少机台",IF(AND(X246&lt;&gt;"",Y246="待排"),"已填机台但状态为待排",IF(AND(Y246="生产中",AB246&lt;&gt;"是"),"需确认：生产中未锁定","可导入"))))))</x:f>
      </x:c>
    </x:row>
    <x:row r="247" ht="22" customHeight="1">
      <x:c r="A247" s="186" t="str">
        <x:f>IF(B247="","",ROW()-5)</x:f>
      </x:c>
      <x:c r="B247" s="196"/>
      <x:c r="C247" s="198"/>
      <x:c r="D247" s="196"/>
      <x:c r="E247" s="188"/>
      <x:c r="F247" s="198"/>
      <x:c r="G247" s="202"/>
      <x:c r="H247" s="204"/>
      <x:c r="I247" s="206" t="str">
        <x:f>IF(G247="","",MAX(G247-H247,0))</x:f>
      </x:c>
      <x:c r="J247" s="210"/>
      <x:c r="K247" s="190"/>
      <x:c r="L247" s="208"/>
      <x:c r="M247" s="208"/>
      <x:c r="N247" s="208"/>
      <x:c r="O247" s="208"/>
      <x:c r="P247" s="190"/>
      <x:c r="Q247" s="190"/>
      <x:c r="R247" s="190"/>
      <x:c r="S247" s="190"/>
      <x:c r="T247" s="190"/>
      <x:c r="U247" s="190"/>
      <x:c r="V247" s="212"/>
      <x:c r="W247" s="212"/>
      <x:c r="X247" s="200"/>
      <x:c r="Y247" s="192"/>
      <x:c r="Z247" s="214"/>
      <x:c r="AA247" s="214"/>
      <x:c r="AB247" s="192"/>
      <x:c r="AC247" s="194"/>
      <x:c r="AD247" s="186" t="str">
        <x:f>IF(COUNTA(B247:H247)+COUNTA(J247:AC247)=0,"",IF(OR(B247="",D247="",E247="",G247="",J247=""),"缺少必填项",IF(H247&gt;G247,"完成数大于订单数",IF(AND(X247="",OR(Y247="排队",Y247="生产中",Y247="阻塞",Z247&lt;&gt;"",AA247&lt;&gt;"",AB247="是")),"已有排期字段缺少机台",IF(AND(X247&lt;&gt;"",Y247="待排"),"已填机台但状态为待排",IF(AND(Y247="生产中",AB247&lt;&gt;"是"),"需确认：生产中未锁定","可导入"))))))</x:f>
      </x:c>
    </x:row>
    <x:row r="248" ht="22" customHeight="1">
      <x:c r="A248" s="186" t="str">
        <x:f>IF(B248="","",ROW()-5)</x:f>
      </x:c>
      <x:c r="B248" s="196"/>
      <x:c r="C248" s="198"/>
      <x:c r="D248" s="196"/>
      <x:c r="E248" s="188"/>
      <x:c r="F248" s="198"/>
      <x:c r="G248" s="202"/>
      <x:c r="H248" s="204"/>
      <x:c r="I248" s="206" t="str">
        <x:f>IF(G248="","",MAX(G248-H248,0))</x:f>
      </x:c>
      <x:c r="J248" s="210"/>
      <x:c r="K248" s="190"/>
      <x:c r="L248" s="208"/>
      <x:c r="M248" s="208"/>
      <x:c r="N248" s="208"/>
      <x:c r="O248" s="208"/>
      <x:c r="P248" s="190"/>
      <x:c r="Q248" s="190"/>
      <x:c r="R248" s="190"/>
      <x:c r="S248" s="190"/>
      <x:c r="T248" s="190"/>
      <x:c r="U248" s="190"/>
      <x:c r="V248" s="212"/>
      <x:c r="W248" s="212"/>
      <x:c r="X248" s="200"/>
      <x:c r="Y248" s="192"/>
      <x:c r="Z248" s="214"/>
      <x:c r="AA248" s="214"/>
      <x:c r="AB248" s="192"/>
      <x:c r="AC248" s="194"/>
      <x:c r="AD248" s="186" t="str">
        <x:f>IF(COUNTA(B248:H248)+COUNTA(J248:AC248)=0,"",IF(OR(B248="",D248="",E248="",G248="",J248=""),"缺少必填项",IF(H248&gt;G248,"完成数大于订单数",IF(AND(X248="",OR(Y248="排队",Y248="生产中",Y248="阻塞",Z248&lt;&gt;"",AA248&lt;&gt;"",AB248="是")),"已有排期字段缺少机台",IF(AND(X248&lt;&gt;"",Y248="待排"),"已填机台但状态为待排",IF(AND(Y248="生产中",AB248&lt;&gt;"是"),"需确认：生产中未锁定","可导入"))))))</x:f>
      </x:c>
    </x:row>
    <x:row r="249" ht="22" customHeight="1">
      <x:c r="A249" s="186" t="str">
        <x:f>IF(B249="","",ROW()-5)</x:f>
      </x:c>
      <x:c r="B249" s="196"/>
      <x:c r="C249" s="198"/>
      <x:c r="D249" s="196"/>
      <x:c r="E249" s="188"/>
      <x:c r="F249" s="198"/>
      <x:c r="G249" s="202"/>
      <x:c r="H249" s="204"/>
      <x:c r="I249" s="206" t="str">
        <x:f>IF(G249="","",MAX(G249-H249,0))</x:f>
      </x:c>
      <x:c r="J249" s="210"/>
      <x:c r="K249" s="190"/>
      <x:c r="L249" s="208"/>
      <x:c r="M249" s="208"/>
      <x:c r="N249" s="208"/>
      <x:c r="O249" s="208"/>
      <x:c r="P249" s="190"/>
      <x:c r="Q249" s="190"/>
      <x:c r="R249" s="190"/>
      <x:c r="S249" s="190"/>
      <x:c r="T249" s="190"/>
      <x:c r="U249" s="190"/>
      <x:c r="V249" s="212"/>
      <x:c r="W249" s="212"/>
      <x:c r="X249" s="200"/>
      <x:c r="Y249" s="192"/>
      <x:c r="Z249" s="214"/>
      <x:c r="AA249" s="214"/>
      <x:c r="AB249" s="192"/>
      <x:c r="AC249" s="194"/>
      <x:c r="AD249" s="186" t="str">
        <x:f>IF(COUNTA(B249:H249)+COUNTA(J249:AC249)=0,"",IF(OR(B249="",D249="",E249="",G249="",J249=""),"缺少必填项",IF(H249&gt;G249,"完成数大于订单数",IF(AND(X249="",OR(Y249="排队",Y249="生产中",Y249="阻塞",Z249&lt;&gt;"",AA249&lt;&gt;"",AB249="是")),"已有排期字段缺少机台",IF(AND(X249&lt;&gt;"",Y249="待排"),"已填机台但状态为待排",IF(AND(Y249="生产中",AB249&lt;&gt;"是"),"需确认：生产中未锁定","可导入"))))))</x:f>
      </x:c>
    </x:row>
    <x:row r="250" ht="22" customHeight="1">
      <x:c r="A250" s="186" t="str">
        <x:f>IF(B250="","",ROW()-5)</x:f>
      </x:c>
      <x:c r="B250" s="196"/>
      <x:c r="C250" s="198"/>
      <x:c r="D250" s="196"/>
      <x:c r="E250" s="188"/>
      <x:c r="F250" s="198"/>
      <x:c r="G250" s="202"/>
      <x:c r="H250" s="204"/>
      <x:c r="I250" s="206" t="str">
        <x:f>IF(G250="","",MAX(G250-H250,0))</x:f>
      </x:c>
      <x:c r="J250" s="210"/>
      <x:c r="K250" s="190"/>
      <x:c r="L250" s="208"/>
      <x:c r="M250" s="208"/>
      <x:c r="N250" s="208"/>
      <x:c r="O250" s="208"/>
      <x:c r="P250" s="190"/>
      <x:c r="Q250" s="190"/>
      <x:c r="R250" s="190"/>
      <x:c r="S250" s="190"/>
      <x:c r="T250" s="190"/>
      <x:c r="U250" s="190"/>
      <x:c r="V250" s="212"/>
      <x:c r="W250" s="212"/>
      <x:c r="X250" s="200"/>
      <x:c r="Y250" s="192"/>
      <x:c r="Z250" s="214"/>
      <x:c r="AA250" s="214"/>
      <x:c r="AB250" s="192"/>
      <x:c r="AC250" s="194"/>
      <x:c r="AD250" s="186" t="str">
        <x:f>IF(COUNTA(B250:H250)+COUNTA(J250:AC250)=0,"",IF(OR(B250="",D250="",E250="",G250="",J250=""),"缺少必填项",IF(H250&gt;G250,"完成数大于订单数",IF(AND(X250="",OR(Y250="排队",Y250="生产中",Y250="阻塞",Z250&lt;&gt;"",AA250&lt;&gt;"",AB250="是")),"已有排期字段缺少机台",IF(AND(X250&lt;&gt;"",Y250="待排"),"已填机台但状态为待排",IF(AND(Y250="生产中",AB250&lt;&gt;"是"),"需确认：生产中未锁定","可导入"))))))</x:f>
      </x:c>
    </x:row>
    <x:row r="251" ht="22" customHeight="1">
      <x:c r="A251" s="186" t="str">
        <x:f>IF(B251="","",ROW()-5)</x:f>
      </x:c>
      <x:c r="B251" s="196"/>
      <x:c r="C251" s="198"/>
      <x:c r="D251" s="196"/>
      <x:c r="E251" s="188"/>
      <x:c r="F251" s="198"/>
      <x:c r="G251" s="202"/>
      <x:c r="H251" s="204"/>
      <x:c r="I251" s="206" t="str">
        <x:f>IF(G251="","",MAX(G251-H251,0))</x:f>
      </x:c>
      <x:c r="J251" s="210"/>
      <x:c r="K251" s="190"/>
      <x:c r="L251" s="208"/>
      <x:c r="M251" s="208"/>
      <x:c r="N251" s="208"/>
      <x:c r="O251" s="208"/>
      <x:c r="P251" s="190"/>
      <x:c r="Q251" s="190"/>
      <x:c r="R251" s="190"/>
      <x:c r="S251" s="190"/>
      <x:c r="T251" s="190"/>
      <x:c r="U251" s="190"/>
      <x:c r="V251" s="212"/>
      <x:c r="W251" s="212"/>
      <x:c r="X251" s="200"/>
      <x:c r="Y251" s="192"/>
      <x:c r="Z251" s="214"/>
      <x:c r="AA251" s="214"/>
      <x:c r="AB251" s="192"/>
      <x:c r="AC251" s="194"/>
      <x:c r="AD251" s="186" t="str">
        <x:f>IF(COUNTA(B251:H251)+COUNTA(J251:AC251)=0,"",IF(OR(B251="",D251="",E251="",G251="",J251=""),"缺少必填项",IF(H251&gt;G251,"完成数大于订单数",IF(AND(X251="",OR(Y251="排队",Y251="生产中",Y251="阻塞",Z251&lt;&gt;"",AA251&lt;&gt;"",AB251="是")),"已有排期字段缺少机台",IF(AND(X251&lt;&gt;"",Y251="待排"),"已填机台但状态为待排",IF(AND(Y251="生产中",AB251&lt;&gt;"是"),"需确认：生产中未锁定","可导入"))))))</x:f>
      </x:c>
    </x:row>
    <x:row r="252" ht="22" customHeight="1">
      <x:c r="A252" s="186" t="str">
        <x:f>IF(B252="","",ROW()-5)</x:f>
      </x:c>
      <x:c r="B252" s="196"/>
      <x:c r="C252" s="198"/>
      <x:c r="D252" s="196"/>
      <x:c r="E252" s="188"/>
      <x:c r="F252" s="198"/>
      <x:c r="G252" s="202"/>
      <x:c r="H252" s="204"/>
      <x:c r="I252" s="206" t="str">
        <x:f>IF(G252="","",MAX(G252-H252,0))</x:f>
      </x:c>
      <x:c r="J252" s="210"/>
      <x:c r="K252" s="190"/>
      <x:c r="L252" s="208"/>
      <x:c r="M252" s="208"/>
      <x:c r="N252" s="208"/>
      <x:c r="O252" s="208"/>
      <x:c r="P252" s="190"/>
      <x:c r="Q252" s="190"/>
      <x:c r="R252" s="190"/>
      <x:c r="S252" s="190"/>
      <x:c r="T252" s="190"/>
      <x:c r="U252" s="190"/>
      <x:c r="V252" s="212"/>
      <x:c r="W252" s="212"/>
      <x:c r="X252" s="200"/>
      <x:c r="Y252" s="192"/>
      <x:c r="Z252" s="214"/>
      <x:c r="AA252" s="214"/>
      <x:c r="AB252" s="192"/>
      <x:c r="AC252" s="194"/>
      <x:c r="AD252" s="186" t="str">
        <x:f>IF(COUNTA(B252:H252)+COUNTA(J252:AC252)=0,"",IF(OR(B252="",D252="",E252="",G252="",J252=""),"缺少必填项",IF(H252&gt;G252,"完成数大于订单数",IF(AND(X252="",OR(Y252="排队",Y252="生产中",Y252="阻塞",Z252&lt;&gt;"",AA252&lt;&gt;"",AB252="是")),"已有排期字段缺少机台",IF(AND(X252&lt;&gt;"",Y252="待排"),"已填机台但状态为待排",IF(AND(Y252="生产中",AB252&lt;&gt;"是"),"需确认：生产中未锁定","可导入"))))))</x:f>
      </x:c>
    </x:row>
    <x:row r="253" ht="22" customHeight="1">
      <x:c r="A253" s="186" t="str">
        <x:f>IF(B253="","",ROW()-5)</x:f>
      </x:c>
      <x:c r="B253" s="196"/>
      <x:c r="C253" s="198"/>
      <x:c r="D253" s="196"/>
      <x:c r="E253" s="188"/>
      <x:c r="F253" s="198"/>
      <x:c r="G253" s="202"/>
      <x:c r="H253" s="204"/>
      <x:c r="I253" s="206" t="str">
        <x:f>IF(G253="","",MAX(G253-H253,0))</x:f>
      </x:c>
      <x:c r="J253" s="210"/>
      <x:c r="K253" s="190"/>
      <x:c r="L253" s="208"/>
      <x:c r="M253" s="208"/>
      <x:c r="N253" s="208"/>
      <x:c r="O253" s="208"/>
      <x:c r="P253" s="190"/>
      <x:c r="Q253" s="190"/>
      <x:c r="R253" s="190"/>
      <x:c r="S253" s="190"/>
      <x:c r="T253" s="190"/>
      <x:c r="U253" s="190"/>
      <x:c r="V253" s="212"/>
      <x:c r="W253" s="212"/>
      <x:c r="X253" s="200"/>
      <x:c r="Y253" s="192"/>
      <x:c r="Z253" s="214"/>
      <x:c r="AA253" s="214"/>
      <x:c r="AB253" s="192"/>
      <x:c r="AC253" s="194"/>
      <x:c r="AD253" s="186" t="str">
        <x:f>IF(COUNTA(B253:H253)+COUNTA(J253:AC253)=0,"",IF(OR(B253="",D253="",E253="",G253="",J253=""),"缺少必填项",IF(H253&gt;G253,"完成数大于订单数",IF(AND(X253="",OR(Y253="排队",Y253="生产中",Y253="阻塞",Z253&lt;&gt;"",AA253&lt;&gt;"",AB253="是")),"已有排期字段缺少机台",IF(AND(X253&lt;&gt;"",Y253="待排"),"已填机台但状态为待排",IF(AND(Y253="生产中",AB253&lt;&gt;"是"),"需确认：生产中未锁定","可导入"))))))</x:f>
      </x:c>
    </x:row>
    <x:row r="254" ht="22" customHeight="1">
      <x:c r="A254" s="186" t="str">
        <x:f>IF(B254="","",ROW()-5)</x:f>
      </x:c>
      <x:c r="B254" s="196"/>
      <x:c r="C254" s="198"/>
      <x:c r="D254" s="196"/>
      <x:c r="E254" s="188"/>
      <x:c r="F254" s="198"/>
      <x:c r="G254" s="202"/>
      <x:c r="H254" s="204"/>
      <x:c r="I254" s="206" t="str">
        <x:f>IF(G254="","",MAX(G254-H254,0))</x:f>
      </x:c>
      <x:c r="J254" s="210"/>
      <x:c r="K254" s="190"/>
      <x:c r="L254" s="208"/>
      <x:c r="M254" s="208"/>
      <x:c r="N254" s="208"/>
      <x:c r="O254" s="208"/>
      <x:c r="P254" s="190"/>
      <x:c r="Q254" s="190"/>
      <x:c r="R254" s="190"/>
      <x:c r="S254" s="190"/>
      <x:c r="T254" s="190"/>
      <x:c r="U254" s="190"/>
      <x:c r="V254" s="212"/>
      <x:c r="W254" s="212"/>
      <x:c r="X254" s="200"/>
      <x:c r="Y254" s="192"/>
      <x:c r="Z254" s="214"/>
      <x:c r="AA254" s="214"/>
      <x:c r="AB254" s="192"/>
      <x:c r="AC254" s="194"/>
      <x:c r="AD254" s="186" t="str">
        <x:f>IF(COUNTA(B254:H254)+COUNTA(J254:AC254)=0,"",IF(OR(B254="",D254="",E254="",G254="",J254=""),"缺少必填项",IF(H254&gt;G254,"完成数大于订单数",IF(AND(X254="",OR(Y254="排队",Y254="生产中",Y254="阻塞",Z254&lt;&gt;"",AA254&lt;&gt;"",AB254="是")),"已有排期字段缺少机台",IF(AND(X254&lt;&gt;"",Y254="待排"),"已填机台但状态为待排",IF(AND(Y254="生产中",AB254&lt;&gt;"是"),"需确认：生产中未锁定","可导入"))))))</x:f>
      </x:c>
    </x:row>
    <x:row r="255" ht="22" customHeight="1">
      <x:c r="A255" s="186" t="str">
        <x:f>IF(B255="","",ROW()-5)</x:f>
      </x:c>
      <x:c r="B255" s="196"/>
      <x:c r="C255" s="198"/>
      <x:c r="D255" s="196"/>
      <x:c r="E255" s="188"/>
      <x:c r="F255" s="198"/>
      <x:c r="G255" s="202"/>
      <x:c r="H255" s="204"/>
      <x:c r="I255" s="206" t="str">
        <x:f>IF(G255="","",MAX(G255-H255,0))</x:f>
      </x:c>
      <x:c r="J255" s="210"/>
      <x:c r="K255" s="190"/>
      <x:c r="L255" s="208"/>
      <x:c r="M255" s="208"/>
      <x:c r="N255" s="208"/>
      <x:c r="O255" s="208"/>
      <x:c r="P255" s="190"/>
      <x:c r="Q255" s="190"/>
      <x:c r="R255" s="190"/>
      <x:c r="S255" s="190"/>
      <x:c r="T255" s="190"/>
      <x:c r="U255" s="190"/>
      <x:c r="V255" s="212"/>
      <x:c r="W255" s="212"/>
      <x:c r="X255" s="200"/>
      <x:c r="Y255" s="192"/>
      <x:c r="Z255" s="214"/>
      <x:c r="AA255" s="214"/>
      <x:c r="AB255" s="192"/>
      <x:c r="AC255" s="194"/>
      <x:c r="AD255" s="186" t="str">
        <x:f>IF(COUNTA(B255:H255)+COUNTA(J255:AC255)=0,"",IF(OR(B255="",D255="",E255="",G255="",J255=""),"缺少必填项",IF(H255&gt;G255,"完成数大于订单数",IF(AND(X255="",OR(Y255="排队",Y255="生产中",Y255="阻塞",Z255&lt;&gt;"",AA255&lt;&gt;"",AB255="是")),"已有排期字段缺少机台",IF(AND(X255&lt;&gt;"",Y255="待排"),"已填机台但状态为待排",IF(AND(Y255="生产中",AB255&lt;&gt;"是"),"需确认：生产中未锁定","可导入"))))))</x:f>
      </x:c>
    </x:row>
    <x:row r="256" ht="22" customHeight="1">
      <x:c r="A256" s="186" t="str">
        <x:f>IF(B256="","",ROW()-5)</x:f>
      </x:c>
      <x:c r="B256" s="196"/>
      <x:c r="C256" s="198"/>
      <x:c r="D256" s="196"/>
      <x:c r="E256" s="188"/>
      <x:c r="F256" s="198"/>
      <x:c r="G256" s="202"/>
      <x:c r="H256" s="204"/>
      <x:c r="I256" s="206" t="str">
        <x:f>IF(G256="","",MAX(G256-H256,0))</x:f>
      </x:c>
      <x:c r="J256" s="210"/>
      <x:c r="K256" s="190"/>
      <x:c r="L256" s="208"/>
      <x:c r="M256" s="208"/>
      <x:c r="N256" s="208"/>
      <x:c r="O256" s="208"/>
      <x:c r="P256" s="190"/>
      <x:c r="Q256" s="190"/>
      <x:c r="R256" s="190"/>
      <x:c r="S256" s="190"/>
      <x:c r="T256" s="190"/>
      <x:c r="U256" s="190"/>
      <x:c r="V256" s="212"/>
      <x:c r="W256" s="212"/>
      <x:c r="X256" s="200"/>
      <x:c r="Y256" s="192"/>
      <x:c r="Z256" s="214"/>
      <x:c r="AA256" s="214"/>
      <x:c r="AB256" s="192"/>
      <x:c r="AC256" s="194"/>
      <x:c r="AD256" s="186" t="str">
        <x:f>IF(COUNTA(B256:H256)+COUNTA(J256:AC256)=0,"",IF(OR(B256="",D256="",E256="",G256="",J256=""),"缺少必填项",IF(H256&gt;G256,"完成数大于订单数",IF(AND(X256="",OR(Y256="排队",Y256="生产中",Y256="阻塞",Z256&lt;&gt;"",AA256&lt;&gt;"",AB256="是")),"已有排期字段缺少机台",IF(AND(X256&lt;&gt;"",Y256="待排"),"已填机台但状态为待排",IF(AND(Y256="生产中",AB256&lt;&gt;"是"),"需确认：生产中未锁定","可导入"))))))</x:f>
      </x:c>
    </x:row>
    <x:row r="257" ht="22" customHeight="1">
      <x:c r="A257" s="186" t="str">
        <x:f>IF(B257="","",ROW()-5)</x:f>
      </x:c>
      <x:c r="B257" s="196"/>
      <x:c r="C257" s="198"/>
      <x:c r="D257" s="196"/>
      <x:c r="E257" s="188"/>
      <x:c r="F257" s="198"/>
      <x:c r="G257" s="202"/>
      <x:c r="H257" s="204"/>
      <x:c r="I257" s="206" t="str">
        <x:f>IF(G257="","",MAX(G257-H257,0))</x:f>
      </x:c>
      <x:c r="J257" s="210"/>
      <x:c r="K257" s="190"/>
      <x:c r="L257" s="208"/>
      <x:c r="M257" s="208"/>
      <x:c r="N257" s="208"/>
      <x:c r="O257" s="208"/>
      <x:c r="P257" s="190"/>
      <x:c r="Q257" s="190"/>
      <x:c r="R257" s="190"/>
      <x:c r="S257" s="190"/>
      <x:c r="T257" s="190"/>
      <x:c r="U257" s="190"/>
      <x:c r="V257" s="212"/>
      <x:c r="W257" s="212"/>
      <x:c r="X257" s="200"/>
      <x:c r="Y257" s="192"/>
      <x:c r="Z257" s="214"/>
      <x:c r="AA257" s="214"/>
      <x:c r="AB257" s="192"/>
      <x:c r="AC257" s="194"/>
      <x:c r="AD257" s="186" t="str">
        <x:f>IF(COUNTA(B257:H257)+COUNTA(J257:AC257)=0,"",IF(OR(B257="",D257="",E257="",G257="",J257=""),"缺少必填项",IF(H257&gt;G257,"完成数大于订单数",IF(AND(X257="",OR(Y257="排队",Y257="生产中",Y257="阻塞",Z257&lt;&gt;"",AA257&lt;&gt;"",AB257="是")),"已有排期字段缺少机台",IF(AND(X257&lt;&gt;"",Y257="待排"),"已填机台但状态为待排",IF(AND(Y257="生产中",AB257&lt;&gt;"是"),"需确认：生产中未锁定","可导入"))))))</x:f>
      </x:c>
    </x:row>
    <x:row r="258" ht="22" customHeight="1">
      <x:c r="A258" s="186" t="str">
        <x:f>IF(B258="","",ROW()-5)</x:f>
      </x:c>
      <x:c r="B258" s="196"/>
      <x:c r="C258" s="198"/>
      <x:c r="D258" s="196"/>
      <x:c r="E258" s="188"/>
      <x:c r="F258" s="198"/>
      <x:c r="G258" s="202"/>
      <x:c r="H258" s="204"/>
      <x:c r="I258" s="206" t="str">
        <x:f>IF(G258="","",MAX(G258-H258,0))</x:f>
      </x:c>
      <x:c r="J258" s="210"/>
      <x:c r="K258" s="190"/>
      <x:c r="L258" s="208"/>
      <x:c r="M258" s="208"/>
      <x:c r="N258" s="208"/>
      <x:c r="O258" s="208"/>
      <x:c r="P258" s="190"/>
      <x:c r="Q258" s="190"/>
      <x:c r="R258" s="190"/>
      <x:c r="S258" s="190"/>
      <x:c r="T258" s="190"/>
      <x:c r="U258" s="190"/>
      <x:c r="V258" s="212"/>
      <x:c r="W258" s="212"/>
      <x:c r="X258" s="200"/>
      <x:c r="Y258" s="192"/>
      <x:c r="Z258" s="214"/>
      <x:c r="AA258" s="214"/>
      <x:c r="AB258" s="192"/>
      <x:c r="AC258" s="194"/>
      <x:c r="AD258" s="186" t="str">
        <x:f>IF(COUNTA(B258:H258)+COUNTA(J258:AC258)=0,"",IF(OR(B258="",D258="",E258="",G258="",J258=""),"缺少必填项",IF(H258&gt;G258,"完成数大于订单数",IF(AND(X258="",OR(Y258="排队",Y258="生产中",Y258="阻塞",Z258&lt;&gt;"",AA258&lt;&gt;"",AB258="是")),"已有排期字段缺少机台",IF(AND(X258&lt;&gt;"",Y258="待排"),"已填机台但状态为待排",IF(AND(Y258="生产中",AB258&lt;&gt;"是"),"需确认：生产中未锁定","可导入"))))))</x:f>
      </x:c>
    </x:row>
    <x:row r="259" ht="22" customHeight="1">
      <x:c r="A259" s="186" t="str">
        <x:f>IF(B259="","",ROW()-5)</x:f>
      </x:c>
      <x:c r="B259" s="196"/>
      <x:c r="C259" s="198"/>
      <x:c r="D259" s="196"/>
      <x:c r="E259" s="188"/>
      <x:c r="F259" s="198"/>
      <x:c r="G259" s="202"/>
      <x:c r="H259" s="204"/>
      <x:c r="I259" s="206" t="str">
        <x:f>IF(G259="","",MAX(G259-H259,0))</x:f>
      </x:c>
      <x:c r="J259" s="210"/>
      <x:c r="K259" s="190"/>
      <x:c r="L259" s="208"/>
      <x:c r="M259" s="208"/>
      <x:c r="N259" s="208"/>
      <x:c r="O259" s="208"/>
      <x:c r="P259" s="190"/>
      <x:c r="Q259" s="190"/>
      <x:c r="R259" s="190"/>
      <x:c r="S259" s="190"/>
      <x:c r="T259" s="190"/>
      <x:c r="U259" s="190"/>
      <x:c r="V259" s="212"/>
      <x:c r="W259" s="212"/>
      <x:c r="X259" s="200"/>
      <x:c r="Y259" s="192"/>
      <x:c r="Z259" s="214"/>
      <x:c r="AA259" s="214"/>
      <x:c r="AB259" s="192"/>
      <x:c r="AC259" s="194"/>
      <x:c r="AD259" s="186" t="str">
        <x:f>IF(COUNTA(B259:H259)+COUNTA(J259:AC259)=0,"",IF(OR(B259="",D259="",E259="",G259="",J259=""),"缺少必填项",IF(H259&gt;G259,"完成数大于订单数",IF(AND(X259="",OR(Y259="排队",Y259="生产中",Y259="阻塞",Z259&lt;&gt;"",AA259&lt;&gt;"",AB259="是")),"已有排期字段缺少机台",IF(AND(X259&lt;&gt;"",Y259="待排"),"已填机台但状态为待排",IF(AND(Y259="生产中",AB259&lt;&gt;"是"),"需确认：生产中未锁定","可导入"))))))</x:f>
      </x:c>
    </x:row>
    <x:row r="260" ht="22" customHeight="1">
      <x:c r="A260" s="186" t="str">
        <x:f>IF(B260="","",ROW()-5)</x:f>
      </x:c>
      <x:c r="B260" s="196"/>
      <x:c r="C260" s="198"/>
      <x:c r="D260" s="196"/>
      <x:c r="E260" s="188"/>
      <x:c r="F260" s="198"/>
      <x:c r="G260" s="202"/>
      <x:c r="H260" s="204"/>
      <x:c r="I260" s="206" t="str">
        <x:f>IF(G260="","",MAX(G260-H260,0))</x:f>
      </x:c>
      <x:c r="J260" s="210"/>
      <x:c r="K260" s="190"/>
      <x:c r="L260" s="208"/>
      <x:c r="M260" s="208"/>
      <x:c r="N260" s="208"/>
      <x:c r="O260" s="208"/>
      <x:c r="P260" s="190"/>
      <x:c r="Q260" s="190"/>
      <x:c r="R260" s="190"/>
      <x:c r="S260" s="190"/>
      <x:c r="T260" s="190"/>
      <x:c r="U260" s="190"/>
      <x:c r="V260" s="212"/>
      <x:c r="W260" s="212"/>
      <x:c r="X260" s="200"/>
      <x:c r="Y260" s="192"/>
      <x:c r="Z260" s="214"/>
      <x:c r="AA260" s="214"/>
      <x:c r="AB260" s="192"/>
      <x:c r="AC260" s="194"/>
      <x:c r="AD260" s="186" t="str">
        <x:f>IF(COUNTA(B260:H260)+COUNTA(J260:AC260)=0,"",IF(OR(B260="",D260="",E260="",G260="",J260=""),"缺少必填项",IF(H260&gt;G260,"完成数大于订单数",IF(AND(X260="",OR(Y260="排队",Y260="生产中",Y260="阻塞",Z260&lt;&gt;"",AA260&lt;&gt;"",AB260="是")),"已有排期字段缺少机台",IF(AND(X260&lt;&gt;"",Y260="待排"),"已填机台但状态为待排",IF(AND(Y260="生产中",AB260&lt;&gt;"是"),"需确认：生产中未锁定","可导入"))))))</x:f>
      </x:c>
    </x:row>
    <x:row r="261" ht="22" customHeight="1">
      <x:c r="A261" s="186" t="str">
        <x:f>IF(B261="","",ROW()-5)</x:f>
      </x:c>
      <x:c r="B261" s="196"/>
      <x:c r="C261" s="198"/>
      <x:c r="D261" s="196"/>
      <x:c r="E261" s="188"/>
      <x:c r="F261" s="198"/>
      <x:c r="G261" s="202"/>
      <x:c r="H261" s="204"/>
      <x:c r="I261" s="206" t="str">
        <x:f>IF(G261="","",MAX(G261-H261,0))</x:f>
      </x:c>
      <x:c r="J261" s="210"/>
      <x:c r="K261" s="190"/>
      <x:c r="L261" s="208"/>
      <x:c r="M261" s="208"/>
      <x:c r="N261" s="208"/>
      <x:c r="O261" s="208"/>
      <x:c r="P261" s="190"/>
      <x:c r="Q261" s="190"/>
      <x:c r="R261" s="190"/>
      <x:c r="S261" s="190"/>
      <x:c r="T261" s="190"/>
      <x:c r="U261" s="190"/>
      <x:c r="V261" s="212"/>
      <x:c r="W261" s="212"/>
      <x:c r="X261" s="200"/>
      <x:c r="Y261" s="192"/>
      <x:c r="Z261" s="214"/>
      <x:c r="AA261" s="214"/>
      <x:c r="AB261" s="192"/>
      <x:c r="AC261" s="194"/>
      <x:c r="AD261" s="186" t="str">
        <x:f>IF(COUNTA(B261:H261)+COUNTA(J261:AC261)=0,"",IF(OR(B261="",D261="",E261="",G261="",J261=""),"缺少必填项",IF(H261&gt;G261,"完成数大于订单数",IF(AND(X261="",OR(Y261="排队",Y261="生产中",Y261="阻塞",Z261&lt;&gt;"",AA261&lt;&gt;"",AB261="是")),"已有排期字段缺少机台",IF(AND(X261&lt;&gt;"",Y261="待排"),"已填机台但状态为待排",IF(AND(Y261="生产中",AB261&lt;&gt;"是"),"需确认：生产中未锁定","可导入"))))))</x:f>
      </x:c>
    </x:row>
    <x:row r="262" ht="22" customHeight="1">
      <x:c r="A262" s="186" t="str">
        <x:f>IF(B262="","",ROW()-5)</x:f>
      </x:c>
      <x:c r="B262" s="196"/>
      <x:c r="C262" s="198"/>
      <x:c r="D262" s="196"/>
      <x:c r="E262" s="188"/>
      <x:c r="F262" s="198"/>
      <x:c r="G262" s="202"/>
      <x:c r="H262" s="204"/>
      <x:c r="I262" s="206" t="str">
        <x:f>IF(G262="","",MAX(G262-H262,0))</x:f>
      </x:c>
      <x:c r="J262" s="210"/>
      <x:c r="K262" s="190"/>
      <x:c r="L262" s="208"/>
      <x:c r="M262" s="208"/>
      <x:c r="N262" s="208"/>
      <x:c r="O262" s="208"/>
      <x:c r="P262" s="190"/>
      <x:c r="Q262" s="190"/>
      <x:c r="R262" s="190"/>
      <x:c r="S262" s="190"/>
      <x:c r="T262" s="190"/>
      <x:c r="U262" s="190"/>
      <x:c r="V262" s="212"/>
      <x:c r="W262" s="212"/>
      <x:c r="X262" s="200"/>
      <x:c r="Y262" s="192"/>
      <x:c r="Z262" s="214"/>
      <x:c r="AA262" s="214"/>
      <x:c r="AB262" s="192"/>
      <x:c r="AC262" s="194"/>
      <x:c r="AD262" s="186" t="str">
        <x:f>IF(COUNTA(B262:H262)+COUNTA(J262:AC262)=0,"",IF(OR(B262="",D262="",E262="",G262="",J262=""),"缺少必填项",IF(H262&gt;G262,"完成数大于订单数",IF(AND(X262="",OR(Y262="排队",Y262="生产中",Y262="阻塞",Z262&lt;&gt;"",AA262&lt;&gt;"",AB262="是")),"已有排期字段缺少机台",IF(AND(X262&lt;&gt;"",Y262="待排"),"已填机台但状态为待排",IF(AND(Y262="生产中",AB262&lt;&gt;"是"),"需确认：生产中未锁定","可导入"))))))</x:f>
      </x:c>
    </x:row>
    <x:row r="263" ht="22" customHeight="1">
      <x:c r="A263" s="186" t="str">
        <x:f>IF(B263="","",ROW()-5)</x:f>
      </x:c>
      <x:c r="B263" s="196"/>
      <x:c r="C263" s="198"/>
      <x:c r="D263" s="196"/>
      <x:c r="E263" s="188"/>
      <x:c r="F263" s="198"/>
      <x:c r="G263" s="202"/>
      <x:c r="H263" s="204"/>
      <x:c r="I263" s="206" t="str">
        <x:f>IF(G263="","",MAX(G263-H263,0))</x:f>
      </x:c>
      <x:c r="J263" s="210"/>
      <x:c r="K263" s="190"/>
      <x:c r="L263" s="208"/>
      <x:c r="M263" s="208"/>
      <x:c r="N263" s="208"/>
      <x:c r="O263" s="208"/>
      <x:c r="P263" s="190"/>
      <x:c r="Q263" s="190"/>
      <x:c r="R263" s="190"/>
      <x:c r="S263" s="190"/>
      <x:c r="T263" s="190"/>
      <x:c r="U263" s="190"/>
      <x:c r="V263" s="212"/>
      <x:c r="W263" s="212"/>
      <x:c r="X263" s="200"/>
      <x:c r="Y263" s="192"/>
      <x:c r="Z263" s="214"/>
      <x:c r="AA263" s="214"/>
      <x:c r="AB263" s="192"/>
      <x:c r="AC263" s="194"/>
      <x:c r="AD263" s="186" t="str">
        <x:f>IF(COUNTA(B263:H263)+COUNTA(J263:AC263)=0,"",IF(OR(B263="",D263="",E263="",G263="",J263=""),"缺少必填项",IF(H263&gt;G263,"完成数大于订单数",IF(AND(X263="",OR(Y263="排队",Y263="生产中",Y263="阻塞",Z263&lt;&gt;"",AA263&lt;&gt;"",AB263="是")),"已有排期字段缺少机台",IF(AND(X263&lt;&gt;"",Y263="待排"),"已填机台但状态为待排",IF(AND(Y263="生产中",AB263&lt;&gt;"是"),"需确认：生产中未锁定","可导入"))))))</x:f>
      </x:c>
    </x:row>
    <x:row r="264" ht="22" customHeight="1">
      <x:c r="A264" s="186" t="str">
        <x:f>IF(B264="","",ROW()-5)</x:f>
      </x:c>
      <x:c r="B264" s="196"/>
      <x:c r="C264" s="198"/>
      <x:c r="D264" s="196"/>
      <x:c r="E264" s="188"/>
      <x:c r="F264" s="198"/>
      <x:c r="G264" s="202"/>
      <x:c r="H264" s="204"/>
      <x:c r="I264" s="206" t="str">
        <x:f>IF(G264="","",MAX(G264-H264,0))</x:f>
      </x:c>
      <x:c r="J264" s="210"/>
      <x:c r="K264" s="190"/>
      <x:c r="L264" s="208"/>
      <x:c r="M264" s="208"/>
      <x:c r="N264" s="208"/>
      <x:c r="O264" s="208"/>
      <x:c r="P264" s="190"/>
      <x:c r="Q264" s="190"/>
      <x:c r="R264" s="190"/>
      <x:c r="S264" s="190"/>
      <x:c r="T264" s="190"/>
      <x:c r="U264" s="190"/>
      <x:c r="V264" s="212"/>
      <x:c r="W264" s="212"/>
      <x:c r="X264" s="200"/>
      <x:c r="Y264" s="192"/>
      <x:c r="Z264" s="214"/>
      <x:c r="AA264" s="214"/>
      <x:c r="AB264" s="192"/>
      <x:c r="AC264" s="194"/>
      <x:c r="AD264" s="186" t="str">
        <x:f>IF(COUNTA(B264:H264)+COUNTA(J264:AC264)=0,"",IF(OR(B264="",D264="",E264="",G264="",J264=""),"缺少必填项",IF(H264&gt;G264,"完成数大于订单数",IF(AND(X264="",OR(Y264="排队",Y264="生产中",Y264="阻塞",Z264&lt;&gt;"",AA264&lt;&gt;"",AB264="是")),"已有排期字段缺少机台",IF(AND(X264&lt;&gt;"",Y264="待排"),"已填机台但状态为待排",IF(AND(Y264="生产中",AB264&lt;&gt;"是"),"需确认：生产中未锁定","可导入"))))))</x:f>
      </x:c>
    </x:row>
    <x:row r="265" ht="22" customHeight="1">
      <x:c r="A265" s="186" t="str">
        <x:f>IF(B265="","",ROW()-5)</x:f>
      </x:c>
      <x:c r="B265" s="196"/>
      <x:c r="C265" s="198"/>
      <x:c r="D265" s="196"/>
      <x:c r="E265" s="188"/>
      <x:c r="F265" s="198"/>
      <x:c r="G265" s="202"/>
      <x:c r="H265" s="204"/>
      <x:c r="I265" s="206" t="str">
        <x:f>IF(G265="","",MAX(G265-H265,0))</x:f>
      </x:c>
      <x:c r="J265" s="210"/>
      <x:c r="K265" s="190"/>
      <x:c r="L265" s="208"/>
      <x:c r="M265" s="208"/>
      <x:c r="N265" s="208"/>
      <x:c r="O265" s="208"/>
      <x:c r="P265" s="190"/>
      <x:c r="Q265" s="190"/>
      <x:c r="R265" s="190"/>
      <x:c r="S265" s="190"/>
      <x:c r="T265" s="190"/>
      <x:c r="U265" s="190"/>
      <x:c r="V265" s="212"/>
      <x:c r="W265" s="212"/>
      <x:c r="X265" s="200"/>
      <x:c r="Y265" s="192"/>
      <x:c r="Z265" s="214"/>
      <x:c r="AA265" s="214"/>
      <x:c r="AB265" s="192"/>
      <x:c r="AC265" s="194"/>
      <x:c r="AD265" s="186" t="str">
        <x:f>IF(COUNTA(B265:H265)+COUNTA(J265:AC265)=0,"",IF(OR(B265="",D265="",E265="",G265="",J265=""),"缺少必填项",IF(H265&gt;G265,"完成数大于订单数",IF(AND(X265="",OR(Y265="排队",Y265="生产中",Y265="阻塞",Z265&lt;&gt;"",AA265&lt;&gt;"",AB265="是")),"已有排期字段缺少机台",IF(AND(X265&lt;&gt;"",Y265="待排"),"已填机台但状态为待排",IF(AND(Y265="生产中",AB265&lt;&gt;"是"),"需确认：生产中未锁定","可导入"))))))</x:f>
      </x:c>
    </x:row>
    <x:row r="266" ht="22" customHeight="1">
      <x:c r="A266" s="186" t="str">
        <x:f>IF(B266="","",ROW()-5)</x:f>
      </x:c>
      <x:c r="B266" s="196"/>
      <x:c r="C266" s="198"/>
      <x:c r="D266" s="196"/>
      <x:c r="E266" s="188"/>
      <x:c r="F266" s="198"/>
      <x:c r="G266" s="202"/>
      <x:c r="H266" s="204"/>
      <x:c r="I266" s="206" t="str">
        <x:f>IF(G266="","",MAX(G266-H266,0))</x:f>
      </x:c>
      <x:c r="J266" s="210"/>
      <x:c r="K266" s="190"/>
      <x:c r="L266" s="208"/>
      <x:c r="M266" s="208"/>
      <x:c r="N266" s="208"/>
      <x:c r="O266" s="208"/>
      <x:c r="P266" s="190"/>
      <x:c r="Q266" s="190"/>
      <x:c r="R266" s="190"/>
      <x:c r="S266" s="190"/>
      <x:c r="T266" s="190"/>
      <x:c r="U266" s="190"/>
      <x:c r="V266" s="212"/>
      <x:c r="W266" s="212"/>
      <x:c r="X266" s="200"/>
      <x:c r="Y266" s="192"/>
      <x:c r="Z266" s="214"/>
      <x:c r="AA266" s="214"/>
      <x:c r="AB266" s="192"/>
      <x:c r="AC266" s="194"/>
      <x:c r="AD266" s="186" t="str">
        <x:f>IF(COUNTA(B266:H266)+COUNTA(J266:AC266)=0,"",IF(OR(B266="",D266="",E266="",G266="",J266=""),"缺少必填项",IF(H266&gt;G266,"完成数大于订单数",IF(AND(X266="",OR(Y266="排队",Y266="生产中",Y266="阻塞",Z266&lt;&gt;"",AA266&lt;&gt;"",AB266="是")),"已有排期字段缺少机台",IF(AND(X266&lt;&gt;"",Y266="待排"),"已填机台但状态为待排",IF(AND(Y266="生产中",AB266&lt;&gt;"是"),"需确认：生产中未锁定","可导入"))))))</x:f>
      </x:c>
    </x:row>
    <x:row r="267" ht="22" customHeight="1">
      <x:c r="A267" s="186" t="str">
        <x:f>IF(B267="","",ROW()-5)</x:f>
      </x:c>
      <x:c r="B267" s="196"/>
      <x:c r="C267" s="198"/>
      <x:c r="D267" s="196"/>
      <x:c r="E267" s="188"/>
      <x:c r="F267" s="198"/>
      <x:c r="G267" s="202"/>
      <x:c r="H267" s="204"/>
      <x:c r="I267" s="206" t="str">
        <x:f>IF(G267="","",MAX(G267-H267,0))</x:f>
      </x:c>
      <x:c r="J267" s="210"/>
      <x:c r="K267" s="190"/>
      <x:c r="L267" s="208"/>
      <x:c r="M267" s="208"/>
      <x:c r="N267" s="208"/>
      <x:c r="O267" s="208"/>
      <x:c r="P267" s="190"/>
      <x:c r="Q267" s="190"/>
      <x:c r="R267" s="190"/>
      <x:c r="S267" s="190"/>
      <x:c r="T267" s="190"/>
      <x:c r="U267" s="190"/>
      <x:c r="V267" s="212"/>
      <x:c r="W267" s="212"/>
      <x:c r="X267" s="200"/>
      <x:c r="Y267" s="192"/>
      <x:c r="Z267" s="214"/>
      <x:c r="AA267" s="214"/>
      <x:c r="AB267" s="192"/>
      <x:c r="AC267" s="194"/>
      <x:c r="AD267" s="186" t="str">
        <x:f>IF(COUNTA(B267:H267)+COUNTA(J267:AC267)=0,"",IF(OR(B267="",D267="",E267="",G267="",J267=""),"缺少必填项",IF(H267&gt;G267,"完成数大于订单数",IF(AND(X267="",OR(Y267="排队",Y267="生产中",Y267="阻塞",Z267&lt;&gt;"",AA267&lt;&gt;"",AB267="是")),"已有排期字段缺少机台",IF(AND(X267&lt;&gt;"",Y267="待排"),"已填机台但状态为待排",IF(AND(Y267="生产中",AB267&lt;&gt;"是"),"需确认：生产中未锁定","可导入"))))))</x:f>
      </x:c>
    </x:row>
    <x:row r="268" ht="22" customHeight="1">
      <x:c r="A268" s="186" t="str">
        <x:f>IF(B268="","",ROW()-5)</x:f>
      </x:c>
      <x:c r="B268" s="196"/>
      <x:c r="C268" s="198"/>
      <x:c r="D268" s="196"/>
      <x:c r="E268" s="188"/>
      <x:c r="F268" s="198"/>
      <x:c r="G268" s="202"/>
      <x:c r="H268" s="204"/>
      <x:c r="I268" s="206" t="str">
        <x:f>IF(G268="","",MAX(G268-H268,0))</x:f>
      </x:c>
      <x:c r="J268" s="210"/>
      <x:c r="K268" s="190"/>
      <x:c r="L268" s="208"/>
      <x:c r="M268" s="208"/>
      <x:c r="N268" s="208"/>
      <x:c r="O268" s="208"/>
      <x:c r="P268" s="190"/>
      <x:c r="Q268" s="190"/>
      <x:c r="R268" s="190"/>
      <x:c r="S268" s="190"/>
      <x:c r="T268" s="190"/>
      <x:c r="U268" s="190"/>
      <x:c r="V268" s="212"/>
      <x:c r="W268" s="212"/>
      <x:c r="X268" s="200"/>
      <x:c r="Y268" s="192"/>
      <x:c r="Z268" s="214"/>
      <x:c r="AA268" s="214"/>
      <x:c r="AB268" s="192"/>
      <x:c r="AC268" s="194"/>
      <x:c r="AD268" s="186" t="str">
        <x:f>IF(COUNTA(B268:H268)+COUNTA(J268:AC268)=0,"",IF(OR(B268="",D268="",E268="",G268="",J268=""),"缺少必填项",IF(H268&gt;G268,"完成数大于订单数",IF(AND(X268="",OR(Y268="排队",Y268="生产中",Y268="阻塞",Z268&lt;&gt;"",AA268&lt;&gt;"",AB268="是")),"已有排期字段缺少机台",IF(AND(X268&lt;&gt;"",Y268="待排"),"已填机台但状态为待排",IF(AND(Y268="生产中",AB268&lt;&gt;"是"),"需确认：生产中未锁定","可导入"))))))</x:f>
      </x:c>
    </x:row>
    <x:row r="269" ht="22" customHeight="1">
      <x:c r="A269" s="186" t="str">
        <x:f>IF(B269="","",ROW()-5)</x:f>
      </x:c>
      <x:c r="B269" s="196"/>
      <x:c r="C269" s="198"/>
      <x:c r="D269" s="196"/>
      <x:c r="E269" s="188"/>
      <x:c r="F269" s="198"/>
      <x:c r="G269" s="202"/>
      <x:c r="H269" s="204"/>
      <x:c r="I269" s="206" t="str">
        <x:f>IF(G269="","",MAX(G269-H269,0))</x:f>
      </x:c>
      <x:c r="J269" s="210"/>
      <x:c r="K269" s="190"/>
      <x:c r="L269" s="208"/>
      <x:c r="M269" s="208"/>
      <x:c r="N269" s="208"/>
      <x:c r="O269" s="208"/>
      <x:c r="P269" s="190"/>
      <x:c r="Q269" s="190"/>
      <x:c r="R269" s="190"/>
      <x:c r="S269" s="190"/>
      <x:c r="T269" s="190"/>
      <x:c r="U269" s="190"/>
      <x:c r="V269" s="212"/>
      <x:c r="W269" s="212"/>
      <x:c r="X269" s="200"/>
      <x:c r="Y269" s="192"/>
      <x:c r="Z269" s="214"/>
      <x:c r="AA269" s="214"/>
      <x:c r="AB269" s="192"/>
      <x:c r="AC269" s="194"/>
      <x:c r="AD269" s="186" t="str">
        <x:f>IF(COUNTA(B269:H269)+COUNTA(J269:AC269)=0,"",IF(OR(B269="",D269="",E269="",G269="",J269=""),"缺少必填项",IF(H269&gt;G269,"完成数大于订单数",IF(AND(X269="",OR(Y269="排队",Y269="生产中",Y269="阻塞",Z269&lt;&gt;"",AA269&lt;&gt;"",AB269="是")),"已有排期字段缺少机台",IF(AND(X269&lt;&gt;"",Y269="待排"),"已填机台但状态为待排",IF(AND(Y269="生产中",AB269&lt;&gt;"是"),"需确认：生产中未锁定","可导入"))))))</x:f>
      </x:c>
    </x:row>
    <x:row r="270" ht="22" customHeight="1">
      <x:c r="A270" s="186" t="str">
        <x:f>IF(B270="","",ROW()-5)</x:f>
      </x:c>
      <x:c r="B270" s="196"/>
      <x:c r="C270" s="198"/>
      <x:c r="D270" s="196"/>
      <x:c r="E270" s="188"/>
      <x:c r="F270" s="198"/>
      <x:c r="G270" s="202"/>
      <x:c r="H270" s="204"/>
      <x:c r="I270" s="206" t="str">
        <x:f>IF(G270="","",MAX(G270-H270,0))</x:f>
      </x:c>
      <x:c r="J270" s="210"/>
      <x:c r="K270" s="190"/>
      <x:c r="L270" s="208"/>
      <x:c r="M270" s="208"/>
      <x:c r="N270" s="208"/>
      <x:c r="O270" s="208"/>
      <x:c r="P270" s="190"/>
      <x:c r="Q270" s="190"/>
      <x:c r="R270" s="190"/>
      <x:c r="S270" s="190"/>
      <x:c r="T270" s="190"/>
      <x:c r="U270" s="190"/>
      <x:c r="V270" s="212"/>
      <x:c r="W270" s="212"/>
      <x:c r="X270" s="200"/>
      <x:c r="Y270" s="192"/>
      <x:c r="Z270" s="214"/>
      <x:c r="AA270" s="214"/>
      <x:c r="AB270" s="192"/>
      <x:c r="AC270" s="194"/>
      <x:c r="AD270" s="186" t="str">
        <x:f>IF(COUNTA(B270:H270)+COUNTA(J270:AC270)=0,"",IF(OR(B270="",D270="",E270="",G270="",J270=""),"缺少必填项",IF(H270&gt;G270,"完成数大于订单数",IF(AND(X270="",OR(Y270="排队",Y270="生产中",Y270="阻塞",Z270&lt;&gt;"",AA270&lt;&gt;"",AB270="是")),"已有排期字段缺少机台",IF(AND(X270&lt;&gt;"",Y270="待排"),"已填机台但状态为待排",IF(AND(Y270="生产中",AB270&lt;&gt;"是"),"需确认：生产中未锁定","可导入"))))))</x:f>
      </x:c>
    </x:row>
    <x:row r="271" ht="22" customHeight="1">
      <x:c r="A271" s="186" t="str">
        <x:f>IF(B271="","",ROW()-5)</x:f>
      </x:c>
      <x:c r="B271" s="196"/>
      <x:c r="C271" s="198"/>
      <x:c r="D271" s="196"/>
      <x:c r="E271" s="188"/>
      <x:c r="F271" s="198"/>
      <x:c r="G271" s="202"/>
      <x:c r="H271" s="204"/>
      <x:c r="I271" s="206" t="str">
        <x:f>IF(G271="","",MAX(G271-H271,0))</x:f>
      </x:c>
      <x:c r="J271" s="210"/>
      <x:c r="K271" s="190"/>
      <x:c r="L271" s="208"/>
      <x:c r="M271" s="208"/>
      <x:c r="N271" s="208"/>
      <x:c r="O271" s="208"/>
      <x:c r="P271" s="190"/>
      <x:c r="Q271" s="190"/>
      <x:c r="R271" s="190"/>
      <x:c r="S271" s="190"/>
      <x:c r="T271" s="190"/>
      <x:c r="U271" s="190"/>
      <x:c r="V271" s="212"/>
      <x:c r="W271" s="212"/>
      <x:c r="X271" s="200"/>
      <x:c r="Y271" s="192"/>
      <x:c r="Z271" s="214"/>
      <x:c r="AA271" s="214"/>
      <x:c r="AB271" s="192"/>
      <x:c r="AC271" s="194"/>
      <x:c r="AD271" s="186" t="str">
        <x:f>IF(COUNTA(B271:H271)+COUNTA(J271:AC271)=0,"",IF(OR(B271="",D271="",E271="",G271="",J271=""),"缺少必填项",IF(H271&gt;G271,"完成数大于订单数",IF(AND(X271="",OR(Y271="排队",Y271="生产中",Y271="阻塞",Z271&lt;&gt;"",AA271&lt;&gt;"",AB271="是")),"已有排期字段缺少机台",IF(AND(X271&lt;&gt;"",Y271="待排"),"已填机台但状态为待排",IF(AND(Y271="生产中",AB271&lt;&gt;"是"),"需确认：生产中未锁定","可导入"))))))</x:f>
      </x:c>
    </x:row>
    <x:row r="272" ht="22" customHeight="1">
      <x:c r="A272" s="186" t="str">
        <x:f>IF(B272="","",ROW()-5)</x:f>
      </x:c>
      <x:c r="B272" s="196"/>
      <x:c r="C272" s="198"/>
      <x:c r="D272" s="196"/>
      <x:c r="E272" s="188"/>
      <x:c r="F272" s="198"/>
      <x:c r="G272" s="202"/>
      <x:c r="H272" s="204"/>
      <x:c r="I272" s="206" t="str">
        <x:f>IF(G272="","",MAX(G272-H272,0))</x:f>
      </x:c>
      <x:c r="J272" s="210"/>
      <x:c r="K272" s="190"/>
      <x:c r="L272" s="208"/>
      <x:c r="M272" s="208"/>
      <x:c r="N272" s="208"/>
      <x:c r="O272" s="208"/>
      <x:c r="P272" s="190"/>
      <x:c r="Q272" s="190"/>
      <x:c r="R272" s="190"/>
      <x:c r="S272" s="190"/>
      <x:c r="T272" s="190"/>
      <x:c r="U272" s="190"/>
      <x:c r="V272" s="212"/>
      <x:c r="W272" s="212"/>
      <x:c r="X272" s="200"/>
      <x:c r="Y272" s="192"/>
      <x:c r="Z272" s="214"/>
      <x:c r="AA272" s="214"/>
      <x:c r="AB272" s="192"/>
      <x:c r="AC272" s="194"/>
      <x:c r="AD272" s="186" t="str">
        <x:f>IF(COUNTA(B272:H272)+COUNTA(J272:AC272)=0,"",IF(OR(B272="",D272="",E272="",G272="",J272=""),"缺少必填项",IF(H272&gt;G272,"完成数大于订单数",IF(AND(X272="",OR(Y272="排队",Y272="生产中",Y272="阻塞",Z272&lt;&gt;"",AA272&lt;&gt;"",AB272="是")),"已有排期字段缺少机台",IF(AND(X272&lt;&gt;"",Y272="待排"),"已填机台但状态为待排",IF(AND(Y272="生产中",AB272&lt;&gt;"是"),"需确认：生产中未锁定","可导入"))))))</x:f>
      </x:c>
    </x:row>
    <x:row r="273" ht="22" customHeight="1">
      <x:c r="A273" s="186" t="str">
        <x:f>IF(B273="","",ROW()-5)</x:f>
      </x:c>
      <x:c r="B273" s="196"/>
      <x:c r="C273" s="198"/>
      <x:c r="D273" s="196"/>
      <x:c r="E273" s="188"/>
      <x:c r="F273" s="198"/>
      <x:c r="G273" s="202"/>
      <x:c r="H273" s="204"/>
      <x:c r="I273" s="206" t="str">
        <x:f>IF(G273="","",MAX(G273-H273,0))</x:f>
      </x:c>
      <x:c r="J273" s="210"/>
      <x:c r="K273" s="190"/>
      <x:c r="L273" s="208"/>
      <x:c r="M273" s="208"/>
      <x:c r="N273" s="208"/>
      <x:c r="O273" s="208"/>
      <x:c r="P273" s="190"/>
      <x:c r="Q273" s="190"/>
      <x:c r="R273" s="190"/>
      <x:c r="S273" s="190"/>
      <x:c r="T273" s="190"/>
      <x:c r="U273" s="190"/>
      <x:c r="V273" s="212"/>
      <x:c r="W273" s="212"/>
      <x:c r="X273" s="200"/>
      <x:c r="Y273" s="192"/>
      <x:c r="Z273" s="214"/>
      <x:c r="AA273" s="214"/>
      <x:c r="AB273" s="192"/>
      <x:c r="AC273" s="194"/>
      <x:c r="AD273" s="186" t="str">
        <x:f>IF(COUNTA(B273:H273)+COUNTA(J273:AC273)=0,"",IF(OR(B273="",D273="",E273="",G273="",J273=""),"缺少必填项",IF(H273&gt;G273,"完成数大于订单数",IF(AND(X273="",OR(Y273="排队",Y273="生产中",Y273="阻塞",Z273&lt;&gt;"",AA273&lt;&gt;"",AB273="是")),"已有排期字段缺少机台",IF(AND(X273&lt;&gt;"",Y273="待排"),"已填机台但状态为待排",IF(AND(Y273="生产中",AB273&lt;&gt;"是"),"需确认：生产中未锁定","可导入"))))))</x:f>
      </x:c>
    </x:row>
    <x:row r="274" ht="22" customHeight="1">
      <x:c r="A274" s="186" t="str">
        <x:f>IF(B274="","",ROW()-5)</x:f>
      </x:c>
      <x:c r="B274" s="196"/>
      <x:c r="C274" s="198"/>
      <x:c r="D274" s="196"/>
      <x:c r="E274" s="188"/>
      <x:c r="F274" s="198"/>
      <x:c r="G274" s="202"/>
      <x:c r="H274" s="204"/>
      <x:c r="I274" s="206" t="str">
        <x:f>IF(G274="","",MAX(G274-H274,0))</x:f>
      </x:c>
      <x:c r="J274" s="210"/>
      <x:c r="K274" s="190"/>
      <x:c r="L274" s="208"/>
      <x:c r="M274" s="208"/>
      <x:c r="N274" s="208"/>
      <x:c r="O274" s="208"/>
      <x:c r="P274" s="190"/>
      <x:c r="Q274" s="190"/>
      <x:c r="R274" s="190"/>
      <x:c r="S274" s="190"/>
      <x:c r="T274" s="190"/>
      <x:c r="U274" s="190"/>
      <x:c r="V274" s="212"/>
      <x:c r="W274" s="212"/>
      <x:c r="X274" s="200"/>
      <x:c r="Y274" s="192"/>
      <x:c r="Z274" s="214"/>
      <x:c r="AA274" s="214"/>
      <x:c r="AB274" s="192"/>
      <x:c r="AC274" s="194"/>
      <x:c r="AD274" s="186" t="str">
        <x:f>IF(COUNTA(B274:H274)+COUNTA(J274:AC274)=0,"",IF(OR(B274="",D274="",E274="",G274="",J274=""),"缺少必填项",IF(H274&gt;G274,"完成数大于订单数",IF(AND(X274="",OR(Y274="排队",Y274="生产中",Y274="阻塞",Z274&lt;&gt;"",AA274&lt;&gt;"",AB274="是")),"已有排期字段缺少机台",IF(AND(X274&lt;&gt;"",Y274="待排"),"已填机台但状态为待排",IF(AND(Y274="生产中",AB274&lt;&gt;"是"),"需确认：生产中未锁定","可导入"))))))</x:f>
      </x:c>
    </x:row>
    <x:row r="275" ht="22" customHeight="1">
      <x:c r="A275" s="186" t="str">
        <x:f>IF(B275="","",ROW()-5)</x:f>
      </x:c>
      <x:c r="B275" s="196"/>
      <x:c r="C275" s="198"/>
      <x:c r="D275" s="196"/>
      <x:c r="E275" s="188"/>
      <x:c r="F275" s="198"/>
      <x:c r="G275" s="202"/>
      <x:c r="H275" s="204"/>
      <x:c r="I275" s="206" t="str">
        <x:f>IF(G275="","",MAX(G275-H275,0))</x:f>
      </x:c>
      <x:c r="J275" s="210"/>
      <x:c r="K275" s="190"/>
      <x:c r="L275" s="208"/>
      <x:c r="M275" s="208"/>
      <x:c r="N275" s="208"/>
      <x:c r="O275" s="208"/>
      <x:c r="P275" s="190"/>
      <x:c r="Q275" s="190"/>
      <x:c r="R275" s="190"/>
      <x:c r="S275" s="190"/>
      <x:c r="T275" s="190"/>
      <x:c r="U275" s="190"/>
      <x:c r="V275" s="212"/>
      <x:c r="W275" s="212"/>
      <x:c r="X275" s="200"/>
      <x:c r="Y275" s="192"/>
      <x:c r="Z275" s="214"/>
      <x:c r="AA275" s="214"/>
      <x:c r="AB275" s="192"/>
      <x:c r="AC275" s="194"/>
      <x:c r="AD275" s="186" t="str">
        <x:f>IF(COUNTA(B275:H275)+COUNTA(J275:AC275)=0,"",IF(OR(B275="",D275="",E275="",G275="",J275=""),"缺少必填项",IF(H275&gt;G275,"完成数大于订单数",IF(AND(X275="",OR(Y275="排队",Y275="生产中",Y275="阻塞",Z275&lt;&gt;"",AA275&lt;&gt;"",AB275="是")),"已有排期字段缺少机台",IF(AND(X275&lt;&gt;"",Y275="待排"),"已填机台但状态为待排",IF(AND(Y275="生产中",AB275&lt;&gt;"是"),"需确认：生产中未锁定","可导入"))))))</x:f>
      </x:c>
    </x:row>
    <x:row r="276" ht="22" customHeight="1">
      <x:c r="A276" s="186" t="str">
        <x:f>IF(B276="","",ROW()-5)</x:f>
      </x:c>
      <x:c r="B276" s="196"/>
      <x:c r="C276" s="198"/>
      <x:c r="D276" s="196"/>
      <x:c r="E276" s="188"/>
      <x:c r="F276" s="198"/>
      <x:c r="G276" s="202"/>
      <x:c r="H276" s="204"/>
      <x:c r="I276" s="206" t="str">
        <x:f>IF(G276="","",MAX(G276-H276,0))</x:f>
      </x:c>
      <x:c r="J276" s="210"/>
      <x:c r="K276" s="190"/>
      <x:c r="L276" s="208"/>
      <x:c r="M276" s="208"/>
      <x:c r="N276" s="208"/>
      <x:c r="O276" s="208"/>
      <x:c r="P276" s="190"/>
      <x:c r="Q276" s="190"/>
      <x:c r="R276" s="190"/>
      <x:c r="S276" s="190"/>
      <x:c r="T276" s="190"/>
      <x:c r="U276" s="190"/>
      <x:c r="V276" s="212"/>
      <x:c r="W276" s="212"/>
      <x:c r="X276" s="200"/>
      <x:c r="Y276" s="192"/>
      <x:c r="Z276" s="214"/>
      <x:c r="AA276" s="214"/>
      <x:c r="AB276" s="192"/>
      <x:c r="AC276" s="194"/>
      <x:c r="AD276" s="186" t="str">
        <x:f>IF(COUNTA(B276:H276)+COUNTA(J276:AC276)=0,"",IF(OR(B276="",D276="",E276="",G276="",J276=""),"缺少必填项",IF(H276&gt;G276,"完成数大于订单数",IF(AND(X276="",OR(Y276="排队",Y276="生产中",Y276="阻塞",Z276&lt;&gt;"",AA276&lt;&gt;"",AB276="是")),"已有排期字段缺少机台",IF(AND(X276&lt;&gt;"",Y276="待排"),"已填机台但状态为待排",IF(AND(Y276="生产中",AB276&lt;&gt;"是"),"需确认：生产中未锁定","可导入"))))))</x:f>
      </x:c>
    </x:row>
    <x:row r="277" ht="22" customHeight="1">
      <x:c r="A277" s="186" t="str">
        <x:f>IF(B277="","",ROW()-5)</x:f>
      </x:c>
      <x:c r="B277" s="196"/>
      <x:c r="C277" s="198"/>
      <x:c r="D277" s="196"/>
      <x:c r="E277" s="188"/>
      <x:c r="F277" s="198"/>
      <x:c r="G277" s="202"/>
      <x:c r="H277" s="204"/>
      <x:c r="I277" s="206" t="str">
        <x:f>IF(G277="","",MAX(G277-H277,0))</x:f>
      </x:c>
      <x:c r="J277" s="210"/>
      <x:c r="K277" s="190"/>
      <x:c r="L277" s="208"/>
      <x:c r="M277" s="208"/>
      <x:c r="N277" s="208"/>
      <x:c r="O277" s="208"/>
      <x:c r="P277" s="190"/>
      <x:c r="Q277" s="190"/>
      <x:c r="R277" s="190"/>
      <x:c r="S277" s="190"/>
      <x:c r="T277" s="190"/>
      <x:c r="U277" s="190"/>
      <x:c r="V277" s="212"/>
      <x:c r="W277" s="212"/>
      <x:c r="X277" s="200"/>
      <x:c r="Y277" s="192"/>
      <x:c r="Z277" s="214"/>
      <x:c r="AA277" s="214"/>
      <x:c r="AB277" s="192"/>
      <x:c r="AC277" s="194"/>
      <x:c r="AD277" s="186" t="str">
        <x:f>IF(COUNTA(B277:H277)+COUNTA(J277:AC277)=0,"",IF(OR(B277="",D277="",E277="",G277="",J277=""),"缺少必填项",IF(H277&gt;G277,"完成数大于订单数",IF(AND(X277="",OR(Y277="排队",Y277="生产中",Y277="阻塞",Z277&lt;&gt;"",AA277&lt;&gt;"",AB277="是")),"已有排期字段缺少机台",IF(AND(X277&lt;&gt;"",Y277="待排"),"已填机台但状态为待排",IF(AND(Y277="生产中",AB277&lt;&gt;"是"),"需确认：生产中未锁定","可导入"))))))</x:f>
      </x:c>
    </x:row>
    <x:row r="278" ht="22" customHeight="1">
      <x:c r="A278" s="186" t="str">
        <x:f>IF(B278="","",ROW()-5)</x:f>
      </x:c>
      <x:c r="B278" s="196"/>
      <x:c r="C278" s="198"/>
      <x:c r="D278" s="196"/>
      <x:c r="E278" s="188"/>
      <x:c r="F278" s="198"/>
      <x:c r="G278" s="202"/>
      <x:c r="H278" s="204"/>
      <x:c r="I278" s="206" t="str">
        <x:f>IF(G278="","",MAX(G278-H278,0))</x:f>
      </x:c>
      <x:c r="J278" s="210"/>
      <x:c r="K278" s="190"/>
      <x:c r="L278" s="208"/>
      <x:c r="M278" s="208"/>
      <x:c r="N278" s="208"/>
      <x:c r="O278" s="208"/>
      <x:c r="P278" s="190"/>
      <x:c r="Q278" s="190"/>
      <x:c r="R278" s="190"/>
      <x:c r="S278" s="190"/>
      <x:c r="T278" s="190"/>
      <x:c r="U278" s="190"/>
      <x:c r="V278" s="212"/>
      <x:c r="W278" s="212"/>
      <x:c r="X278" s="200"/>
      <x:c r="Y278" s="192"/>
      <x:c r="Z278" s="214"/>
      <x:c r="AA278" s="214"/>
      <x:c r="AB278" s="192"/>
      <x:c r="AC278" s="194"/>
      <x:c r="AD278" s="186" t="str">
        <x:f>IF(COUNTA(B278:H278)+COUNTA(J278:AC278)=0,"",IF(OR(B278="",D278="",E278="",G278="",J278=""),"缺少必填项",IF(H278&gt;G278,"完成数大于订单数",IF(AND(X278="",OR(Y278="排队",Y278="生产中",Y278="阻塞",Z278&lt;&gt;"",AA278&lt;&gt;"",AB278="是")),"已有排期字段缺少机台",IF(AND(X278&lt;&gt;"",Y278="待排"),"已填机台但状态为待排",IF(AND(Y278="生产中",AB278&lt;&gt;"是"),"需确认：生产中未锁定","可导入"))))))</x:f>
      </x:c>
    </x:row>
    <x:row r="279" ht="22" customHeight="1">
      <x:c r="A279" s="186" t="str">
        <x:f>IF(B279="","",ROW()-5)</x:f>
      </x:c>
      <x:c r="B279" s="196"/>
      <x:c r="C279" s="198"/>
      <x:c r="D279" s="196"/>
      <x:c r="E279" s="188"/>
      <x:c r="F279" s="198"/>
      <x:c r="G279" s="202"/>
      <x:c r="H279" s="204"/>
      <x:c r="I279" s="206" t="str">
        <x:f>IF(G279="","",MAX(G279-H279,0))</x:f>
      </x:c>
      <x:c r="J279" s="210"/>
      <x:c r="K279" s="190"/>
      <x:c r="L279" s="208"/>
      <x:c r="M279" s="208"/>
      <x:c r="N279" s="208"/>
      <x:c r="O279" s="208"/>
      <x:c r="P279" s="190"/>
      <x:c r="Q279" s="190"/>
      <x:c r="R279" s="190"/>
      <x:c r="S279" s="190"/>
      <x:c r="T279" s="190"/>
      <x:c r="U279" s="190"/>
      <x:c r="V279" s="212"/>
      <x:c r="W279" s="212"/>
      <x:c r="X279" s="200"/>
      <x:c r="Y279" s="192"/>
      <x:c r="Z279" s="214"/>
      <x:c r="AA279" s="214"/>
      <x:c r="AB279" s="192"/>
      <x:c r="AC279" s="194"/>
      <x:c r="AD279" s="186" t="str">
        <x:f>IF(COUNTA(B279:H279)+COUNTA(J279:AC279)=0,"",IF(OR(B279="",D279="",E279="",G279="",J279=""),"缺少必填项",IF(H279&gt;G279,"完成数大于订单数",IF(AND(X279="",OR(Y279="排队",Y279="生产中",Y279="阻塞",Z279&lt;&gt;"",AA279&lt;&gt;"",AB279="是")),"已有排期字段缺少机台",IF(AND(X279&lt;&gt;"",Y279="待排"),"已填机台但状态为待排",IF(AND(Y279="生产中",AB279&lt;&gt;"是"),"需确认：生产中未锁定","可导入"))))))</x:f>
      </x:c>
    </x:row>
    <x:row r="280" ht="22" customHeight="1">
      <x:c r="A280" s="186" t="str">
        <x:f>IF(B280="","",ROW()-5)</x:f>
      </x:c>
      <x:c r="B280" s="196"/>
      <x:c r="C280" s="198"/>
      <x:c r="D280" s="196"/>
      <x:c r="E280" s="188"/>
      <x:c r="F280" s="198"/>
      <x:c r="G280" s="202"/>
      <x:c r="H280" s="204"/>
      <x:c r="I280" s="206" t="str">
        <x:f>IF(G280="","",MAX(G280-H280,0))</x:f>
      </x:c>
      <x:c r="J280" s="210"/>
      <x:c r="K280" s="190"/>
      <x:c r="L280" s="208"/>
      <x:c r="M280" s="208"/>
      <x:c r="N280" s="208"/>
      <x:c r="O280" s="208"/>
      <x:c r="P280" s="190"/>
      <x:c r="Q280" s="190"/>
      <x:c r="R280" s="190"/>
      <x:c r="S280" s="190"/>
      <x:c r="T280" s="190"/>
      <x:c r="U280" s="190"/>
      <x:c r="V280" s="212"/>
      <x:c r="W280" s="212"/>
      <x:c r="X280" s="200"/>
      <x:c r="Y280" s="192"/>
      <x:c r="Z280" s="214"/>
      <x:c r="AA280" s="214"/>
      <x:c r="AB280" s="192"/>
      <x:c r="AC280" s="194"/>
      <x:c r="AD280" s="186" t="str">
        <x:f>IF(COUNTA(B280:H280)+COUNTA(J280:AC280)=0,"",IF(OR(B280="",D280="",E280="",G280="",J280=""),"缺少必填项",IF(H280&gt;G280,"完成数大于订单数",IF(AND(X280="",OR(Y280="排队",Y280="生产中",Y280="阻塞",Z280&lt;&gt;"",AA280&lt;&gt;"",AB280="是")),"已有排期字段缺少机台",IF(AND(X280&lt;&gt;"",Y280="待排"),"已填机台但状态为待排",IF(AND(Y280="生产中",AB280&lt;&gt;"是"),"需确认：生产中未锁定","可导入"))))))</x:f>
      </x:c>
    </x:row>
    <x:row r="281" ht="22" customHeight="1">
      <x:c r="A281" s="186" t="str">
        <x:f>IF(B281="","",ROW()-5)</x:f>
      </x:c>
      <x:c r="B281" s="196"/>
      <x:c r="C281" s="198"/>
      <x:c r="D281" s="196"/>
      <x:c r="E281" s="188"/>
      <x:c r="F281" s="198"/>
      <x:c r="G281" s="202"/>
      <x:c r="H281" s="204"/>
      <x:c r="I281" s="206" t="str">
        <x:f>IF(G281="","",MAX(G281-H281,0))</x:f>
      </x:c>
      <x:c r="J281" s="210"/>
      <x:c r="K281" s="190"/>
      <x:c r="L281" s="208"/>
      <x:c r="M281" s="208"/>
      <x:c r="N281" s="208"/>
      <x:c r="O281" s="208"/>
      <x:c r="P281" s="190"/>
      <x:c r="Q281" s="190"/>
      <x:c r="R281" s="190"/>
      <x:c r="S281" s="190"/>
      <x:c r="T281" s="190"/>
      <x:c r="U281" s="190"/>
      <x:c r="V281" s="212"/>
      <x:c r="W281" s="212"/>
      <x:c r="X281" s="200"/>
      <x:c r="Y281" s="192"/>
      <x:c r="Z281" s="214"/>
      <x:c r="AA281" s="214"/>
      <x:c r="AB281" s="192"/>
      <x:c r="AC281" s="194"/>
      <x:c r="AD281" s="186" t="str">
        <x:f>IF(COUNTA(B281:H281)+COUNTA(J281:AC281)=0,"",IF(OR(B281="",D281="",E281="",G281="",J281=""),"缺少必填项",IF(H281&gt;G281,"完成数大于订单数",IF(AND(X281="",OR(Y281="排队",Y281="生产中",Y281="阻塞",Z281&lt;&gt;"",AA281&lt;&gt;"",AB281="是")),"已有排期字段缺少机台",IF(AND(X281&lt;&gt;"",Y281="待排"),"已填机台但状态为待排",IF(AND(Y281="生产中",AB281&lt;&gt;"是"),"需确认：生产中未锁定","可导入"))))))</x:f>
      </x:c>
    </x:row>
    <x:row r="282" ht="22" customHeight="1">
      <x:c r="A282" s="186" t="str">
        <x:f>IF(B282="","",ROW()-5)</x:f>
      </x:c>
      <x:c r="B282" s="196"/>
      <x:c r="C282" s="198"/>
      <x:c r="D282" s="196"/>
      <x:c r="E282" s="188"/>
      <x:c r="F282" s="198"/>
      <x:c r="G282" s="202"/>
      <x:c r="H282" s="204"/>
      <x:c r="I282" s="206" t="str">
        <x:f>IF(G282="","",MAX(G282-H282,0))</x:f>
      </x:c>
      <x:c r="J282" s="210"/>
      <x:c r="K282" s="190"/>
      <x:c r="L282" s="208"/>
      <x:c r="M282" s="208"/>
      <x:c r="N282" s="208"/>
      <x:c r="O282" s="208"/>
      <x:c r="P282" s="190"/>
      <x:c r="Q282" s="190"/>
      <x:c r="R282" s="190"/>
      <x:c r="S282" s="190"/>
      <x:c r="T282" s="190"/>
      <x:c r="U282" s="190"/>
      <x:c r="V282" s="212"/>
      <x:c r="W282" s="212"/>
      <x:c r="X282" s="200"/>
      <x:c r="Y282" s="192"/>
      <x:c r="Z282" s="214"/>
      <x:c r="AA282" s="214"/>
      <x:c r="AB282" s="192"/>
      <x:c r="AC282" s="194"/>
      <x:c r="AD282" s="186" t="str">
        <x:f>IF(COUNTA(B282:H282)+COUNTA(J282:AC282)=0,"",IF(OR(B282="",D282="",E282="",G282="",J282=""),"缺少必填项",IF(H282&gt;G282,"完成数大于订单数",IF(AND(X282="",OR(Y282="排队",Y282="生产中",Y282="阻塞",Z282&lt;&gt;"",AA282&lt;&gt;"",AB282="是")),"已有排期字段缺少机台",IF(AND(X282&lt;&gt;"",Y282="待排"),"已填机台但状态为待排",IF(AND(Y282="生产中",AB282&lt;&gt;"是"),"需确认：生产中未锁定","可导入"))))))</x:f>
      </x:c>
    </x:row>
    <x:row r="283" ht="22" customHeight="1">
      <x:c r="A283" s="186" t="str">
        <x:f>IF(B283="","",ROW()-5)</x:f>
      </x:c>
      <x:c r="B283" s="196"/>
      <x:c r="C283" s="198"/>
      <x:c r="D283" s="196"/>
      <x:c r="E283" s="188"/>
      <x:c r="F283" s="198"/>
      <x:c r="G283" s="202"/>
      <x:c r="H283" s="204"/>
      <x:c r="I283" s="206" t="str">
        <x:f>IF(G283="","",MAX(G283-H283,0))</x:f>
      </x:c>
      <x:c r="J283" s="210"/>
      <x:c r="K283" s="190"/>
      <x:c r="L283" s="208"/>
      <x:c r="M283" s="208"/>
      <x:c r="N283" s="208"/>
      <x:c r="O283" s="208"/>
      <x:c r="P283" s="190"/>
      <x:c r="Q283" s="190"/>
      <x:c r="R283" s="190"/>
      <x:c r="S283" s="190"/>
      <x:c r="T283" s="190"/>
      <x:c r="U283" s="190"/>
      <x:c r="V283" s="212"/>
      <x:c r="W283" s="212"/>
      <x:c r="X283" s="200"/>
      <x:c r="Y283" s="192"/>
      <x:c r="Z283" s="214"/>
      <x:c r="AA283" s="214"/>
      <x:c r="AB283" s="192"/>
      <x:c r="AC283" s="194"/>
      <x:c r="AD283" s="186" t="str">
        <x:f>IF(COUNTA(B283:H283)+COUNTA(J283:AC283)=0,"",IF(OR(B283="",D283="",E283="",G283="",J283=""),"缺少必填项",IF(H283&gt;G283,"完成数大于订单数",IF(AND(X283="",OR(Y283="排队",Y283="生产中",Y283="阻塞",Z283&lt;&gt;"",AA283&lt;&gt;"",AB283="是")),"已有排期字段缺少机台",IF(AND(X283&lt;&gt;"",Y283="待排"),"已填机台但状态为待排",IF(AND(Y283="生产中",AB283&lt;&gt;"是"),"需确认：生产中未锁定","可导入"))))))</x:f>
      </x:c>
    </x:row>
    <x:row r="284" ht="22" customHeight="1">
      <x:c r="A284" s="186" t="str">
        <x:f>IF(B284="","",ROW()-5)</x:f>
      </x:c>
      <x:c r="B284" s="196"/>
      <x:c r="C284" s="198"/>
      <x:c r="D284" s="196"/>
      <x:c r="E284" s="188"/>
      <x:c r="F284" s="198"/>
      <x:c r="G284" s="202"/>
      <x:c r="H284" s="204"/>
      <x:c r="I284" s="206" t="str">
        <x:f>IF(G284="","",MAX(G284-H284,0))</x:f>
      </x:c>
      <x:c r="J284" s="210"/>
      <x:c r="K284" s="190"/>
      <x:c r="L284" s="208"/>
      <x:c r="M284" s="208"/>
      <x:c r="N284" s="208"/>
      <x:c r="O284" s="208"/>
      <x:c r="P284" s="190"/>
      <x:c r="Q284" s="190"/>
      <x:c r="R284" s="190"/>
      <x:c r="S284" s="190"/>
      <x:c r="T284" s="190"/>
      <x:c r="U284" s="190"/>
      <x:c r="V284" s="212"/>
      <x:c r="W284" s="212"/>
      <x:c r="X284" s="200"/>
      <x:c r="Y284" s="192"/>
      <x:c r="Z284" s="214"/>
      <x:c r="AA284" s="214"/>
      <x:c r="AB284" s="192"/>
      <x:c r="AC284" s="194"/>
      <x:c r="AD284" s="186" t="str">
        <x:f>IF(COUNTA(B284:H284)+COUNTA(J284:AC284)=0,"",IF(OR(B284="",D284="",E284="",G284="",J284=""),"缺少必填项",IF(H284&gt;G284,"完成数大于订单数",IF(AND(X284="",OR(Y284="排队",Y284="生产中",Y284="阻塞",Z284&lt;&gt;"",AA284&lt;&gt;"",AB284="是")),"已有排期字段缺少机台",IF(AND(X284&lt;&gt;"",Y284="待排"),"已填机台但状态为待排",IF(AND(Y284="生产中",AB284&lt;&gt;"是"),"需确认：生产中未锁定","可导入"))))))</x:f>
      </x:c>
    </x:row>
    <x:row r="285" ht="22" customHeight="1">
      <x:c r="A285" s="186" t="str">
        <x:f>IF(B285="","",ROW()-5)</x:f>
      </x:c>
      <x:c r="B285" s="196"/>
      <x:c r="C285" s="198"/>
      <x:c r="D285" s="196"/>
      <x:c r="E285" s="188"/>
      <x:c r="F285" s="198"/>
      <x:c r="G285" s="202"/>
      <x:c r="H285" s="204"/>
      <x:c r="I285" s="206" t="str">
        <x:f>IF(G285="","",MAX(G285-H285,0))</x:f>
      </x:c>
      <x:c r="J285" s="210"/>
      <x:c r="K285" s="190"/>
      <x:c r="L285" s="208"/>
      <x:c r="M285" s="208"/>
      <x:c r="N285" s="208"/>
      <x:c r="O285" s="208"/>
      <x:c r="P285" s="190"/>
      <x:c r="Q285" s="190"/>
      <x:c r="R285" s="190"/>
      <x:c r="S285" s="190"/>
      <x:c r="T285" s="190"/>
      <x:c r="U285" s="190"/>
      <x:c r="V285" s="212"/>
      <x:c r="W285" s="212"/>
      <x:c r="X285" s="200"/>
      <x:c r="Y285" s="192"/>
      <x:c r="Z285" s="214"/>
      <x:c r="AA285" s="214"/>
      <x:c r="AB285" s="192"/>
      <x:c r="AC285" s="194"/>
      <x:c r="AD285" s="186" t="str">
        <x:f>IF(COUNTA(B285:H285)+COUNTA(J285:AC285)=0,"",IF(OR(B285="",D285="",E285="",G285="",J285=""),"缺少必填项",IF(H285&gt;G285,"完成数大于订单数",IF(AND(X285="",OR(Y285="排队",Y285="生产中",Y285="阻塞",Z285&lt;&gt;"",AA285&lt;&gt;"",AB285="是")),"已有排期字段缺少机台",IF(AND(X285&lt;&gt;"",Y285="待排"),"已填机台但状态为待排",IF(AND(Y285="生产中",AB285&lt;&gt;"是"),"需确认：生产中未锁定","可导入"))))))</x:f>
      </x:c>
    </x:row>
    <x:row r="286" ht="22" customHeight="1">
      <x:c r="A286" s="186" t="str">
        <x:f>IF(B286="","",ROW()-5)</x:f>
      </x:c>
      <x:c r="B286" s="196"/>
      <x:c r="C286" s="198"/>
      <x:c r="D286" s="196"/>
      <x:c r="E286" s="188"/>
      <x:c r="F286" s="198"/>
      <x:c r="G286" s="202"/>
      <x:c r="H286" s="204"/>
      <x:c r="I286" s="206" t="str">
        <x:f>IF(G286="","",MAX(G286-H286,0))</x:f>
      </x:c>
      <x:c r="J286" s="210"/>
      <x:c r="K286" s="190"/>
      <x:c r="L286" s="208"/>
      <x:c r="M286" s="208"/>
      <x:c r="N286" s="208"/>
      <x:c r="O286" s="208"/>
      <x:c r="P286" s="190"/>
      <x:c r="Q286" s="190"/>
      <x:c r="R286" s="190"/>
      <x:c r="S286" s="190"/>
      <x:c r="T286" s="190"/>
      <x:c r="U286" s="190"/>
      <x:c r="V286" s="212"/>
      <x:c r="W286" s="212"/>
      <x:c r="X286" s="200"/>
      <x:c r="Y286" s="192"/>
      <x:c r="Z286" s="214"/>
      <x:c r="AA286" s="214"/>
      <x:c r="AB286" s="192"/>
      <x:c r="AC286" s="194"/>
      <x:c r="AD286" s="186" t="str">
        <x:f>IF(COUNTA(B286:H286)+COUNTA(J286:AC286)=0,"",IF(OR(B286="",D286="",E286="",G286="",J286=""),"缺少必填项",IF(H286&gt;G286,"完成数大于订单数",IF(AND(X286="",OR(Y286="排队",Y286="生产中",Y286="阻塞",Z286&lt;&gt;"",AA286&lt;&gt;"",AB286="是")),"已有排期字段缺少机台",IF(AND(X286&lt;&gt;"",Y286="待排"),"已填机台但状态为待排",IF(AND(Y286="生产中",AB286&lt;&gt;"是"),"需确认：生产中未锁定","可导入"))))))</x:f>
      </x:c>
    </x:row>
    <x:row r="287" ht="22" customHeight="1">
      <x:c r="A287" s="186" t="str">
        <x:f>IF(B287="","",ROW()-5)</x:f>
      </x:c>
      <x:c r="B287" s="196"/>
      <x:c r="C287" s="198"/>
      <x:c r="D287" s="196"/>
      <x:c r="E287" s="188"/>
      <x:c r="F287" s="198"/>
      <x:c r="G287" s="202"/>
      <x:c r="H287" s="204"/>
      <x:c r="I287" s="206" t="str">
        <x:f>IF(G287="","",MAX(G287-H287,0))</x:f>
      </x:c>
      <x:c r="J287" s="210"/>
      <x:c r="K287" s="190"/>
      <x:c r="L287" s="208"/>
      <x:c r="M287" s="208"/>
      <x:c r="N287" s="208"/>
      <x:c r="O287" s="208"/>
      <x:c r="P287" s="190"/>
      <x:c r="Q287" s="190"/>
      <x:c r="R287" s="190"/>
      <x:c r="S287" s="190"/>
      <x:c r="T287" s="190"/>
      <x:c r="U287" s="190"/>
      <x:c r="V287" s="212"/>
      <x:c r="W287" s="212"/>
      <x:c r="X287" s="200"/>
      <x:c r="Y287" s="192"/>
      <x:c r="Z287" s="214"/>
      <x:c r="AA287" s="214"/>
      <x:c r="AB287" s="192"/>
      <x:c r="AC287" s="194"/>
      <x:c r="AD287" s="186" t="str">
        <x:f>IF(COUNTA(B287:H287)+COUNTA(J287:AC287)=0,"",IF(OR(B287="",D287="",E287="",G287="",J287=""),"缺少必填项",IF(H287&gt;G287,"完成数大于订单数",IF(AND(X287="",OR(Y287="排队",Y287="生产中",Y287="阻塞",Z287&lt;&gt;"",AA287&lt;&gt;"",AB287="是")),"已有排期字段缺少机台",IF(AND(X287&lt;&gt;"",Y287="待排"),"已填机台但状态为待排",IF(AND(Y287="生产中",AB287&lt;&gt;"是"),"需确认：生产中未锁定","可导入"))))))</x:f>
      </x:c>
    </x:row>
    <x:row r="288" ht="22" customHeight="1">
      <x:c r="A288" s="186" t="str">
        <x:f>IF(B288="","",ROW()-5)</x:f>
      </x:c>
      <x:c r="B288" s="196"/>
      <x:c r="C288" s="198"/>
      <x:c r="D288" s="196"/>
      <x:c r="E288" s="188"/>
      <x:c r="F288" s="198"/>
      <x:c r="G288" s="202"/>
      <x:c r="H288" s="204"/>
      <x:c r="I288" s="206" t="str">
        <x:f>IF(G288="","",MAX(G288-H288,0))</x:f>
      </x:c>
      <x:c r="J288" s="210"/>
      <x:c r="K288" s="190"/>
      <x:c r="L288" s="208"/>
      <x:c r="M288" s="208"/>
      <x:c r="N288" s="208"/>
      <x:c r="O288" s="208"/>
      <x:c r="P288" s="190"/>
      <x:c r="Q288" s="190"/>
      <x:c r="R288" s="190"/>
      <x:c r="S288" s="190"/>
      <x:c r="T288" s="190"/>
      <x:c r="U288" s="190"/>
      <x:c r="V288" s="212"/>
      <x:c r="W288" s="212"/>
      <x:c r="X288" s="200"/>
      <x:c r="Y288" s="192"/>
      <x:c r="Z288" s="214"/>
      <x:c r="AA288" s="214"/>
      <x:c r="AB288" s="192"/>
      <x:c r="AC288" s="194"/>
      <x:c r="AD288" s="186" t="str">
        <x:f>IF(COUNTA(B288:H288)+COUNTA(J288:AC288)=0,"",IF(OR(B288="",D288="",E288="",G288="",J288=""),"缺少必填项",IF(H288&gt;G288,"完成数大于订单数",IF(AND(X288="",OR(Y288="排队",Y288="生产中",Y288="阻塞",Z288&lt;&gt;"",AA288&lt;&gt;"",AB288="是")),"已有排期字段缺少机台",IF(AND(X288&lt;&gt;"",Y288="待排"),"已填机台但状态为待排",IF(AND(Y288="生产中",AB288&lt;&gt;"是"),"需确认：生产中未锁定","可导入"))))))</x:f>
      </x:c>
    </x:row>
    <x:row r="289" ht="22" customHeight="1">
      <x:c r="A289" s="186" t="str">
        <x:f>IF(B289="","",ROW()-5)</x:f>
      </x:c>
      <x:c r="B289" s="196"/>
      <x:c r="C289" s="198"/>
      <x:c r="D289" s="196"/>
      <x:c r="E289" s="188"/>
      <x:c r="F289" s="198"/>
      <x:c r="G289" s="202"/>
      <x:c r="H289" s="204"/>
      <x:c r="I289" s="206" t="str">
        <x:f>IF(G289="","",MAX(G289-H289,0))</x:f>
      </x:c>
      <x:c r="J289" s="210"/>
      <x:c r="K289" s="190"/>
      <x:c r="L289" s="208"/>
      <x:c r="M289" s="208"/>
      <x:c r="N289" s="208"/>
      <x:c r="O289" s="208"/>
      <x:c r="P289" s="190"/>
      <x:c r="Q289" s="190"/>
      <x:c r="R289" s="190"/>
      <x:c r="S289" s="190"/>
      <x:c r="T289" s="190"/>
      <x:c r="U289" s="190"/>
      <x:c r="V289" s="212"/>
      <x:c r="W289" s="212"/>
      <x:c r="X289" s="200"/>
      <x:c r="Y289" s="192"/>
      <x:c r="Z289" s="214"/>
      <x:c r="AA289" s="214"/>
      <x:c r="AB289" s="192"/>
      <x:c r="AC289" s="194"/>
      <x:c r="AD289" s="186" t="str">
        <x:f>IF(COUNTA(B289:H289)+COUNTA(J289:AC289)=0,"",IF(OR(B289="",D289="",E289="",G289="",J289=""),"缺少必填项",IF(H289&gt;G289,"完成数大于订单数",IF(AND(X289="",OR(Y289="排队",Y289="生产中",Y289="阻塞",Z289&lt;&gt;"",AA289&lt;&gt;"",AB289="是")),"已有排期字段缺少机台",IF(AND(X289&lt;&gt;"",Y289="待排"),"已填机台但状态为待排",IF(AND(Y289="生产中",AB289&lt;&gt;"是"),"需确认：生产中未锁定","可导入"))))))</x:f>
      </x:c>
    </x:row>
    <x:row r="290" ht="22" customHeight="1">
      <x:c r="A290" s="186" t="str">
        <x:f>IF(B290="","",ROW()-5)</x:f>
      </x:c>
      <x:c r="B290" s="196"/>
      <x:c r="C290" s="198"/>
      <x:c r="D290" s="196"/>
      <x:c r="E290" s="188"/>
      <x:c r="F290" s="198"/>
      <x:c r="G290" s="202"/>
      <x:c r="H290" s="204"/>
      <x:c r="I290" s="206" t="str">
        <x:f>IF(G290="","",MAX(G290-H290,0))</x:f>
      </x:c>
      <x:c r="J290" s="210"/>
      <x:c r="K290" s="190"/>
      <x:c r="L290" s="208"/>
      <x:c r="M290" s="208"/>
      <x:c r="N290" s="208"/>
      <x:c r="O290" s="208"/>
      <x:c r="P290" s="190"/>
      <x:c r="Q290" s="190"/>
      <x:c r="R290" s="190"/>
      <x:c r="S290" s="190"/>
      <x:c r="T290" s="190"/>
      <x:c r="U290" s="190"/>
      <x:c r="V290" s="212"/>
      <x:c r="W290" s="212"/>
      <x:c r="X290" s="200"/>
      <x:c r="Y290" s="192"/>
      <x:c r="Z290" s="214"/>
      <x:c r="AA290" s="214"/>
      <x:c r="AB290" s="192"/>
      <x:c r="AC290" s="194"/>
      <x:c r="AD290" s="186" t="str">
        <x:f>IF(COUNTA(B290:H290)+COUNTA(J290:AC290)=0,"",IF(OR(B290="",D290="",E290="",G290="",J290=""),"缺少必填项",IF(H290&gt;G290,"完成数大于订单数",IF(AND(X290="",OR(Y290="排队",Y290="生产中",Y290="阻塞",Z290&lt;&gt;"",AA290&lt;&gt;"",AB290="是")),"已有排期字段缺少机台",IF(AND(X290&lt;&gt;"",Y290="待排"),"已填机台但状态为待排",IF(AND(Y290="生产中",AB290&lt;&gt;"是"),"需确认：生产中未锁定","可导入"))))))</x:f>
      </x:c>
    </x:row>
    <x:row r="291" ht="22" customHeight="1">
      <x:c r="A291" s="186" t="str">
        <x:f>IF(B291="","",ROW()-5)</x:f>
      </x:c>
      <x:c r="B291" s="196"/>
      <x:c r="C291" s="198"/>
      <x:c r="D291" s="196"/>
      <x:c r="E291" s="188"/>
      <x:c r="F291" s="198"/>
      <x:c r="G291" s="202"/>
      <x:c r="H291" s="204"/>
      <x:c r="I291" s="206" t="str">
        <x:f>IF(G291="","",MAX(G291-H291,0))</x:f>
      </x:c>
      <x:c r="J291" s="210"/>
      <x:c r="K291" s="190"/>
      <x:c r="L291" s="208"/>
      <x:c r="M291" s="208"/>
      <x:c r="N291" s="208"/>
      <x:c r="O291" s="208"/>
      <x:c r="P291" s="190"/>
      <x:c r="Q291" s="190"/>
      <x:c r="R291" s="190"/>
      <x:c r="S291" s="190"/>
      <x:c r="T291" s="190"/>
      <x:c r="U291" s="190"/>
      <x:c r="V291" s="212"/>
      <x:c r="W291" s="212"/>
      <x:c r="X291" s="200"/>
      <x:c r="Y291" s="192"/>
      <x:c r="Z291" s="214"/>
      <x:c r="AA291" s="214"/>
      <x:c r="AB291" s="192"/>
      <x:c r="AC291" s="194"/>
      <x:c r="AD291" s="186" t="str">
        <x:f>IF(COUNTA(B291:H291)+COUNTA(J291:AC291)=0,"",IF(OR(B291="",D291="",E291="",G291="",J291=""),"缺少必填项",IF(H291&gt;G291,"完成数大于订单数",IF(AND(X291="",OR(Y291="排队",Y291="生产中",Y291="阻塞",Z291&lt;&gt;"",AA291&lt;&gt;"",AB291="是")),"已有排期字段缺少机台",IF(AND(X291&lt;&gt;"",Y291="待排"),"已填机台但状态为待排",IF(AND(Y291="生产中",AB291&lt;&gt;"是"),"需确认：生产中未锁定","可导入"))))))</x:f>
      </x:c>
    </x:row>
    <x:row r="292" ht="22" customHeight="1">
      <x:c r="A292" s="186" t="str">
        <x:f>IF(B292="","",ROW()-5)</x:f>
      </x:c>
      <x:c r="B292" s="196"/>
      <x:c r="C292" s="198"/>
      <x:c r="D292" s="196"/>
      <x:c r="E292" s="188"/>
      <x:c r="F292" s="198"/>
      <x:c r="G292" s="202"/>
      <x:c r="H292" s="204"/>
      <x:c r="I292" s="206" t="str">
        <x:f>IF(G292="","",MAX(G292-H292,0))</x:f>
      </x:c>
      <x:c r="J292" s="210"/>
      <x:c r="K292" s="190"/>
      <x:c r="L292" s="208"/>
      <x:c r="M292" s="208"/>
      <x:c r="N292" s="208"/>
      <x:c r="O292" s="208"/>
      <x:c r="P292" s="190"/>
      <x:c r="Q292" s="190"/>
      <x:c r="R292" s="190"/>
      <x:c r="S292" s="190"/>
      <x:c r="T292" s="190"/>
      <x:c r="U292" s="190"/>
      <x:c r="V292" s="212"/>
      <x:c r="W292" s="212"/>
      <x:c r="X292" s="200"/>
      <x:c r="Y292" s="192"/>
      <x:c r="Z292" s="214"/>
      <x:c r="AA292" s="214"/>
      <x:c r="AB292" s="192"/>
      <x:c r="AC292" s="194"/>
      <x:c r="AD292" s="186" t="str">
        <x:f>IF(COUNTA(B292:H292)+COUNTA(J292:AC292)=0,"",IF(OR(B292="",D292="",E292="",G292="",J292=""),"缺少必填项",IF(H292&gt;G292,"完成数大于订单数",IF(AND(X292="",OR(Y292="排队",Y292="生产中",Y292="阻塞",Z292&lt;&gt;"",AA292&lt;&gt;"",AB292="是")),"已有排期字段缺少机台",IF(AND(X292&lt;&gt;"",Y292="待排"),"已填机台但状态为待排",IF(AND(Y292="生产中",AB292&lt;&gt;"是"),"需确认：生产中未锁定","可导入"))))))</x:f>
      </x:c>
    </x:row>
    <x:row r="293" ht="22" customHeight="1">
      <x:c r="A293" s="186" t="str">
        <x:f>IF(B293="","",ROW()-5)</x:f>
      </x:c>
      <x:c r="B293" s="196"/>
      <x:c r="C293" s="198"/>
      <x:c r="D293" s="196"/>
      <x:c r="E293" s="188"/>
      <x:c r="F293" s="198"/>
      <x:c r="G293" s="202"/>
      <x:c r="H293" s="204"/>
      <x:c r="I293" s="206" t="str">
        <x:f>IF(G293="","",MAX(G293-H293,0))</x:f>
      </x:c>
      <x:c r="J293" s="210"/>
      <x:c r="K293" s="190"/>
      <x:c r="L293" s="208"/>
      <x:c r="M293" s="208"/>
      <x:c r="N293" s="208"/>
      <x:c r="O293" s="208"/>
      <x:c r="P293" s="190"/>
      <x:c r="Q293" s="190"/>
      <x:c r="R293" s="190"/>
      <x:c r="S293" s="190"/>
      <x:c r="T293" s="190"/>
      <x:c r="U293" s="190"/>
      <x:c r="V293" s="212"/>
      <x:c r="W293" s="212"/>
      <x:c r="X293" s="200"/>
      <x:c r="Y293" s="192"/>
      <x:c r="Z293" s="214"/>
      <x:c r="AA293" s="214"/>
      <x:c r="AB293" s="192"/>
      <x:c r="AC293" s="194"/>
      <x:c r="AD293" s="186" t="str">
        <x:f>IF(COUNTA(B293:H293)+COUNTA(J293:AC293)=0,"",IF(OR(B293="",D293="",E293="",G293="",J293=""),"缺少必填项",IF(H293&gt;G293,"完成数大于订单数",IF(AND(X293="",OR(Y293="排队",Y293="生产中",Y293="阻塞",Z293&lt;&gt;"",AA293&lt;&gt;"",AB293="是")),"已有排期字段缺少机台",IF(AND(X293&lt;&gt;"",Y293="待排"),"已填机台但状态为待排",IF(AND(Y293="生产中",AB293&lt;&gt;"是"),"需确认：生产中未锁定","可导入"))))))</x:f>
      </x:c>
    </x:row>
    <x:row r="294" ht="22" customHeight="1">
      <x:c r="A294" s="186" t="str">
        <x:f>IF(B294="","",ROW()-5)</x:f>
      </x:c>
      <x:c r="B294" s="196"/>
      <x:c r="C294" s="198"/>
      <x:c r="D294" s="196"/>
      <x:c r="E294" s="188"/>
      <x:c r="F294" s="198"/>
      <x:c r="G294" s="202"/>
      <x:c r="H294" s="204"/>
      <x:c r="I294" s="206" t="str">
        <x:f>IF(G294="","",MAX(G294-H294,0))</x:f>
      </x:c>
      <x:c r="J294" s="210"/>
      <x:c r="K294" s="190"/>
      <x:c r="L294" s="208"/>
      <x:c r="M294" s="208"/>
      <x:c r="N294" s="208"/>
      <x:c r="O294" s="208"/>
      <x:c r="P294" s="190"/>
      <x:c r="Q294" s="190"/>
      <x:c r="R294" s="190"/>
      <x:c r="S294" s="190"/>
      <x:c r="T294" s="190"/>
      <x:c r="U294" s="190"/>
      <x:c r="V294" s="212"/>
      <x:c r="W294" s="212"/>
      <x:c r="X294" s="200"/>
      <x:c r="Y294" s="192"/>
      <x:c r="Z294" s="214"/>
      <x:c r="AA294" s="214"/>
      <x:c r="AB294" s="192"/>
      <x:c r="AC294" s="194"/>
      <x:c r="AD294" s="186" t="str">
        <x:f>IF(COUNTA(B294:H294)+COUNTA(J294:AC294)=0,"",IF(OR(B294="",D294="",E294="",G294="",J294=""),"缺少必填项",IF(H294&gt;G294,"完成数大于订单数",IF(AND(X294="",OR(Y294="排队",Y294="生产中",Y294="阻塞",Z294&lt;&gt;"",AA294&lt;&gt;"",AB294="是")),"已有排期字段缺少机台",IF(AND(X294&lt;&gt;"",Y294="待排"),"已填机台但状态为待排",IF(AND(Y294="生产中",AB294&lt;&gt;"是"),"需确认：生产中未锁定","可导入"))))))</x:f>
      </x:c>
    </x:row>
    <x:row r="295" ht="22" customHeight="1">
      <x:c r="A295" s="186" t="str">
        <x:f>IF(B295="","",ROW()-5)</x:f>
      </x:c>
      <x:c r="B295" s="196"/>
      <x:c r="C295" s="198"/>
      <x:c r="D295" s="196"/>
      <x:c r="E295" s="188"/>
      <x:c r="F295" s="198"/>
      <x:c r="G295" s="202"/>
      <x:c r="H295" s="204"/>
      <x:c r="I295" s="206" t="str">
        <x:f>IF(G295="","",MAX(G295-H295,0))</x:f>
      </x:c>
      <x:c r="J295" s="210"/>
      <x:c r="K295" s="190"/>
      <x:c r="L295" s="208"/>
      <x:c r="M295" s="208"/>
      <x:c r="N295" s="208"/>
      <x:c r="O295" s="208"/>
      <x:c r="P295" s="190"/>
      <x:c r="Q295" s="190"/>
      <x:c r="R295" s="190"/>
      <x:c r="S295" s="190"/>
      <x:c r="T295" s="190"/>
      <x:c r="U295" s="190"/>
      <x:c r="V295" s="212"/>
      <x:c r="W295" s="212"/>
      <x:c r="X295" s="200"/>
      <x:c r="Y295" s="192"/>
      <x:c r="Z295" s="214"/>
      <x:c r="AA295" s="214"/>
      <x:c r="AB295" s="192"/>
      <x:c r="AC295" s="194"/>
      <x:c r="AD295" s="186" t="str">
        <x:f>IF(COUNTA(B295:H295)+COUNTA(J295:AC295)=0,"",IF(OR(B295="",D295="",E295="",G295="",J295=""),"缺少必填项",IF(H295&gt;G295,"完成数大于订单数",IF(AND(X295="",OR(Y295="排队",Y295="生产中",Y295="阻塞",Z295&lt;&gt;"",AA295&lt;&gt;"",AB295="是")),"已有排期字段缺少机台",IF(AND(X295&lt;&gt;"",Y295="待排"),"已填机台但状态为待排",IF(AND(Y295="生产中",AB295&lt;&gt;"是"),"需确认：生产中未锁定","可导入"))))))</x:f>
      </x:c>
    </x:row>
    <x:row r="296" ht="22" customHeight="1">
      <x:c r="A296" s="186" t="str">
        <x:f>IF(B296="","",ROW()-5)</x:f>
      </x:c>
      <x:c r="B296" s="196"/>
      <x:c r="C296" s="198"/>
      <x:c r="D296" s="196"/>
      <x:c r="E296" s="188"/>
      <x:c r="F296" s="198"/>
      <x:c r="G296" s="202"/>
      <x:c r="H296" s="204"/>
      <x:c r="I296" s="206" t="str">
        <x:f>IF(G296="","",MAX(G296-H296,0))</x:f>
      </x:c>
      <x:c r="J296" s="210"/>
      <x:c r="K296" s="190"/>
      <x:c r="L296" s="208"/>
      <x:c r="M296" s="208"/>
      <x:c r="N296" s="208"/>
      <x:c r="O296" s="208"/>
      <x:c r="P296" s="190"/>
      <x:c r="Q296" s="190"/>
      <x:c r="R296" s="190"/>
      <x:c r="S296" s="190"/>
      <x:c r="T296" s="190"/>
      <x:c r="U296" s="190"/>
      <x:c r="V296" s="212"/>
      <x:c r="W296" s="212"/>
      <x:c r="X296" s="200"/>
      <x:c r="Y296" s="192"/>
      <x:c r="Z296" s="214"/>
      <x:c r="AA296" s="214"/>
      <x:c r="AB296" s="192"/>
      <x:c r="AC296" s="194"/>
      <x:c r="AD296" s="186" t="str">
        <x:f>IF(COUNTA(B296:H296)+COUNTA(J296:AC296)=0,"",IF(OR(B296="",D296="",E296="",G296="",J296=""),"缺少必填项",IF(H296&gt;G296,"完成数大于订单数",IF(AND(X296="",OR(Y296="排队",Y296="生产中",Y296="阻塞",Z296&lt;&gt;"",AA296&lt;&gt;"",AB296="是")),"已有排期字段缺少机台",IF(AND(X296&lt;&gt;"",Y296="待排"),"已填机台但状态为待排",IF(AND(Y296="生产中",AB296&lt;&gt;"是"),"需确认：生产中未锁定","可导入"))))))</x:f>
      </x:c>
    </x:row>
    <x:row r="297" ht="22" customHeight="1">
      <x:c r="A297" s="186" t="str">
        <x:f>IF(B297="","",ROW()-5)</x:f>
      </x:c>
      <x:c r="B297" s="196"/>
      <x:c r="C297" s="198"/>
      <x:c r="D297" s="196"/>
      <x:c r="E297" s="188"/>
      <x:c r="F297" s="198"/>
      <x:c r="G297" s="202"/>
      <x:c r="H297" s="204"/>
      <x:c r="I297" s="206" t="str">
        <x:f>IF(G297="","",MAX(G297-H297,0))</x:f>
      </x:c>
      <x:c r="J297" s="210"/>
      <x:c r="K297" s="190"/>
      <x:c r="L297" s="208"/>
      <x:c r="M297" s="208"/>
      <x:c r="N297" s="208"/>
      <x:c r="O297" s="208"/>
      <x:c r="P297" s="190"/>
      <x:c r="Q297" s="190"/>
      <x:c r="R297" s="190"/>
      <x:c r="S297" s="190"/>
      <x:c r="T297" s="190"/>
      <x:c r="U297" s="190"/>
      <x:c r="V297" s="212"/>
      <x:c r="W297" s="212"/>
      <x:c r="X297" s="200"/>
      <x:c r="Y297" s="192"/>
      <x:c r="Z297" s="214"/>
      <x:c r="AA297" s="214"/>
      <x:c r="AB297" s="192"/>
      <x:c r="AC297" s="194"/>
      <x:c r="AD297" s="186" t="str">
        <x:f>IF(COUNTA(B297:H297)+COUNTA(J297:AC297)=0,"",IF(OR(B297="",D297="",E297="",G297="",J297=""),"缺少必填项",IF(H297&gt;G297,"完成数大于订单数",IF(AND(X297="",OR(Y297="排队",Y297="生产中",Y297="阻塞",Z297&lt;&gt;"",AA297&lt;&gt;"",AB297="是")),"已有排期字段缺少机台",IF(AND(X297&lt;&gt;"",Y297="待排"),"已填机台但状态为待排",IF(AND(Y297="生产中",AB297&lt;&gt;"是"),"需确认：生产中未锁定","可导入"))))))</x:f>
      </x:c>
    </x:row>
    <x:row r="298" ht="22" customHeight="1">
      <x:c r="A298" s="186" t="str">
        <x:f>IF(B298="","",ROW()-5)</x:f>
      </x:c>
      <x:c r="B298" s="196"/>
      <x:c r="C298" s="198"/>
      <x:c r="D298" s="196"/>
      <x:c r="E298" s="188"/>
      <x:c r="F298" s="198"/>
      <x:c r="G298" s="202"/>
      <x:c r="H298" s="204"/>
      <x:c r="I298" s="206" t="str">
        <x:f>IF(G298="","",MAX(G298-H298,0))</x:f>
      </x:c>
      <x:c r="J298" s="210"/>
      <x:c r="K298" s="190"/>
      <x:c r="L298" s="208"/>
      <x:c r="M298" s="208"/>
      <x:c r="N298" s="208"/>
      <x:c r="O298" s="208"/>
      <x:c r="P298" s="190"/>
      <x:c r="Q298" s="190"/>
      <x:c r="R298" s="190"/>
      <x:c r="S298" s="190"/>
      <x:c r="T298" s="190"/>
      <x:c r="U298" s="190"/>
      <x:c r="V298" s="212"/>
      <x:c r="W298" s="212"/>
      <x:c r="X298" s="200"/>
      <x:c r="Y298" s="192"/>
      <x:c r="Z298" s="214"/>
      <x:c r="AA298" s="214"/>
      <x:c r="AB298" s="192"/>
      <x:c r="AC298" s="194"/>
      <x:c r="AD298" s="186" t="str">
        <x:f>IF(COUNTA(B298:H298)+COUNTA(J298:AC298)=0,"",IF(OR(B298="",D298="",E298="",G298="",J298=""),"缺少必填项",IF(H298&gt;G298,"完成数大于订单数",IF(AND(X298="",OR(Y298="排队",Y298="生产中",Y298="阻塞",Z298&lt;&gt;"",AA298&lt;&gt;"",AB298="是")),"已有排期字段缺少机台",IF(AND(X298&lt;&gt;"",Y298="待排"),"已填机台但状态为待排",IF(AND(Y298="生产中",AB298&lt;&gt;"是"),"需确认：生产中未锁定","可导入"))))))</x:f>
      </x:c>
    </x:row>
    <x:row r="299" ht="22" customHeight="1">
      <x:c r="A299" s="186" t="str">
        <x:f>IF(B299="","",ROW()-5)</x:f>
      </x:c>
      <x:c r="B299" s="196"/>
      <x:c r="C299" s="198"/>
      <x:c r="D299" s="196"/>
      <x:c r="E299" s="188"/>
      <x:c r="F299" s="198"/>
      <x:c r="G299" s="202"/>
      <x:c r="H299" s="204"/>
      <x:c r="I299" s="206" t="str">
        <x:f>IF(G299="","",MAX(G299-H299,0))</x:f>
      </x:c>
      <x:c r="J299" s="210"/>
      <x:c r="K299" s="190"/>
      <x:c r="L299" s="208"/>
      <x:c r="M299" s="208"/>
      <x:c r="N299" s="208"/>
      <x:c r="O299" s="208"/>
      <x:c r="P299" s="190"/>
      <x:c r="Q299" s="190"/>
      <x:c r="R299" s="190"/>
      <x:c r="S299" s="190"/>
      <x:c r="T299" s="190"/>
      <x:c r="U299" s="190"/>
      <x:c r="V299" s="212"/>
      <x:c r="W299" s="212"/>
      <x:c r="X299" s="200"/>
      <x:c r="Y299" s="192"/>
      <x:c r="Z299" s="214"/>
      <x:c r="AA299" s="214"/>
      <x:c r="AB299" s="192"/>
      <x:c r="AC299" s="194"/>
      <x:c r="AD299" s="186" t="str">
        <x:f>IF(COUNTA(B299:H299)+COUNTA(J299:AC299)=0,"",IF(OR(B299="",D299="",E299="",G299="",J299=""),"缺少必填项",IF(H299&gt;G299,"完成数大于订单数",IF(AND(X299="",OR(Y299="排队",Y299="生产中",Y299="阻塞",Z299&lt;&gt;"",AA299&lt;&gt;"",AB299="是")),"已有排期字段缺少机台",IF(AND(X299&lt;&gt;"",Y299="待排"),"已填机台但状态为待排",IF(AND(Y299="生产中",AB299&lt;&gt;"是"),"需确认：生产中未锁定","可导入"))))))</x:f>
      </x:c>
    </x:row>
    <x:row r="300" ht="22" customHeight="1">
      <x:c r="A300" s="186" t="str">
        <x:f>IF(B300="","",ROW()-5)</x:f>
      </x:c>
      <x:c r="B300" s="196"/>
      <x:c r="C300" s="198"/>
      <x:c r="D300" s="196"/>
      <x:c r="E300" s="188"/>
      <x:c r="F300" s="198"/>
      <x:c r="G300" s="202"/>
      <x:c r="H300" s="204"/>
      <x:c r="I300" s="206" t="str">
        <x:f>IF(G300="","",MAX(G300-H300,0))</x:f>
      </x:c>
      <x:c r="J300" s="210"/>
      <x:c r="K300" s="190"/>
      <x:c r="L300" s="208"/>
      <x:c r="M300" s="208"/>
      <x:c r="N300" s="208"/>
      <x:c r="O300" s="208"/>
      <x:c r="P300" s="190"/>
      <x:c r="Q300" s="190"/>
      <x:c r="R300" s="190"/>
      <x:c r="S300" s="190"/>
      <x:c r="T300" s="190"/>
      <x:c r="U300" s="190"/>
      <x:c r="V300" s="212"/>
      <x:c r="W300" s="212"/>
      <x:c r="X300" s="200"/>
      <x:c r="Y300" s="192"/>
      <x:c r="Z300" s="214"/>
      <x:c r="AA300" s="214"/>
      <x:c r="AB300" s="192"/>
      <x:c r="AC300" s="194"/>
      <x:c r="AD300" s="186" t="str">
        <x:f>IF(COUNTA(B300:H300)+COUNTA(J300:AC300)=0,"",IF(OR(B300="",D300="",E300="",G300="",J300=""),"缺少必填项",IF(H300&gt;G300,"完成数大于订单数",IF(AND(X300="",OR(Y300="排队",Y300="生产中",Y300="阻塞",Z300&lt;&gt;"",AA300&lt;&gt;"",AB300="是")),"已有排期字段缺少机台",IF(AND(X300&lt;&gt;"",Y300="待排"),"已填机台但状态为待排",IF(AND(Y300="生产中",AB300&lt;&gt;"是"),"需确认：生产中未锁定","可导入"))))))</x:f>
      </x:c>
    </x:row>
    <x:row r="301" ht="22" customHeight="1">
      <x:c r="A301" s="186" t="str">
        <x:f>IF(B301="","",ROW()-5)</x:f>
      </x:c>
      <x:c r="B301" s="196"/>
      <x:c r="C301" s="198"/>
      <x:c r="D301" s="196"/>
      <x:c r="E301" s="188"/>
      <x:c r="F301" s="198"/>
      <x:c r="G301" s="202"/>
      <x:c r="H301" s="204"/>
      <x:c r="I301" s="206" t="str">
        <x:f>IF(G301="","",MAX(G301-H301,0))</x:f>
      </x:c>
      <x:c r="J301" s="210"/>
      <x:c r="K301" s="190"/>
      <x:c r="L301" s="208"/>
      <x:c r="M301" s="208"/>
      <x:c r="N301" s="208"/>
      <x:c r="O301" s="208"/>
      <x:c r="P301" s="190"/>
      <x:c r="Q301" s="190"/>
      <x:c r="R301" s="190"/>
      <x:c r="S301" s="190"/>
      <x:c r="T301" s="190"/>
      <x:c r="U301" s="190"/>
      <x:c r="V301" s="212"/>
      <x:c r="W301" s="212"/>
      <x:c r="X301" s="200"/>
      <x:c r="Y301" s="192"/>
      <x:c r="Z301" s="214"/>
      <x:c r="AA301" s="214"/>
      <x:c r="AB301" s="192"/>
      <x:c r="AC301" s="194"/>
      <x:c r="AD301" s="186" t="str">
        <x:f>IF(COUNTA(B301:H301)+COUNTA(J301:AC301)=0,"",IF(OR(B301="",D301="",E301="",G301="",J301=""),"缺少必填项",IF(H301&gt;G301,"完成数大于订单数",IF(AND(X301="",OR(Y301="排队",Y301="生产中",Y301="阻塞",Z301&lt;&gt;"",AA301&lt;&gt;"",AB301="是")),"已有排期字段缺少机台",IF(AND(X301&lt;&gt;"",Y301="待排"),"已填机台但状态为待排",IF(AND(Y301="生产中",AB301&lt;&gt;"是"),"需确认：生产中未锁定","可导入"))))))</x:f>
      </x:c>
    </x:row>
    <x:row r="302" ht="22" customHeight="1">
      <x:c r="A302" s="186" t="str">
        <x:f>IF(B302="","",ROW()-5)</x:f>
      </x:c>
      <x:c r="B302" s="196"/>
      <x:c r="C302" s="198"/>
      <x:c r="D302" s="196"/>
      <x:c r="E302" s="188"/>
      <x:c r="F302" s="198"/>
      <x:c r="G302" s="202"/>
      <x:c r="H302" s="204"/>
      <x:c r="I302" s="206" t="str">
        <x:f>IF(G302="","",MAX(G302-H302,0))</x:f>
      </x:c>
      <x:c r="J302" s="210"/>
      <x:c r="K302" s="190"/>
      <x:c r="L302" s="208"/>
      <x:c r="M302" s="208"/>
      <x:c r="N302" s="208"/>
      <x:c r="O302" s="208"/>
      <x:c r="P302" s="190"/>
      <x:c r="Q302" s="190"/>
      <x:c r="R302" s="190"/>
      <x:c r="S302" s="190"/>
      <x:c r="T302" s="190"/>
      <x:c r="U302" s="190"/>
      <x:c r="V302" s="212"/>
      <x:c r="W302" s="212"/>
      <x:c r="X302" s="200"/>
      <x:c r="Y302" s="192"/>
      <x:c r="Z302" s="214"/>
      <x:c r="AA302" s="214"/>
      <x:c r="AB302" s="192"/>
      <x:c r="AC302" s="194"/>
      <x:c r="AD302" s="186" t="str">
        <x:f>IF(COUNTA(B302:H302)+COUNTA(J302:AC302)=0,"",IF(OR(B302="",D302="",E302="",G302="",J302=""),"缺少必填项",IF(H302&gt;G302,"完成数大于订单数",IF(AND(X302="",OR(Y302="排队",Y302="生产中",Y302="阻塞",Z302&lt;&gt;"",AA302&lt;&gt;"",AB302="是")),"已有排期字段缺少机台",IF(AND(X302&lt;&gt;"",Y302="待排"),"已填机台但状态为待排",IF(AND(Y302="生产中",AB302&lt;&gt;"是"),"需确认：生产中未锁定","可导入"))))))</x:f>
      </x:c>
    </x:row>
    <x:row r="303" ht="22" customHeight="1">
      <x:c r="A303" s="186" t="str">
        <x:f>IF(B303="","",ROW()-5)</x:f>
      </x:c>
      <x:c r="B303" s="196"/>
      <x:c r="C303" s="198"/>
      <x:c r="D303" s="196"/>
      <x:c r="E303" s="188"/>
      <x:c r="F303" s="198"/>
      <x:c r="G303" s="202"/>
      <x:c r="H303" s="204"/>
      <x:c r="I303" s="206" t="str">
        <x:f>IF(G303="","",MAX(G303-H303,0))</x:f>
      </x:c>
      <x:c r="J303" s="210"/>
      <x:c r="K303" s="190"/>
      <x:c r="L303" s="208"/>
      <x:c r="M303" s="208"/>
      <x:c r="N303" s="208"/>
      <x:c r="O303" s="208"/>
      <x:c r="P303" s="190"/>
      <x:c r="Q303" s="190"/>
      <x:c r="R303" s="190"/>
      <x:c r="S303" s="190"/>
      <x:c r="T303" s="190"/>
      <x:c r="U303" s="190"/>
      <x:c r="V303" s="212"/>
      <x:c r="W303" s="212"/>
      <x:c r="X303" s="200"/>
      <x:c r="Y303" s="192"/>
      <x:c r="Z303" s="214"/>
      <x:c r="AA303" s="214"/>
      <x:c r="AB303" s="192"/>
      <x:c r="AC303" s="194"/>
      <x:c r="AD303" s="186" t="str">
        <x:f>IF(COUNTA(B303:H303)+COUNTA(J303:AC303)=0,"",IF(OR(B303="",D303="",E303="",G303="",J303=""),"缺少必填项",IF(H303&gt;G303,"完成数大于订单数",IF(AND(X303="",OR(Y303="排队",Y303="生产中",Y303="阻塞",Z303&lt;&gt;"",AA303&lt;&gt;"",AB303="是")),"已有排期字段缺少机台",IF(AND(X303&lt;&gt;"",Y303="待排"),"已填机台但状态为待排",IF(AND(Y303="生产中",AB303&lt;&gt;"是"),"需确认：生产中未锁定","可导入"))))))</x:f>
      </x:c>
    </x:row>
    <x:row r="304" ht="22" customHeight="1">
      <x:c r="A304" s="186" t="str">
        <x:f>IF(B304="","",ROW()-5)</x:f>
      </x:c>
      <x:c r="B304" s="196"/>
      <x:c r="C304" s="198"/>
      <x:c r="D304" s="196"/>
      <x:c r="E304" s="188"/>
      <x:c r="F304" s="198"/>
      <x:c r="G304" s="202"/>
      <x:c r="H304" s="204"/>
      <x:c r="I304" s="206" t="str">
        <x:f>IF(G304="","",MAX(G304-H304,0))</x:f>
      </x:c>
      <x:c r="J304" s="210"/>
      <x:c r="K304" s="190"/>
      <x:c r="L304" s="208"/>
      <x:c r="M304" s="208"/>
      <x:c r="N304" s="208"/>
      <x:c r="O304" s="208"/>
      <x:c r="P304" s="190"/>
      <x:c r="Q304" s="190"/>
      <x:c r="R304" s="190"/>
      <x:c r="S304" s="190"/>
      <x:c r="T304" s="190"/>
      <x:c r="U304" s="190"/>
      <x:c r="V304" s="212"/>
      <x:c r="W304" s="212"/>
      <x:c r="X304" s="200"/>
      <x:c r="Y304" s="192"/>
      <x:c r="Z304" s="214"/>
      <x:c r="AA304" s="214"/>
      <x:c r="AB304" s="192"/>
      <x:c r="AC304" s="194"/>
      <x:c r="AD304" s="186" t="str">
        <x:f>IF(COUNTA(B304:H304)+COUNTA(J304:AC304)=0,"",IF(OR(B304="",D304="",E304="",G304="",J304=""),"缺少必填项",IF(H304&gt;G304,"完成数大于订单数",IF(AND(X304="",OR(Y304="排队",Y304="生产中",Y304="阻塞",Z304&lt;&gt;"",AA304&lt;&gt;"",AB304="是")),"已有排期字段缺少机台",IF(AND(X304&lt;&gt;"",Y304="待排"),"已填机台但状态为待排",IF(AND(Y304="生产中",AB304&lt;&gt;"是"),"需确认：生产中未锁定","可导入"))))))</x:f>
      </x:c>
    </x:row>
    <x:row r="305" ht="22" customHeight="1">
      <x:c r="A305" s="186" t="str">
        <x:f>IF(B305="","",ROW()-5)</x:f>
      </x:c>
      <x:c r="B305" s="196"/>
      <x:c r="C305" s="198"/>
      <x:c r="D305" s="196"/>
      <x:c r="E305" s="188"/>
      <x:c r="F305" s="198"/>
      <x:c r="G305" s="202"/>
      <x:c r="H305" s="204"/>
      <x:c r="I305" s="206" t="str">
        <x:f>IF(G305="","",MAX(G305-H305,0))</x:f>
      </x:c>
      <x:c r="J305" s="210"/>
      <x:c r="K305" s="190"/>
      <x:c r="L305" s="208"/>
      <x:c r="M305" s="208"/>
      <x:c r="N305" s="208"/>
      <x:c r="O305" s="208"/>
      <x:c r="P305" s="190"/>
      <x:c r="Q305" s="190"/>
      <x:c r="R305" s="190"/>
      <x:c r="S305" s="190"/>
      <x:c r="T305" s="190"/>
      <x:c r="U305" s="190"/>
      <x:c r="V305" s="212"/>
      <x:c r="W305" s="212"/>
      <x:c r="X305" s="200"/>
      <x:c r="Y305" s="192"/>
      <x:c r="Z305" s="214"/>
      <x:c r="AA305" s="214"/>
      <x:c r="AB305" s="192"/>
      <x:c r="AC305" s="194"/>
      <x:c r="AD305" s="186" t="str">
        <x:f>IF(COUNTA(B305:H305)+COUNTA(J305:AC305)=0,"",IF(OR(B305="",D305="",E305="",G305="",J305=""),"缺少必填项",IF(H305&gt;G305,"完成数大于订单数",IF(AND(X305="",OR(Y305="排队",Y305="生产中",Y305="阻塞",Z305&lt;&gt;"",AA305&lt;&gt;"",AB305="是")),"已有排期字段缺少机台",IF(AND(X305&lt;&gt;"",Y305="待排"),"已填机台但状态为待排",IF(AND(Y305="生产中",AB305&lt;&gt;"是"),"需确认：生产中未锁定","可导入"))))))</x:f>
      </x:c>
    </x:row>
    <x:row r="306" ht="22" customHeight="1">
      <x:c r="A306" s="186" t="str">
        <x:f>IF(B306="","",ROW()-5)</x:f>
      </x:c>
      <x:c r="B306" s="196"/>
      <x:c r="C306" s="198"/>
      <x:c r="D306" s="196"/>
      <x:c r="E306" s="188"/>
      <x:c r="F306" s="198"/>
      <x:c r="G306" s="202"/>
      <x:c r="H306" s="204"/>
      <x:c r="I306" s="206" t="str">
        <x:f>IF(G306="","",MAX(G306-H306,0))</x:f>
      </x:c>
      <x:c r="J306" s="210"/>
      <x:c r="K306" s="190"/>
      <x:c r="L306" s="208"/>
      <x:c r="M306" s="208"/>
      <x:c r="N306" s="208"/>
      <x:c r="O306" s="208"/>
      <x:c r="P306" s="190"/>
      <x:c r="Q306" s="190"/>
      <x:c r="R306" s="190"/>
      <x:c r="S306" s="190"/>
      <x:c r="T306" s="190"/>
      <x:c r="U306" s="190"/>
      <x:c r="V306" s="212"/>
      <x:c r="W306" s="212"/>
      <x:c r="X306" s="200"/>
      <x:c r="Y306" s="192"/>
      <x:c r="Z306" s="214"/>
      <x:c r="AA306" s="214"/>
      <x:c r="AB306" s="192"/>
      <x:c r="AC306" s="194"/>
      <x:c r="AD306" s="186" t="str">
        <x:f>IF(COUNTA(B306:H306)+COUNTA(J306:AC306)=0,"",IF(OR(B306="",D306="",E306="",G306="",J306=""),"缺少必填项",IF(H306&gt;G306,"完成数大于订单数",IF(AND(X306="",OR(Y306="排队",Y306="生产中",Y306="阻塞",Z306&lt;&gt;"",AA306&lt;&gt;"",AB306="是")),"已有排期字段缺少机台",IF(AND(X306&lt;&gt;"",Y306="待排"),"已填机台但状态为待排",IF(AND(Y306="生产中",AB306&lt;&gt;"是"),"需确认：生产中未锁定","可导入"))))))</x:f>
      </x:c>
    </x:row>
    <x:row r="307" ht="22" customHeight="1">
      <x:c r="A307" s="186" t="str">
        <x:f>IF(B307="","",ROW()-5)</x:f>
      </x:c>
      <x:c r="B307" s="196"/>
      <x:c r="C307" s="198"/>
      <x:c r="D307" s="196"/>
      <x:c r="E307" s="188"/>
      <x:c r="F307" s="198"/>
      <x:c r="G307" s="202"/>
      <x:c r="H307" s="204"/>
      <x:c r="I307" s="206" t="str">
        <x:f>IF(G307="","",MAX(G307-H307,0))</x:f>
      </x:c>
      <x:c r="J307" s="210"/>
      <x:c r="K307" s="190"/>
      <x:c r="L307" s="208"/>
      <x:c r="M307" s="208"/>
      <x:c r="N307" s="208"/>
      <x:c r="O307" s="208"/>
      <x:c r="P307" s="190"/>
      <x:c r="Q307" s="190"/>
      <x:c r="R307" s="190"/>
      <x:c r="S307" s="190"/>
      <x:c r="T307" s="190"/>
      <x:c r="U307" s="190"/>
      <x:c r="V307" s="212"/>
      <x:c r="W307" s="212"/>
      <x:c r="X307" s="200"/>
      <x:c r="Y307" s="192"/>
      <x:c r="Z307" s="214"/>
      <x:c r="AA307" s="214"/>
      <x:c r="AB307" s="192"/>
      <x:c r="AC307" s="194"/>
      <x:c r="AD307" s="186" t="str">
        <x:f>IF(COUNTA(B307:H307)+COUNTA(J307:AC307)=0,"",IF(OR(B307="",D307="",E307="",G307="",J307=""),"缺少必填项",IF(H307&gt;G307,"完成数大于订单数",IF(AND(X307="",OR(Y307="排队",Y307="生产中",Y307="阻塞",Z307&lt;&gt;"",AA307&lt;&gt;"",AB307="是")),"已有排期字段缺少机台",IF(AND(X307&lt;&gt;"",Y307="待排"),"已填机台但状态为待排",IF(AND(Y307="生产中",AB307&lt;&gt;"是"),"需确认：生产中未锁定","可导入"))))))</x:f>
      </x:c>
    </x:row>
    <x:row r="308" ht="22" customHeight="1">
      <x:c r="A308" s="186" t="str">
        <x:f>IF(B308="","",ROW()-5)</x:f>
      </x:c>
      <x:c r="B308" s="196"/>
      <x:c r="C308" s="198"/>
      <x:c r="D308" s="196"/>
      <x:c r="E308" s="188"/>
      <x:c r="F308" s="198"/>
      <x:c r="G308" s="202"/>
      <x:c r="H308" s="204"/>
      <x:c r="I308" s="206" t="str">
        <x:f>IF(G308="","",MAX(G308-H308,0))</x:f>
      </x:c>
      <x:c r="J308" s="210"/>
      <x:c r="K308" s="190"/>
      <x:c r="L308" s="208"/>
      <x:c r="M308" s="208"/>
      <x:c r="N308" s="208"/>
      <x:c r="O308" s="208"/>
      <x:c r="P308" s="190"/>
      <x:c r="Q308" s="190"/>
      <x:c r="R308" s="190"/>
      <x:c r="S308" s="190"/>
      <x:c r="T308" s="190"/>
      <x:c r="U308" s="190"/>
      <x:c r="V308" s="212"/>
      <x:c r="W308" s="212"/>
      <x:c r="X308" s="200"/>
      <x:c r="Y308" s="192"/>
      <x:c r="Z308" s="214"/>
      <x:c r="AA308" s="214"/>
      <x:c r="AB308" s="192"/>
      <x:c r="AC308" s="194"/>
      <x:c r="AD308" s="186" t="str">
        <x:f>IF(COUNTA(B308:H308)+COUNTA(J308:AC308)=0,"",IF(OR(B308="",D308="",E308="",G308="",J308=""),"缺少必填项",IF(H308&gt;G308,"完成数大于订单数",IF(AND(X308="",OR(Y308="排队",Y308="生产中",Y308="阻塞",Z308&lt;&gt;"",AA308&lt;&gt;"",AB308="是")),"已有排期字段缺少机台",IF(AND(X308&lt;&gt;"",Y308="待排"),"已填机台但状态为待排",IF(AND(Y308="生产中",AB308&lt;&gt;"是"),"需确认：生产中未锁定","可导入"))))))</x:f>
      </x:c>
    </x:row>
    <x:row r="309" ht="22" customHeight="1">
      <x:c r="A309" s="186" t="str">
        <x:f>IF(B309="","",ROW()-5)</x:f>
      </x:c>
      <x:c r="B309" s="196"/>
      <x:c r="C309" s="198"/>
      <x:c r="D309" s="196"/>
      <x:c r="E309" s="188"/>
      <x:c r="F309" s="198"/>
      <x:c r="G309" s="202"/>
      <x:c r="H309" s="204"/>
      <x:c r="I309" s="206" t="str">
        <x:f>IF(G309="","",MAX(G309-H309,0))</x:f>
      </x:c>
      <x:c r="J309" s="210"/>
      <x:c r="K309" s="190"/>
      <x:c r="L309" s="208"/>
      <x:c r="M309" s="208"/>
      <x:c r="N309" s="208"/>
      <x:c r="O309" s="208"/>
      <x:c r="P309" s="190"/>
      <x:c r="Q309" s="190"/>
      <x:c r="R309" s="190"/>
      <x:c r="S309" s="190"/>
      <x:c r="T309" s="190"/>
      <x:c r="U309" s="190"/>
      <x:c r="V309" s="212"/>
      <x:c r="W309" s="212"/>
      <x:c r="X309" s="200"/>
      <x:c r="Y309" s="192"/>
      <x:c r="Z309" s="214"/>
      <x:c r="AA309" s="214"/>
      <x:c r="AB309" s="192"/>
      <x:c r="AC309" s="194"/>
      <x:c r="AD309" s="186" t="str">
        <x:f>IF(COUNTA(B309:H309)+COUNTA(J309:AC309)=0,"",IF(OR(B309="",D309="",E309="",G309="",J309=""),"缺少必填项",IF(H309&gt;G309,"完成数大于订单数",IF(AND(X309="",OR(Y309="排队",Y309="生产中",Y309="阻塞",Z309&lt;&gt;"",AA309&lt;&gt;"",AB309="是")),"已有排期字段缺少机台",IF(AND(X309&lt;&gt;"",Y309="待排"),"已填机台但状态为待排",IF(AND(Y309="生产中",AB309&lt;&gt;"是"),"需确认：生产中未锁定","可导入"))))))</x:f>
      </x:c>
    </x:row>
    <x:row r="310" ht="22" customHeight="1">
      <x:c r="A310" s="186" t="str">
        <x:f>IF(B310="","",ROW()-5)</x:f>
      </x:c>
      <x:c r="B310" s="196"/>
      <x:c r="C310" s="198"/>
      <x:c r="D310" s="196"/>
      <x:c r="E310" s="188"/>
      <x:c r="F310" s="198"/>
      <x:c r="G310" s="202"/>
      <x:c r="H310" s="204"/>
      <x:c r="I310" s="206" t="str">
        <x:f>IF(G310="","",MAX(G310-H310,0))</x:f>
      </x:c>
      <x:c r="J310" s="210"/>
      <x:c r="K310" s="190"/>
      <x:c r="L310" s="208"/>
      <x:c r="M310" s="208"/>
      <x:c r="N310" s="208"/>
      <x:c r="O310" s="208"/>
      <x:c r="P310" s="190"/>
      <x:c r="Q310" s="190"/>
      <x:c r="R310" s="190"/>
      <x:c r="S310" s="190"/>
      <x:c r="T310" s="190"/>
      <x:c r="U310" s="190"/>
      <x:c r="V310" s="212"/>
      <x:c r="W310" s="212"/>
      <x:c r="X310" s="200"/>
      <x:c r="Y310" s="192"/>
      <x:c r="Z310" s="214"/>
      <x:c r="AA310" s="214"/>
      <x:c r="AB310" s="192"/>
      <x:c r="AC310" s="194"/>
      <x:c r="AD310" s="186" t="str">
        <x:f>IF(COUNTA(B310:H310)+COUNTA(J310:AC310)=0,"",IF(OR(B310="",D310="",E310="",G310="",J310=""),"缺少必填项",IF(H310&gt;G310,"完成数大于订单数",IF(AND(X310="",OR(Y310="排队",Y310="生产中",Y310="阻塞",Z310&lt;&gt;"",AA310&lt;&gt;"",AB310="是")),"已有排期字段缺少机台",IF(AND(X310&lt;&gt;"",Y310="待排"),"已填机台但状态为待排",IF(AND(Y310="生产中",AB310&lt;&gt;"是"),"需确认：生产中未锁定","可导入"))))))</x:f>
      </x:c>
    </x:row>
    <x:row r="311" ht="22" customHeight="1">
      <x:c r="A311" s="186" t="str">
        <x:f>IF(B311="","",ROW()-5)</x:f>
      </x:c>
      <x:c r="B311" s="196"/>
      <x:c r="C311" s="198"/>
      <x:c r="D311" s="196"/>
      <x:c r="E311" s="188"/>
      <x:c r="F311" s="198"/>
      <x:c r="G311" s="202"/>
      <x:c r="H311" s="204"/>
      <x:c r="I311" s="206" t="str">
        <x:f>IF(G311="","",MAX(G311-H311,0))</x:f>
      </x:c>
      <x:c r="J311" s="210"/>
      <x:c r="K311" s="190"/>
      <x:c r="L311" s="208"/>
      <x:c r="M311" s="208"/>
      <x:c r="N311" s="208"/>
      <x:c r="O311" s="208"/>
      <x:c r="P311" s="190"/>
      <x:c r="Q311" s="190"/>
      <x:c r="R311" s="190"/>
      <x:c r="S311" s="190"/>
      <x:c r="T311" s="190"/>
      <x:c r="U311" s="190"/>
      <x:c r="V311" s="212"/>
      <x:c r="W311" s="212"/>
      <x:c r="X311" s="200"/>
      <x:c r="Y311" s="192"/>
      <x:c r="Z311" s="214"/>
      <x:c r="AA311" s="214"/>
      <x:c r="AB311" s="192"/>
      <x:c r="AC311" s="194"/>
      <x:c r="AD311" s="186" t="str">
        <x:f>IF(COUNTA(B311:H311)+COUNTA(J311:AC311)=0,"",IF(OR(B311="",D311="",E311="",G311="",J311=""),"缺少必填项",IF(H311&gt;G311,"完成数大于订单数",IF(AND(X311="",OR(Y311="排队",Y311="生产中",Y311="阻塞",Z311&lt;&gt;"",AA311&lt;&gt;"",AB311="是")),"已有排期字段缺少机台",IF(AND(X311&lt;&gt;"",Y311="待排"),"已填机台但状态为待排",IF(AND(Y311="生产中",AB311&lt;&gt;"是"),"需确认：生产中未锁定","可导入"))))))</x:f>
      </x:c>
    </x:row>
    <x:row r="312" ht="22" customHeight="1">
      <x:c r="A312" s="186" t="str">
        <x:f>IF(B312="","",ROW()-5)</x:f>
      </x:c>
      <x:c r="B312" s="196"/>
      <x:c r="C312" s="198"/>
      <x:c r="D312" s="196"/>
      <x:c r="E312" s="188"/>
      <x:c r="F312" s="198"/>
      <x:c r="G312" s="202"/>
      <x:c r="H312" s="204"/>
      <x:c r="I312" s="206" t="str">
        <x:f>IF(G312="","",MAX(G312-H312,0))</x:f>
      </x:c>
      <x:c r="J312" s="210"/>
      <x:c r="K312" s="190"/>
      <x:c r="L312" s="208"/>
      <x:c r="M312" s="208"/>
      <x:c r="N312" s="208"/>
      <x:c r="O312" s="208"/>
      <x:c r="P312" s="190"/>
      <x:c r="Q312" s="190"/>
      <x:c r="R312" s="190"/>
      <x:c r="S312" s="190"/>
      <x:c r="T312" s="190"/>
      <x:c r="U312" s="190"/>
      <x:c r="V312" s="212"/>
      <x:c r="W312" s="212"/>
      <x:c r="X312" s="200"/>
      <x:c r="Y312" s="192"/>
      <x:c r="Z312" s="214"/>
      <x:c r="AA312" s="214"/>
      <x:c r="AB312" s="192"/>
      <x:c r="AC312" s="194"/>
      <x:c r="AD312" s="186" t="str">
        <x:f>IF(COUNTA(B312:H312)+COUNTA(J312:AC312)=0,"",IF(OR(B312="",D312="",E312="",G312="",J312=""),"缺少必填项",IF(H312&gt;G312,"完成数大于订单数",IF(AND(X312="",OR(Y312="排队",Y312="生产中",Y312="阻塞",Z312&lt;&gt;"",AA312&lt;&gt;"",AB312="是")),"已有排期字段缺少机台",IF(AND(X312&lt;&gt;"",Y312="待排"),"已填机台但状态为待排",IF(AND(Y312="生产中",AB312&lt;&gt;"是"),"需确认：生产中未锁定","可导入"))))))</x:f>
      </x:c>
    </x:row>
    <x:row r="313" ht="22" customHeight="1">
      <x:c r="A313" s="186" t="str">
        <x:f>IF(B313="","",ROW()-5)</x:f>
      </x:c>
      <x:c r="B313" s="196"/>
      <x:c r="C313" s="198"/>
      <x:c r="D313" s="196"/>
      <x:c r="E313" s="188"/>
      <x:c r="F313" s="198"/>
      <x:c r="G313" s="202"/>
      <x:c r="H313" s="204"/>
      <x:c r="I313" s="206" t="str">
        <x:f>IF(G313="","",MAX(G313-H313,0))</x:f>
      </x:c>
      <x:c r="J313" s="210"/>
      <x:c r="K313" s="190"/>
      <x:c r="L313" s="208"/>
      <x:c r="M313" s="208"/>
      <x:c r="N313" s="208"/>
      <x:c r="O313" s="208"/>
      <x:c r="P313" s="190"/>
      <x:c r="Q313" s="190"/>
      <x:c r="R313" s="190"/>
      <x:c r="S313" s="190"/>
      <x:c r="T313" s="190"/>
      <x:c r="U313" s="190"/>
      <x:c r="V313" s="212"/>
      <x:c r="W313" s="212"/>
      <x:c r="X313" s="200"/>
      <x:c r="Y313" s="192"/>
      <x:c r="Z313" s="214"/>
      <x:c r="AA313" s="214"/>
      <x:c r="AB313" s="192"/>
      <x:c r="AC313" s="194"/>
      <x:c r="AD313" s="186" t="str">
        <x:f>IF(COUNTA(B313:H313)+COUNTA(J313:AC313)=0,"",IF(OR(B313="",D313="",E313="",G313="",J313=""),"缺少必填项",IF(H313&gt;G313,"完成数大于订单数",IF(AND(X313="",OR(Y313="排队",Y313="生产中",Y313="阻塞",Z313&lt;&gt;"",AA313&lt;&gt;"",AB313="是")),"已有排期字段缺少机台",IF(AND(X313&lt;&gt;"",Y313="待排"),"已填机台但状态为待排",IF(AND(Y313="生产中",AB313&lt;&gt;"是"),"需确认：生产中未锁定","可导入"))))))</x:f>
      </x:c>
    </x:row>
    <x:row r="314" ht="22" customHeight="1">
      <x:c r="A314" s="186" t="str">
        <x:f>IF(B314="","",ROW()-5)</x:f>
      </x:c>
      <x:c r="B314" s="196"/>
      <x:c r="C314" s="198"/>
      <x:c r="D314" s="196"/>
      <x:c r="E314" s="188"/>
      <x:c r="F314" s="198"/>
      <x:c r="G314" s="202"/>
      <x:c r="H314" s="204"/>
      <x:c r="I314" s="206" t="str">
        <x:f>IF(G314="","",MAX(G314-H314,0))</x:f>
      </x:c>
      <x:c r="J314" s="210"/>
      <x:c r="K314" s="190"/>
      <x:c r="L314" s="208"/>
      <x:c r="M314" s="208"/>
      <x:c r="N314" s="208"/>
      <x:c r="O314" s="208"/>
      <x:c r="P314" s="190"/>
      <x:c r="Q314" s="190"/>
      <x:c r="R314" s="190"/>
      <x:c r="S314" s="190"/>
      <x:c r="T314" s="190"/>
      <x:c r="U314" s="190"/>
      <x:c r="V314" s="212"/>
      <x:c r="W314" s="212"/>
      <x:c r="X314" s="200"/>
      <x:c r="Y314" s="192"/>
      <x:c r="Z314" s="214"/>
      <x:c r="AA314" s="214"/>
      <x:c r="AB314" s="192"/>
      <x:c r="AC314" s="194"/>
      <x:c r="AD314" s="186" t="str">
        <x:f>IF(COUNTA(B314:H314)+COUNTA(J314:AC314)=0,"",IF(OR(B314="",D314="",E314="",G314="",J314=""),"缺少必填项",IF(H314&gt;G314,"完成数大于订单数",IF(AND(X314="",OR(Y314="排队",Y314="生产中",Y314="阻塞",Z314&lt;&gt;"",AA314&lt;&gt;"",AB314="是")),"已有排期字段缺少机台",IF(AND(X314&lt;&gt;"",Y314="待排"),"已填机台但状态为待排",IF(AND(Y314="生产中",AB314&lt;&gt;"是"),"需确认：生产中未锁定","可导入"))))))</x:f>
      </x:c>
    </x:row>
    <x:row r="315" ht="22" customHeight="1">
      <x:c r="A315" s="186" t="str">
        <x:f>IF(B315="","",ROW()-5)</x:f>
      </x:c>
      <x:c r="B315" s="196"/>
      <x:c r="C315" s="198"/>
      <x:c r="D315" s="196"/>
      <x:c r="E315" s="188"/>
      <x:c r="F315" s="198"/>
      <x:c r="G315" s="202"/>
      <x:c r="H315" s="204"/>
      <x:c r="I315" s="206" t="str">
        <x:f>IF(G315="","",MAX(G315-H315,0))</x:f>
      </x:c>
      <x:c r="J315" s="210"/>
      <x:c r="K315" s="190"/>
      <x:c r="L315" s="208"/>
      <x:c r="M315" s="208"/>
      <x:c r="N315" s="208"/>
      <x:c r="O315" s="208"/>
      <x:c r="P315" s="190"/>
      <x:c r="Q315" s="190"/>
      <x:c r="R315" s="190"/>
      <x:c r="S315" s="190"/>
      <x:c r="T315" s="190"/>
      <x:c r="U315" s="190"/>
      <x:c r="V315" s="212"/>
      <x:c r="W315" s="212"/>
      <x:c r="X315" s="200"/>
      <x:c r="Y315" s="192"/>
      <x:c r="Z315" s="214"/>
      <x:c r="AA315" s="214"/>
      <x:c r="AB315" s="192"/>
      <x:c r="AC315" s="194"/>
      <x:c r="AD315" s="186" t="str">
        <x:f>IF(COUNTA(B315:H315)+COUNTA(J315:AC315)=0,"",IF(OR(B315="",D315="",E315="",G315="",J315=""),"缺少必填项",IF(H315&gt;G315,"完成数大于订单数",IF(AND(X315="",OR(Y315="排队",Y315="生产中",Y315="阻塞",Z315&lt;&gt;"",AA315&lt;&gt;"",AB315="是")),"已有排期字段缺少机台",IF(AND(X315&lt;&gt;"",Y315="待排"),"已填机台但状态为待排",IF(AND(Y315="生产中",AB315&lt;&gt;"是"),"需确认：生产中未锁定","可导入"))))))</x:f>
      </x:c>
    </x:row>
    <x:row r="316" ht="22" customHeight="1">
      <x:c r="A316" s="186" t="str">
        <x:f>IF(B316="","",ROW()-5)</x:f>
      </x:c>
      <x:c r="B316" s="196"/>
      <x:c r="C316" s="198"/>
      <x:c r="D316" s="196"/>
      <x:c r="E316" s="188"/>
      <x:c r="F316" s="198"/>
      <x:c r="G316" s="202"/>
      <x:c r="H316" s="204"/>
      <x:c r="I316" s="206" t="str">
        <x:f>IF(G316="","",MAX(G316-H316,0))</x:f>
      </x:c>
      <x:c r="J316" s="210"/>
      <x:c r="K316" s="190"/>
      <x:c r="L316" s="208"/>
      <x:c r="M316" s="208"/>
      <x:c r="N316" s="208"/>
      <x:c r="O316" s="208"/>
      <x:c r="P316" s="190"/>
      <x:c r="Q316" s="190"/>
      <x:c r="R316" s="190"/>
      <x:c r="S316" s="190"/>
      <x:c r="T316" s="190"/>
      <x:c r="U316" s="190"/>
      <x:c r="V316" s="212"/>
      <x:c r="W316" s="212"/>
      <x:c r="X316" s="200"/>
      <x:c r="Y316" s="192"/>
      <x:c r="Z316" s="214"/>
      <x:c r="AA316" s="214"/>
      <x:c r="AB316" s="192"/>
      <x:c r="AC316" s="194"/>
      <x:c r="AD316" s="186" t="str">
        <x:f>IF(COUNTA(B316:H316)+COUNTA(J316:AC316)=0,"",IF(OR(B316="",D316="",E316="",G316="",J316=""),"缺少必填项",IF(H316&gt;G316,"完成数大于订单数",IF(AND(X316="",OR(Y316="排队",Y316="生产中",Y316="阻塞",Z316&lt;&gt;"",AA316&lt;&gt;"",AB316="是")),"已有排期字段缺少机台",IF(AND(X316&lt;&gt;"",Y316="待排"),"已填机台但状态为待排",IF(AND(Y316="生产中",AB316&lt;&gt;"是"),"需确认：生产中未锁定","可导入"))))))</x:f>
      </x:c>
    </x:row>
    <x:row r="317" ht="22" customHeight="1">
      <x:c r="A317" s="186" t="str">
        <x:f>IF(B317="","",ROW()-5)</x:f>
      </x:c>
      <x:c r="B317" s="196"/>
      <x:c r="C317" s="198"/>
      <x:c r="D317" s="196"/>
      <x:c r="E317" s="188"/>
      <x:c r="F317" s="198"/>
      <x:c r="G317" s="202"/>
      <x:c r="H317" s="204"/>
      <x:c r="I317" s="206" t="str">
        <x:f>IF(G317="","",MAX(G317-H317,0))</x:f>
      </x:c>
      <x:c r="J317" s="210"/>
      <x:c r="K317" s="190"/>
      <x:c r="L317" s="208"/>
      <x:c r="M317" s="208"/>
      <x:c r="N317" s="208"/>
      <x:c r="O317" s="208"/>
      <x:c r="P317" s="190"/>
      <x:c r="Q317" s="190"/>
      <x:c r="R317" s="190"/>
      <x:c r="S317" s="190"/>
      <x:c r="T317" s="190"/>
      <x:c r="U317" s="190"/>
      <x:c r="V317" s="212"/>
      <x:c r="W317" s="212"/>
      <x:c r="X317" s="200"/>
      <x:c r="Y317" s="192"/>
      <x:c r="Z317" s="214"/>
      <x:c r="AA317" s="214"/>
      <x:c r="AB317" s="192"/>
      <x:c r="AC317" s="194"/>
      <x:c r="AD317" s="186" t="str">
        <x:f>IF(COUNTA(B317:H317)+COUNTA(J317:AC317)=0,"",IF(OR(B317="",D317="",E317="",G317="",J317=""),"缺少必填项",IF(H317&gt;G317,"完成数大于订单数",IF(AND(X317="",OR(Y317="排队",Y317="生产中",Y317="阻塞",Z317&lt;&gt;"",AA317&lt;&gt;"",AB317="是")),"已有排期字段缺少机台",IF(AND(X317&lt;&gt;"",Y317="待排"),"已填机台但状态为待排",IF(AND(Y317="生产中",AB317&lt;&gt;"是"),"需确认：生产中未锁定","可导入"))))))</x:f>
      </x:c>
    </x:row>
    <x:row r="318" ht="22" customHeight="1">
      <x:c r="A318" s="186" t="str">
        <x:f>IF(B318="","",ROW()-5)</x:f>
      </x:c>
      <x:c r="B318" s="196"/>
      <x:c r="C318" s="198"/>
      <x:c r="D318" s="196"/>
      <x:c r="E318" s="188"/>
      <x:c r="F318" s="198"/>
      <x:c r="G318" s="202"/>
      <x:c r="H318" s="204"/>
      <x:c r="I318" s="206" t="str">
        <x:f>IF(G318="","",MAX(G318-H318,0))</x:f>
      </x:c>
      <x:c r="J318" s="210"/>
      <x:c r="K318" s="190"/>
      <x:c r="L318" s="208"/>
      <x:c r="M318" s="208"/>
      <x:c r="N318" s="208"/>
      <x:c r="O318" s="208"/>
      <x:c r="P318" s="190"/>
      <x:c r="Q318" s="190"/>
      <x:c r="R318" s="190"/>
      <x:c r="S318" s="190"/>
      <x:c r="T318" s="190"/>
      <x:c r="U318" s="190"/>
      <x:c r="V318" s="212"/>
      <x:c r="W318" s="212"/>
      <x:c r="X318" s="200"/>
      <x:c r="Y318" s="192"/>
      <x:c r="Z318" s="214"/>
      <x:c r="AA318" s="214"/>
      <x:c r="AB318" s="192"/>
      <x:c r="AC318" s="194"/>
      <x:c r="AD318" s="186" t="str">
        <x:f>IF(COUNTA(B318:H318)+COUNTA(J318:AC318)=0,"",IF(OR(B318="",D318="",E318="",G318="",J318=""),"缺少必填项",IF(H318&gt;G318,"完成数大于订单数",IF(AND(X318="",OR(Y318="排队",Y318="生产中",Y318="阻塞",Z318&lt;&gt;"",AA318&lt;&gt;"",AB318="是")),"已有排期字段缺少机台",IF(AND(X318&lt;&gt;"",Y318="待排"),"已填机台但状态为待排",IF(AND(Y318="生产中",AB318&lt;&gt;"是"),"需确认：生产中未锁定","可导入"))))))</x:f>
      </x:c>
    </x:row>
    <x:row r="319" ht="22" customHeight="1">
      <x:c r="A319" s="186" t="str">
        <x:f>IF(B319="","",ROW()-5)</x:f>
      </x:c>
      <x:c r="B319" s="196"/>
      <x:c r="C319" s="198"/>
      <x:c r="D319" s="196"/>
      <x:c r="E319" s="188"/>
      <x:c r="F319" s="198"/>
      <x:c r="G319" s="202"/>
      <x:c r="H319" s="204"/>
      <x:c r="I319" s="206" t="str">
        <x:f>IF(G319="","",MAX(G319-H319,0))</x:f>
      </x:c>
      <x:c r="J319" s="210"/>
      <x:c r="K319" s="190"/>
      <x:c r="L319" s="208"/>
      <x:c r="M319" s="208"/>
      <x:c r="N319" s="208"/>
      <x:c r="O319" s="208"/>
      <x:c r="P319" s="190"/>
      <x:c r="Q319" s="190"/>
      <x:c r="R319" s="190"/>
      <x:c r="S319" s="190"/>
      <x:c r="T319" s="190"/>
      <x:c r="U319" s="190"/>
      <x:c r="V319" s="212"/>
      <x:c r="W319" s="212"/>
      <x:c r="X319" s="200"/>
      <x:c r="Y319" s="192"/>
      <x:c r="Z319" s="214"/>
      <x:c r="AA319" s="214"/>
      <x:c r="AB319" s="192"/>
      <x:c r="AC319" s="194"/>
      <x:c r="AD319" s="186" t="str">
        <x:f>IF(COUNTA(B319:H319)+COUNTA(J319:AC319)=0,"",IF(OR(B319="",D319="",E319="",G319="",J319=""),"缺少必填项",IF(H319&gt;G319,"完成数大于订单数",IF(AND(X319="",OR(Y319="排队",Y319="生产中",Y319="阻塞",Z319&lt;&gt;"",AA319&lt;&gt;"",AB319="是")),"已有排期字段缺少机台",IF(AND(X319&lt;&gt;"",Y319="待排"),"已填机台但状态为待排",IF(AND(Y319="生产中",AB319&lt;&gt;"是"),"需确认：生产中未锁定","可导入"))))))</x:f>
      </x:c>
    </x:row>
    <x:row r="320" ht="22" customHeight="1">
      <x:c r="A320" s="186" t="str">
        <x:f>IF(B320="","",ROW()-5)</x:f>
      </x:c>
      <x:c r="B320" s="196"/>
      <x:c r="C320" s="198"/>
      <x:c r="D320" s="196"/>
      <x:c r="E320" s="188"/>
      <x:c r="F320" s="198"/>
      <x:c r="G320" s="202"/>
      <x:c r="H320" s="204"/>
      <x:c r="I320" s="206" t="str">
        <x:f>IF(G320="","",MAX(G320-H320,0))</x:f>
      </x:c>
      <x:c r="J320" s="210"/>
      <x:c r="K320" s="190"/>
      <x:c r="L320" s="208"/>
      <x:c r="M320" s="208"/>
      <x:c r="N320" s="208"/>
      <x:c r="O320" s="208"/>
      <x:c r="P320" s="190"/>
      <x:c r="Q320" s="190"/>
      <x:c r="R320" s="190"/>
      <x:c r="S320" s="190"/>
      <x:c r="T320" s="190"/>
      <x:c r="U320" s="190"/>
      <x:c r="V320" s="212"/>
      <x:c r="W320" s="212"/>
      <x:c r="X320" s="200"/>
      <x:c r="Y320" s="192"/>
      <x:c r="Z320" s="214"/>
      <x:c r="AA320" s="214"/>
      <x:c r="AB320" s="192"/>
      <x:c r="AC320" s="194"/>
      <x:c r="AD320" s="186" t="str">
        <x:f>IF(COUNTA(B320:H320)+COUNTA(J320:AC320)=0,"",IF(OR(B320="",D320="",E320="",G320="",J320=""),"缺少必填项",IF(H320&gt;G320,"完成数大于订单数",IF(AND(X320="",OR(Y320="排队",Y320="生产中",Y320="阻塞",Z320&lt;&gt;"",AA320&lt;&gt;"",AB320="是")),"已有排期字段缺少机台",IF(AND(X320&lt;&gt;"",Y320="待排"),"已填机台但状态为待排",IF(AND(Y320="生产中",AB320&lt;&gt;"是"),"需确认：生产中未锁定","可导入"))))))</x:f>
      </x:c>
    </x:row>
    <x:row r="321" ht="22" customHeight="1">
      <x:c r="A321" s="186" t="str">
        <x:f>IF(B321="","",ROW()-5)</x:f>
      </x:c>
      <x:c r="B321" s="196"/>
      <x:c r="C321" s="198"/>
      <x:c r="D321" s="196"/>
      <x:c r="E321" s="188"/>
      <x:c r="F321" s="198"/>
      <x:c r="G321" s="202"/>
      <x:c r="H321" s="204"/>
      <x:c r="I321" s="206" t="str">
        <x:f>IF(G321="","",MAX(G321-H321,0))</x:f>
      </x:c>
      <x:c r="J321" s="210"/>
      <x:c r="K321" s="190"/>
      <x:c r="L321" s="208"/>
      <x:c r="M321" s="208"/>
      <x:c r="N321" s="208"/>
      <x:c r="O321" s="208"/>
      <x:c r="P321" s="190"/>
      <x:c r="Q321" s="190"/>
      <x:c r="R321" s="190"/>
      <x:c r="S321" s="190"/>
      <x:c r="T321" s="190"/>
      <x:c r="U321" s="190"/>
      <x:c r="V321" s="212"/>
      <x:c r="W321" s="212"/>
      <x:c r="X321" s="200"/>
      <x:c r="Y321" s="192"/>
      <x:c r="Z321" s="214"/>
      <x:c r="AA321" s="214"/>
      <x:c r="AB321" s="192"/>
      <x:c r="AC321" s="194"/>
      <x:c r="AD321" s="186" t="str">
        <x:f>IF(COUNTA(B321:H321)+COUNTA(J321:AC321)=0,"",IF(OR(B321="",D321="",E321="",G321="",J321=""),"缺少必填项",IF(H321&gt;G321,"完成数大于订单数",IF(AND(X321="",OR(Y321="排队",Y321="生产中",Y321="阻塞",Z321&lt;&gt;"",AA321&lt;&gt;"",AB321="是")),"已有排期字段缺少机台",IF(AND(X321&lt;&gt;"",Y321="待排"),"已填机台但状态为待排",IF(AND(Y321="生产中",AB321&lt;&gt;"是"),"需确认：生产中未锁定","可导入"))))))</x:f>
      </x:c>
    </x:row>
    <x:row r="322" ht="22" customHeight="1">
      <x:c r="A322" s="186" t="str">
        <x:f>IF(B322="","",ROW()-5)</x:f>
      </x:c>
      <x:c r="B322" s="196"/>
      <x:c r="C322" s="198"/>
      <x:c r="D322" s="196"/>
      <x:c r="E322" s="188"/>
      <x:c r="F322" s="198"/>
      <x:c r="G322" s="202"/>
      <x:c r="H322" s="204"/>
      <x:c r="I322" s="206" t="str">
        <x:f>IF(G322="","",MAX(G322-H322,0))</x:f>
      </x:c>
      <x:c r="J322" s="210"/>
      <x:c r="K322" s="190"/>
      <x:c r="L322" s="208"/>
      <x:c r="M322" s="208"/>
      <x:c r="N322" s="208"/>
      <x:c r="O322" s="208"/>
      <x:c r="P322" s="190"/>
      <x:c r="Q322" s="190"/>
      <x:c r="R322" s="190"/>
      <x:c r="S322" s="190"/>
      <x:c r="T322" s="190"/>
      <x:c r="U322" s="190"/>
      <x:c r="V322" s="212"/>
      <x:c r="W322" s="212"/>
      <x:c r="X322" s="200"/>
      <x:c r="Y322" s="192"/>
      <x:c r="Z322" s="214"/>
      <x:c r="AA322" s="214"/>
      <x:c r="AB322" s="192"/>
      <x:c r="AC322" s="194"/>
      <x:c r="AD322" s="186" t="str">
        <x:f>IF(COUNTA(B322:H322)+COUNTA(J322:AC322)=0,"",IF(OR(B322="",D322="",E322="",G322="",J322=""),"缺少必填项",IF(H322&gt;G322,"完成数大于订单数",IF(AND(X322="",OR(Y322="排队",Y322="生产中",Y322="阻塞",Z322&lt;&gt;"",AA322&lt;&gt;"",AB322="是")),"已有排期字段缺少机台",IF(AND(X322&lt;&gt;"",Y322="待排"),"已填机台但状态为待排",IF(AND(Y322="生产中",AB322&lt;&gt;"是"),"需确认：生产中未锁定","可导入"))))))</x:f>
      </x:c>
    </x:row>
    <x:row r="323" ht="22" customHeight="1">
      <x:c r="A323" s="186" t="str">
        <x:f>IF(B323="","",ROW()-5)</x:f>
      </x:c>
      <x:c r="B323" s="196"/>
      <x:c r="C323" s="198"/>
      <x:c r="D323" s="196"/>
      <x:c r="E323" s="188"/>
      <x:c r="F323" s="198"/>
      <x:c r="G323" s="202"/>
      <x:c r="H323" s="204"/>
      <x:c r="I323" s="206" t="str">
        <x:f>IF(G323="","",MAX(G323-H323,0))</x:f>
      </x:c>
      <x:c r="J323" s="210"/>
      <x:c r="K323" s="190"/>
      <x:c r="L323" s="208"/>
      <x:c r="M323" s="208"/>
      <x:c r="N323" s="208"/>
      <x:c r="O323" s="208"/>
      <x:c r="P323" s="190"/>
      <x:c r="Q323" s="190"/>
      <x:c r="R323" s="190"/>
      <x:c r="S323" s="190"/>
      <x:c r="T323" s="190"/>
      <x:c r="U323" s="190"/>
      <x:c r="V323" s="212"/>
      <x:c r="W323" s="212"/>
      <x:c r="X323" s="200"/>
      <x:c r="Y323" s="192"/>
      <x:c r="Z323" s="214"/>
      <x:c r="AA323" s="214"/>
      <x:c r="AB323" s="192"/>
      <x:c r="AC323" s="194"/>
      <x:c r="AD323" s="186" t="str">
        <x:f>IF(COUNTA(B323:H323)+COUNTA(J323:AC323)=0,"",IF(OR(B323="",D323="",E323="",G323="",J323=""),"缺少必填项",IF(H323&gt;G323,"完成数大于订单数",IF(AND(X323="",OR(Y323="排队",Y323="生产中",Y323="阻塞",Z323&lt;&gt;"",AA323&lt;&gt;"",AB323="是")),"已有排期字段缺少机台",IF(AND(X323&lt;&gt;"",Y323="待排"),"已填机台但状态为待排",IF(AND(Y323="生产中",AB323&lt;&gt;"是"),"需确认：生产中未锁定","可导入"))))))</x:f>
      </x:c>
    </x:row>
    <x:row r="324" ht="22" customHeight="1">
      <x:c r="A324" s="186" t="str">
        <x:f>IF(B324="","",ROW()-5)</x:f>
      </x:c>
      <x:c r="B324" s="196"/>
      <x:c r="C324" s="198"/>
      <x:c r="D324" s="196"/>
      <x:c r="E324" s="188"/>
      <x:c r="F324" s="198"/>
      <x:c r="G324" s="202"/>
      <x:c r="H324" s="204"/>
      <x:c r="I324" s="206" t="str">
        <x:f>IF(G324="","",MAX(G324-H324,0))</x:f>
      </x:c>
      <x:c r="J324" s="210"/>
      <x:c r="K324" s="190"/>
      <x:c r="L324" s="208"/>
      <x:c r="M324" s="208"/>
      <x:c r="N324" s="208"/>
      <x:c r="O324" s="208"/>
      <x:c r="P324" s="190"/>
      <x:c r="Q324" s="190"/>
      <x:c r="R324" s="190"/>
      <x:c r="S324" s="190"/>
      <x:c r="T324" s="190"/>
      <x:c r="U324" s="190"/>
      <x:c r="V324" s="212"/>
      <x:c r="W324" s="212"/>
      <x:c r="X324" s="200"/>
      <x:c r="Y324" s="192"/>
      <x:c r="Z324" s="214"/>
      <x:c r="AA324" s="214"/>
      <x:c r="AB324" s="192"/>
      <x:c r="AC324" s="194"/>
      <x:c r="AD324" s="186" t="str">
        <x:f>IF(COUNTA(B324:H324)+COUNTA(J324:AC324)=0,"",IF(OR(B324="",D324="",E324="",G324="",J324=""),"缺少必填项",IF(H324&gt;G324,"完成数大于订单数",IF(AND(X324="",OR(Y324="排队",Y324="生产中",Y324="阻塞",Z324&lt;&gt;"",AA324&lt;&gt;"",AB324="是")),"已有排期字段缺少机台",IF(AND(X324&lt;&gt;"",Y324="待排"),"已填机台但状态为待排",IF(AND(Y324="生产中",AB324&lt;&gt;"是"),"需确认：生产中未锁定","可导入"))))))</x:f>
      </x:c>
    </x:row>
    <x:row r="325" ht="22" customHeight="1">
      <x:c r="A325" s="186" t="str">
        <x:f>IF(B325="","",ROW()-5)</x:f>
      </x:c>
      <x:c r="B325" s="196"/>
      <x:c r="C325" s="198"/>
      <x:c r="D325" s="196"/>
      <x:c r="E325" s="188"/>
      <x:c r="F325" s="198"/>
      <x:c r="G325" s="202"/>
      <x:c r="H325" s="204"/>
      <x:c r="I325" s="206" t="str">
        <x:f>IF(G325="","",MAX(G325-H325,0))</x:f>
      </x:c>
      <x:c r="J325" s="210"/>
      <x:c r="K325" s="190"/>
      <x:c r="L325" s="208"/>
      <x:c r="M325" s="208"/>
      <x:c r="N325" s="208"/>
      <x:c r="O325" s="208"/>
      <x:c r="P325" s="190"/>
      <x:c r="Q325" s="190"/>
      <x:c r="R325" s="190"/>
      <x:c r="S325" s="190"/>
      <x:c r="T325" s="190"/>
      <x:c r="U325" s="190"/>
      <x:c r="V325" s="212"/>
      <x:c r="W325" s="212"/>
      <x:c r="X325" s="200"/>
      <x:c r="Y325" s="192"/>
      <x:c r="Z325" s="214"/>
      <x:c r="AA325" s="214"/>
      <x:c r="AB325" s="192"/>
      <x:c r="AC325" s="194"/>
      <x:c r="AD325" s="186" t="str">
        <x:f>IF(COUNTA(B325:H325)+COUNTA(J325:AC325)=0,"",IF(OR(B325="",D325="",E325="",G325="",J325=""),"缺少必填项",IF(H325&gt;G325,"完成数大于订单数",IF(AND(X325="",OR(Y325="排队",Y325="生产中",Y325="阻塞",Z325&lt;&gt;"",AA325&lt;&gt;"",AB325="是")),"已有排期字段缺少机台",IF(AND(X325&lt;&gt;"",Y325="待排"),"已填机台但状态为待排",IF(AND(Y325="生产中",AB325&lt;&gt;"是"),"需确认：生产中未锁定","可导入"))))))</x:f>
      </x:c>
    </x:row>
    <x:row r="326" ht="22" customHeight="1">
      <x:c r="A326" s="186" t="str">
        <x:f>IF(B326="","",ROW()-5)</x:f>
      </x:c>
      <x:c r="B326" s="196"/>
      <x:c r="C326" s="198"/>
      <x:c r="D326" s="196"/>
      <x:c r="E326" s="188"/>
      <x:c r="F326" s="198"/>
      <x:c r="G326" s="202"/>
      <x:c r="H326" s="204"/>
      <x:c r="I326" s="206" t="str">
        <x:f>IF(G326="","",MAX(G326-H326,0))</x:f>
      </x:c>
      <x:c r="J326" s="210"/>
      <x:c r="K326" s="190"/>
      <x:c r="L326" s="208"/>
      <x:c r="M326" s="208"/>
      <x:c r="N326" s="208"/>
      <x:c r="O326" s="208"/>
      <x:c r="P326" s="190"/>
      <x:c r="Q326" s="190"/>
      <x:c r="R326" s="190"/>
      <x:c r="S326" s="190"/>
      <x:c r="T326" s="190"/>
      <x:c r="U326" s="190"/>
      <x:c r="V326" s="212"/>
      <x:c r="W326" s="212"/>
      <x:c r="X326" s="200"/>
      <x:c r="Y326" s="192"/>
      <x:c r="Z326" s="214"/>
      <x:c r="AA326" s="214"/>
      <x:c r="AB326" s="192"/>
      <x:c r="AC326" s="194"/>
      <x:c r="AD326" s="186" t="str">
        <x:f>IF(COUNTA(B326:H326)+COUNTA(J326:AC326)=0,"",IF(OR(B326="",D326="",E326="",G326="",J326=""),"缺少必填项",IF(H326&gt;G326,"完成数大于订单数",IF(AND(X326="",OR(Y326="排队",Y326="生产中",Y326="阻塞",Z326&lt;&gt;"",AA326&lt;&gt;"",AB326="是")),"已有排期字段缺少机台",IF(AND(X326&lt;&gt;"",Y326="待排"),"已填机台但状态为待排",IF(AND(Y326="生产中",AB326&lt;&gt;"是"),"需确认：生产中未锁定","可导入"))))))</x:f>
      </x:c>
    </x:row>
    <x:row r="327" ht="22" customHeight="1">
      <x:c r="A327" s="186" t="str">
        <x:f>IF(B327="","",ROW()-5)</x:f>
      </x:c>
      <x:c r="B327" s="196"/>
      <x:c r="C327" s="198"/>
      <x:c r="D327" s="196"/>
      <x:c r="E327" s="188"/>
      <x:c r="F327" s="198"/>
      <x:c r="G327" s="202"/>
      <x:c r="H327" s="204"/>
      <x:c r="I327" s="206" t="str">
        <x:f>IF(G327="","",MAX(G327-H327,0))</x:f>
      </x:c>
      <x:c r="J327" s="210"/>
      <x:c r="K327" s="190"/>
      <x:c r="L327" s="208"/>
      <x:c r="M327" s="208"/>
      <x:c r="N327" s="208"/>
      <x:c r="O327" s="208"/>
      <x:c r="P327" s="190"/>
      <x:c r="Q327" s="190"/>
      <x:c r="R327" s="190"/>
      <x:c r="S327" s="190"/>
      <x:c r="T327" s="190"/>
      <x:c r="U327" s="190"/>
      <x:c r="V327" s="212"/>
      <x:c r="W327" s="212"/>
      <x:c r="X327" s="200"/>
      <x:c r="Y327" s="192"/>
      <x:c r="Z327" s="214"/>
      <x:c r="AA327" s="214"/>
      <x:c r="AB327" s="192"/>
      <x:c r="AC327" s="194"/>
      <x:c r="AD327" s="186" t="str">
        <x:f>IF(COUNTA(B327:H327)+COUNTA(J327:AC327)=0,"",IF(OR(B327="",D327="",E327="",G327="",J327=""),"缺少必填项",IF(H327&gt;G327,"完成数大于订单数",IF(AND(X327="",OR(Y327="排队",Y327="生产中",Y327="阻塞",Z327&lt;&gt;"",AA327&lt;&gt;"",AB327="是")),"已有排期字段缺少机台",IF(AND(X327&lt;&gt;"",Y327="待排"),"已填机台但状态为待排",IF(AND(Y327="生产中",AB327&lt;&gt;"是"),"需确认：生产中未锁定","可导入"))))))</x:f>
      </x:c>
    </x:row>
    <x:row r="328" ht="22" customHeight="1">
      <x:c r="A328" s="186" t="str">
        <x:f>IF(B328="","",ROW()-5)</x:f>
      </x:c>
      <x:c r="B328" s="196"/>
      <x:c r="C328" s="198"/>
      <x:c r="D328" s="196"/>
      <x:c r="E328" s="188"/>
      <x:c r="F328" s="198"/>
      <x:c r="G328" s="202"/>
      <x:c r="H328" s="204"/>
      <x:c r="I328" s="206" t="str">
        <x:f>IF(G328="","",MAX(G328-H328,0))</x:f>
      </x:c>
      <x:c r="J328" s="210"/>
      <x:c r="K328" s="190"/>
      <x:c r="L328" s="208"/>
      <x:c r="M328" s="208"/>
      <x:c r="N328" s="208"/>
      <x:c r="O328" s="208"/>
      <x:c r="P328" s="190"/>
      <x:c r="Q328" s="190"/>
      <x:c r="R328" s="190"/>
      <x:c r="S328" s="190"/>
      <x:c r="T328" s="190"/>
      <x:c r="U328" s="190"/>
      <x:c r="V328" s="212"/>
      <x:c r="W328" s="212"/>
      <x:c r="X328" s="200"/>
      <x:c r="Y328" s="192"/>
      <x:c r="Z328" s="214"/>
      <x:c r="AA328" s="214"/>
      <x:c r="AB328" s="192"/>
      <x:c r="AC328" s="194"/>
      <x:c r="AD328" s="186" t="str">
        <x:f>IF(COUNTA(B328:H328)+COUNTA(J328:AC328)=0,"",IF(OR(B328="",D328="",E328="",G328="",J328=""),"缺少必填项",IF(H328&gt;G328,"完成数大于订单数",IF(AND(X328="",OR(Y328="排队",Y328="生产中",Y328="阻塞",Z328&lt;&gt;"",AA328&lt;&gt;"",AB328="是")),"已有排期字段缺少机台",IF(AND(X328&lt;&gt;"",Y328="待排"),"已填机台但状态为待排",IF(AND(Y328="生产中",AB328&lt;&gt;"是"),"需确认：生产中未锁定","可导入"))))))</x:f>
      </x:c>
    </x:row>
    <x:row r="329" ht="22" customHeight="1">
      <x:c r="A329" s="186" t="str">
        <x:f>IF(B329="","",ROW()-5)</x:f>
      </x:c>
      <x:c r="B329" s="196"/>
      <x:c r="C329" s="198"/>
      <x:c r="D329" s="196"/>
      <x:c r="E329" s="188"/>
      <x:c r="F329" s="198"/>
      <x:c r="G329" s="202"/>
      <x:c r="H329" s="204"/>
      <x:c r="I329" s="206" t="str">
        <x:f>IF(G329="","",MAX(G329-H329,0))</x:f>
      </x:c>
      <x:c r="J329" s="210"/>
      <x:c r="K329" s="190"/>
      <x:c r="L329" s="208"/>
      <x:c r="M329" s="208"/>
      <x:c r="N329" s="208"/>
      <x:c r="O329" s="208"/>
      <x:c r="P329" s="190"/>
      <x:c r="Q329" s="190"/>
      <x:c r="R329" s="190"/>
      <x:c r="S329" s="190"/>
      <x:c r="T329" s="190"/>
      <x:c r="U329" s="190"/>
      <x:c r="V329" s="212"/>
      <x:c r="W329" s="212"/>
      <x:c r="X329" s="200"/>
      <x:c r="Y329" s="192"/>
      <x:c r="Z329" s="214"/>
      <x:c r="AA329" s="214"/>
      <x:c r="AB329" s="192"/>
      <x:c r="AC329" s="194"/>
      <x:c r="AD329" s="186" t="str">
        <x:f>IF(COUNTA(B329:H329)+COUNTA(J329:AC329)=0,"",IF(OR(B329="",D329="",E329="",G329="",J329=""),"缺少必填项",IF(H329&gt;G329,"完成数大于订单数",IF(AND(X329="",OR(Y329="排队",Y329="生产中",Y329="阻塞",Z329&lt;&gt;"",AA329&lt;&gt;"",AB329="是")),"已有排期字段缺少机台",IF(AND(X329&lt;&gt;"",Y329="待排"),"已填机台但状态为待排",IF(AND(Y329="生产中",AB329&lt;&gt;"是"),"需确认：生产中未锁定","可导入"))))))</x:f>
      </x:c>
    </x:row>
    <x:row r="330" ht="22" customHeight="1">
      <x:c r="A330" s="186" t="str">
        <x:f>IF(B330="","",ROW()-5)</x:f>
      </x:c>
      <x:c r="B330" s="196"/>
      <x:c r="C330" s="198"/>
      <x:c r="D330" s="196"/>
      <x:c r="E330" s="188"/>
      <x:c r="F330" s="198"/>
      <x:c r="G330" s="202"/>
      <x:c r="H330" s="204"/>
      <x:c r="I330" s="206" t="str">
        <x:f>IF(G330="","",MAX(G330-H330,0))</x:f>
      </x:c>
      <x:c r="J330" s="210"/>
      <x:c r="K330" s="190"/>
      <x:c r="L330" s="208"/>
      <x:c r="M330" s="208"/>
      <x:c r="N330" s="208"/>
      <x:c r="O330" s="208"/>
      <x:c r="P330" s="190"/>
      <x:c r="Q330" s="190"/>
      <x:c r="R330" s="190"/>
      <x:c r="S330" s="190"/>
      <x:c r="T330" s="190"/>
      <x:c r="U330" s="190"/>
      <x:c r="V330" s="212"/>
      <x:c r="W330" s="212"/>
      <x:c r="X330" s="200"/>
      <x:c r="Y330" s="192"/>
      <x:c r="Z330" s="214"/>
      <x:c r="AA330" s="214"/>
      <x:c r="AB330" s="192"/>
      <x:c r="AC330" s="194"/>
      <x:c r="AD330" s="186" t="str">
        <x:f>IF(COUNTA(B330:H330)+COUNTA(J330:AC330)=0,"",IF(OR(B330="",D330="",E330="",G330="",J330=""),"缺少必填项",IF(H330&gt;G330,"完成数大于订单数",IF(AND(X330="",OR(Y330="排队",Y330="生产中",Y330="阻塞",Z330&lt;&gt;"",AA330&lt;&gt;"",AB330="是")),"已有排期字段缺少机台",IF(AND(X330&lt;&gt;"",Y330="待排"),"已填机台但状态为待排",IF(AND(Y330="生产中",AB330&lt;&gt;"是"),"需确认：生产中未锁定","可导入"))))))</x:f>
      </x:c>
    </x:row>
    <x:row r="331" ht="22" customHeight="1">
      <x:c r="A331" s="186" t="str">
        <x:f>IF(B331="","",ROW()-5)</x:f>
      </x:c>
      <x:c r="B331" s="196"/>
      <x:c r="C331" s="198"/>
      <x:c r="D331" s="196"/>
      <x:c r="E331" s="188"/>
      <x:c r="F331" s="198"/>
      <x:c r="G331" s="202"/>
      <x:c r="H331" s="204"/>
      <x:c r="I331" s="206" t="str">
        <x:f>IF(G331="","",MAX(G331-H331,0))</x:f>
      </x:c>
      <x:c r="J331" s="210"/>
      <x:c r="K331" s="190"/>
      <x:c r="L331" s="208"/>
      <x:c r="M331" s="208"/>
      <x:c r="N331" s="208"/>
      <x:c r="O331" s="208"/>
      <x:c r="P331" s="190"/>
      <x:c r="Q331" s="190"/>
      <x:c r="R331" s="190"/>
      <x:c r="S331" s="190"/>
      <x:c r="T331" s="190"/>
      <x:c r="U331" s="190"/>
      <x:c r="V331" s="212"/>
      <x:c r="W331" s="212"/>
      <x:c r="X331" s="200"/>
      <x:c r="Y331" s="192"/>
      <x:c r="Z331" s="214"/>
      <x:c r="AA331" s="214"/>
      <x:c r="AB331" s="192"/>
      <x:c r="AC331" s="194"/>
      <x:c r="AD331" s="186" t="str">
        <x:f>IF(COUNTA(B331:H331)+COUNTA(J331:AC331)=0,"",IF(OR(B331="",D331="",E331="",G331="",J331=""),"缺少必填项",IF(H331&gt;G331,"完成数大于订单数",IF(AND(X331="",OR(Y331="排队",Y331="生产中",Y331="阻塞",Z331&lt;&gt;"",AA331&lt;&gt;"",AB331="是")),"已有排期字段缺少机台",IF(AND(X331&lt;&gt;"",Y331="待排"),"已填机台但状态为待排",IF(AND(Y331="生产中",AB331&lt;&gt;"是"),"需确认：生产中未锁定","可导入"))))))</x:f>
      </x:c>
    </x:row>
    <x:row r="332" ht="22" customHeight="1">
      <x:c r="A332" s="186" t="str">
        <x:f>IF(B332="","",ROW()-5)</x:f>
      </x:c>
      <x:c r="B332" s="196"/>
      <x:c r="C332" s="198"/>
      <x:c r="D332" s="196"/>
      <x:c r="E332" s="188"/>
      <x:c r="F332" s="198"/>
      <x:c r="G332" s="202"/>
      <x:c r="H332" s="204"/>
      <x:c r="I332" s="206" t="str">
        <x:f>IF(G332="","",MAX(G332-H332,0))</x:f>
      </x:c>
      <x:c r="J332" s="210"/>
      <x:c r="K332" s="190"/>
      <x:c r="L332" s="208"/>
      <x:c r="M332" s="208"/>
      <x:c r="N332" s="208"/>
      <x:c r="O332" s="208"/>
      <x:c r="P332" s="190"/>
      <x:c r="Q332" s="190"/>
      <x:c r="R332" s="190"/>
      <x:c r="S332" s="190"/>
      <x:c r="T332" s="190"/>
      <x:c r="U332" s="190"/>
      <x:c r="V332" s="212"/>
      <x:c r="W332" s="212"/>
      <x:c r="X332" s="200"/>
      <x:c r="Y332" s="192"/>
      <x:c r="Z332" s="214"/>
      <x:c r="AA332" s="214"/>
      <x:c r="AB332" s="192"/>
      <x:c r="AC332" s="194"/>
      <x:c r="AD332" s="186" t="str">
        <x:f>IF(COUNTA(B332:H332)+COUNTA(J332:AC332)=0,"",IF(OR(B332="",D332="",E332="",G332="",J332=""),"缺少必填项",IF(H332&gt;G332,"完成数大于订单数",IF(AND(X332="",OR(Y332="排队",Y332="生产中",Y332="阻塞",Z332&lt;&gt;"",AA332&lt;&gt;"",AB332="是")),"已有排期字段缺少机台",IF(AND(X332&lt;&gt;"",Y332="待排"),"已填机台但状态为待排",IF(AND(Y332="生产中",AB332&lt;&gt;"是"),"需确认：生产中未锁定","可导入"))))))</x:f>
      </x:c>
    </x:row>
    <x:row r="333" ht="22" customHeight="1">
      <x:c r="A333" s="186" t="str">
        <x:f>IF(B333="","",ROW()-5)</x:f>
      </x:c>
      <x:c r="B333" s="196"/>
      <x:c r="C333" s="198"/>
      <x:c r="D333" s="196"/>
      <x:c r="E333" s="188"/>
      <x:c r="F333" s="198"/>
      <x:c r="G333" s="202"/>
      <x:c r="H333" s="204"/>
      <x:c r="I333" s="206" t="str">
        <x:f>IF(G333="","",MAX(G333-H333,0))</x:f>
      </x:c>
      <x:c r="J333" s="210"/>
      <x:c r="K333" s="190"/>
      <x:c r="L333" s="208"/>
      <x:c r="M333" s="208"/>
      <x:c r="N333" s="208"/>
      <x:c r="O333" s="208"/>
      <x:c r="P333" s="190"/>
      <x:c r="Q333" s="190"/>
      <x:c r="R333" s="190"/>
      <x:c r="S333" s="190"/>
      <x:c r="T333" s="190"/>
      <x:c r="U333" s="190"/>
      <x:c r="V333" s="212"/>
      <x:c r="W333" s="212"/>
      <x:c r="X333" s="200"/>
      <x:c r="Y333" s="192"/>
      <x:c r="Z333" s="214"/>
      <x:c r="AA333" s="214"/>
      <x:c r="AB333" s="192"/>
      <x:c r="AC333" s="194"/>
      <x:c r="AD333" s="186" t="str">
        <x:f>IF(COUNTA(B333:H333)+COUNTA(J333:AC333)=0,"",IF(OR(B333="",D333="",E333="",G333="",J333=""),"缺少必填项",IF(H333&gt;G333,"完成数大于订单数",IF(AND(X333="",OR(Y333="排队",Y333="生产中",Y333="阻塞",Z333&lt;&gt;"",AA333&lt;&gt;"",AB333="是")),"已有排期字段缺少机台",IF(AND(X333&lt;&gt;"",Y333="待排"),"已填机台但状态为待排",IF(AND(Y333="生产中",AB333&lt;&gt;"是"),"需确认：生产中未锁定","可导入"))))))</x:f>
      </x:c>
    </x:row>
    <x:row r="334" ht="22" customHeight="1">
      <x:c r="A334" s="186" t="str">
        <x:f>IF(B334="","",ROW()-5)</x:f>
      </x:c>
      <x:c r="B334" s="196"/>
      <x:c r="C334" s="198"/>
      <x:c r="D334" s="196"/>
      <x:c r="E334" s="188"/>
      <x:c r="F334" s="198"/>
      <x:c r="G334" s="202"/>
      <x:c r="H334" s="204"/>
      <x:c r="I334" s="206" t="str">
        <x:f>IF(G334="","",MAX(G334-H334,0))</x:f>
      </x:c>
      <x:c r="J334" s="210"/>
      <x:c r="K334" s="190"/>
      <x:c r="L334" s="208"/>
      <x:c r="M334" s="208"/>
      <x:c r="N334" s="208"/>
      <x:c r="O334" s="208"/>
      <x:c r="P334" s="190"/>
      <x:c r="Q334" s="190"/>
      <x:c r="R334" s="190"/>
      <x:c r="S334" s="190"/>
      <x:c r="T334" s="190"/>
      <x:c r="U334" s="190"/>
      <x:c r="V334" s="212"/>
      <x:c r="W334" s="212"/>
      <x:c r="X334" s="200"/>
      <x:c r="Y334" s="192"/>
      <x:c r="Z334" s="214"/>
      <x:c r="AA334" s="214"/>
      <x:c r="AB334" s="192"/>
      <x:c r="AC334" s="194"/>
      <x:c r="AD334" s="186" t="str">
        <x:f>IF(COUNTA(B334:H334)+COUNTA(J334:AC334)=0,"",IF(OR(B334="",D334="",E334="",G334="",J334=""),"缺少必填项",IF(H334&gt;G334,"完成数大于订单数",IF(AND(X334="",OR(Y334="排队",Y334="生产中",Y334="阻塞",Z334&lt;&gt;"",AA334&lt;&gt;"",AB334="是")),"已有排期字段缺少机台",IF(AND(X334&lt;&gt;"",Y334="待排"),"已填机台但状态为待排",IF(AND(Y334="生产中",AB334&lt;&gt;"是"),"需确认：生产中未锁定","可导入"))))))</x:f>
      </x:c>
    </x:row>
    <x:row r="335" ht="22" customHeight="1">
      <x:c r="A335" s="186" t="str">
        <x:f>IF(B335="","",ROW()-5)</x:f>
      </x:c>
      <x:c r="B335" s="196"/>
      <x:c r="C335" s="198"/>
      <x:c r="D335" s="196"/>
      <x:c r="E335" s="188"/>
      <x:c r="F335" s="198"/>
      <x:c r="G335" s="202"/>
      <x:c r="H335" s="204"/>
      <x:c r="I335" s="206" t="str">
        <x:f>IF(G335="","",MAX(G335-H335,0))</x:f>
      </x:c>
      <x:c r="J335" s="210"/>
      <x:c r="K335" s="190"/>
      <x:c r="L335" s="208"/>
      <x:c r="M335" s="208"/>
      <x:c r="N335" s="208"/>
      <x:c r="O335" s="208"/>
      <x:c r="P335" s="190"/>
      <x:c r="Q335" s="190"/>
      <x:c r="R335" s="190"/>
      <x:c r="S335" s="190"/>
      <x:c r="T335" s="190"/>
      <x:c r="U335" s="190"/>
      <x:c r="V335" s="212"/>
      <x:c r="W335" s="212"/>
      <x:c r="X335" s="200"/>
      <x:c r="Y335" s="192"/>
      <x:c r="Z335" s="214"/>
      <x:c r="AA335" s="214"/>
      <x:c r="AB335" s="192"/>
      <x:c r="AC335" s="194"/>
      <x:c r="AD335" s="186" t="str">
        <x:f>IF(COUNTA(B335:H335)+COUNTA(J335:AC335)=0,"",IF(OR(B335="",D335="",E335="",G335="",J335=""),"缺少必填项",IF(H335&gt;G335,"完成数大于订单数",IF(AND(X335="",OR(Y335="排队",Y335="生产中",Y335="阻塞",Z335&lt;&gt;"",AA335&lt;&gt;"",AB335="是")),"已有排期字段缺少机台",IF(AND(X335&lt;&gt;"",Y335="待排"),"已填机台但状态为待排",IF(AND(Y335="生产中",AB335&lt;&gt;"是"),"需确认：生产中未锁定","可导入"))))))</x:f>
      </x:c>
    </x:row>
    <x:row r="336" ht="22" customHeight="1">
      <x:c r="A336" s="186" t="str">
        <x:f>IF(B336="","",ROW()-5)</x:f>
      </x:c>
      <x:c r="B336" s="196"/>
      <x:c r="C336" s="198"/>
      <x:c r="D336" s="196"/>
      <x:c r="E336" s="188"/>
      <x:c r="F336" s="198"/>
      <x:c r="G336" s="202"/>
      <x:c r="H336" s="204"/>
      <x:c r="I336" s="206" t="str">
        <x:f>IF(G336="","",MAX(G336-H336,0))</x:f>
      </x:c>
      <x:c r="J336" s="210"/>
      <x:c r="K336" s="190"/>
      <x:c r="L336" s="208"/>
      <x:c r="M336" s="208"/>
      <x:c r="N336" s="208"/>
      <x:c r="O336" s="208"/>
      <x:c r="P336" s="190"/>
      <x:c r="Q336" s="190"/>
      <x:c r="R336" s="190"/>
      <x:c r="S336" s="190"/>
      <x:c r="T336" s="190"/>
      <x:c r="U336" s="190"/>
      <x:c r="V336" s="212"/>
      <x:c r="W336" s="212"/>
      <x:c r="X336" s="200"/>
      <x:c r="Y336" s="192"/>
      <x:c r="Z336" s="214"/>
      <x:c r="AA336" s="214"/>
      <x:c r="AB336" s="192"/>
      <x:c r="AC336" s="194"/>
      <x:c r="AD336" s="186" t="str">
        <x:f>IF(COUNTA(B336:H336)+COUNTA(J336:AC336)=0,"",IF(OR(B336="",D336="",E336="",G336="",J336=""),"缺少必填项",IF(H336&gt;G336,"完成数大于订单数",IF(AND(X336="",OR(Y336="排队",Y336="生产中",Y336="阻塞",Z336&lt;&gt;"",AA336&lt;&gt;"",AB336="是")),"已有排期字段缺少机台",IF(AND(X336&lt;&gt;"",Y336="待排"),"已填机台但状态为待排",IF(AND(Y336="生产中",AB336&lt;&gt;"是"),"需确认：生产中未锁定","可导入"))))))</x:f>
      </x:c>
    </x:row>
    <x:row r="337" ht="22" customHeight="1">
      <x:c r="A337" s="186" t="str">
        <x:f>IF(B337="","",ROW()-5)</x:f>
      </x:c>
      <x:c r="B337" s="196"/>
      <x:c r="C337" s="198"/>
      <x:c r="D337" s="196"/>
      <x:c r="E337" s="188"/>
      <x:c r="F337" s="198"/>
      <x:c r="G337" s="202"/>
      <x:c r="H337" s="204"/>
      <x:c r="I337" s="206" t="str">
        <x:f>IF(G337="","",MAX(G337-H337,0))</x:f>
      </x:c>
      <x:c r="J337" s="210"/>
      <x:c r="K337" s="190"/>
      <x:c r="L337" s="208"/>
      <x:c r="M337" s="208"/>
      <x:c r="N337" s="208"/>
      <x:c r="O337" s="208"/>
      <x:c r="P337" s="190"/>
      <x:c r="Q337" s="190"/>
      <x:c r="R337" s="190"/>
      <x:c r="S337" s="190"/>
      <x:c r="T337" s="190"/>
      <x:c r="U337" s="190"/>
      <x:c r="V337" s="212"/>
      <x:c r="W337" s="212"/>
      <x:c r="X337" s="200"/>
      <x:c r="Y337" s="192"/>
      <x:c r="Z337" s="214"/>
      <x:c r="AA337" s="214"/>
      <x:c r="AB337" s="192"/>
      <x:c r="AC337" s="194"/>
      <x:c r="AD337" s="186" t="str">
        <x:f>IF(COUNTA(B337:H337)+COUNTA(J337:AC337)=0,"",IF(OR(B337="",D337="",E337="",G337="",J337=""),"缺少必填项",IF(H337&gt;G337,"完成数大于订单数",IF(AND(X337="",OR(Y337="排队",Y337="生产中",Y337="阻塞",Z337&lt;&gt;"",AA337&lt;&gt;"",AB337="是")),"已有排期字段缺少机台",IF(AND(X337&lt;&gt;"",Y337="待排"),"已填机台但状态为待排",IF(AND(Y337="生产中",AB337&lt;&gt;"是"),"需确认：生产中未锁定","可导入"))))))</x:f>
      </x:c>
    </x:row>
    <x:row r="338" ht="22" customHeight="1">
      <x:c r="A338" s="186" t="str">
        <x:f>IF(B338="","",ROW()-5)</x:f>
      </x:c>
      <x:c r="B338" s="196"/>
      <x:c r="C338" s="198"/>
      <x:c r="D338" s="196"/>
      <x:c r="E338" s="188"/>
      <x:c r="F338" s="198"/>
      <x:c r="G338" s="202"/>
      <x:c r="H338" s="204"/>
      <x:c r="I338" s="206" t="str">
        <x:f>IF(G338="","",MAX(G338-H338,0))</x:f>
      </x:c>
      <x:c r="J338" s="210"/>
      <x:c r="K338" s="190"/>
      <x:c r="L338" s="208"/>
      <x:c r="M338" s="208"/>
      <x:c r="N338" s="208"/>
      <x:c r="O338" s="208"/>
      <x:c r="P338" s="190"/>
      <x:c r="Q338" s="190"/>
      <x:c r="R338" s="190"/>
      <x:c r="S338" s="190"/>
      <x:c r="T338" s="190"/>
      <x:c r="U338" s="190"/>
      <x:c r="V338" s="212"/>
      <x:c r="W338" s="212"/>
      <x:c r="X338" s="200"/>
      <x:c r="Y338" s="192"/>
      <x:c r="Z338" s="214"/>
      <x:c r="AA338" s="214"/>
      <x:c r="AB338" s="192"/>
      <x:c r="AC338" s="194"/>
      <x:c r="AD338" s="186" t="str">
        <x:f>IF(COUNTA(B338:H338)+COUNTA(J338:AC338)=0,"",IF(OR(B338="",D338="",E338="",G338="",J338=""),"缺少必填项",IF(H338&gt;G338,"完成数大于订单数",IF(AND(X338="",OR(Y338="排队",Y338="生产中",Y338="阻塞",Z338&lt;&gt;"",AA338&lt;&gt;"",AB338="是")),"已有排期字段缺少机台",IF(AND(X338&lt;&gt;"",Y338="待排"),"已填机台但状态为待排",IF(AND(Y338="生产中",AB338&lt;&gt;"是"),"需确认：生产中未锁定","可导入"))))))</x:f>
      </x:c>
    </x:row>
    <x:row r="339" ht="22" customHeight="1">
      <x:c r="A339" s="186" t="str">
        <x:f>IF(B339="","",ROW()-5)</x:f>
      </x:c>
      <x:c r="B339" s="196"/>
      <x:c r="C339" s="198"/>
      <x:c r="D339" s="196"/>
      <x:c r="E339" s="188"/>
      <x:c r="F339" s="198"/>
      <x:c r="G339" s="202"/>
      <x:c r="H339" s="204"/>
      <x:c r="I339" s="206" t="str">
        <x:f>IF(G339="","",MAX(G339-H339,0))</x:f>
      </x:c>
      <x:c r="J339" s="210"/>
      <x:c r="K339" s="190"/>
      <x:c r="L339" s="208"/>
      <x:c r="M339" s="208"/>
      <x:c r="N339" s="208"/>
      <x:c r="O339" s="208"/>
      <x:c r="P339" s="190"/>
      <x:c r="Q339" s="190"/>
      <x:c r="R339" s="190"/>
      <x:c r="S339" s="190"/>
      <x:c r="T339" s="190"/>
      <x:c r="U339" s="190"/>
      <x:c r="V339" s="212"/>
      <x:c r="W339" s="212"/>
      <x:c r="X339" s="200"/>
      <x:c r="Y339" s="192"/>
      <x:c r="Z339" s="214"/>
      <x:c r="AA339" s="214"/>
      <x:c r="AB339" s="192"/>
      <x:c r="AC339" s="194"/>
      <x:c r="AD339" s="186" t="str">
        <x:f>IF(COUNTA(B339:H339)+COUNTA(J339:AC339)=0,"",IF(OR(B339="",D339="",E339="",G339="",J339=""),"缺少必填项",IF(H339&gt;G339,"完成数大于订单数",IF(AND(X339="",OR(Y339="排队",Y339="生产中",Y339="阻塞",Z339&lt;&gt;"",AA339&lt;&gt;"",AB339="是")),"已有排期字段缺少机台",IF(AND(X339&lt;&gt;"",Y339="待排"),"已填机台但状态为待排",IF(AND(Y339="生产中",AB339&lt;&gt;"是"),"需确认：生产中未锁定","可导入"))))))</x:f>
      </x:c>
    </x:row>
    <x:row r="340" ht="22" customHeight="1">
      <x:c r="A340" s="186" t="str">
        <x:f>IF(B340="","",ROW()-5)</x:f>
      </x:c>
      <x:c r="B340" s="196"/>
      <x:c r="C340" s="198"/>
      <x:c r="D340" s="196"/>
      <x:c r="E340" s="188"/>
      <x:c r="F340" s="198"/>
      <x:c r="G340" s="202"/>
      <x:c r="H340" s="204"/>
      <x:c r="I340" s="206" t="str">
        <x:f>IF(G340="","",MAX(G340-H340,0))</x:f>
      </x:c>
      <x:c r="J340" s="210"/>
      <x:c r="K340" s="190"/>
      <x:c r="L340" s="208"/>
      <x:c r="M340" s="208"/>
      <x:c r="N340" s="208"/>
      <x:c r="O340" s="208"/>
      <x:c r="P340" s="190"/>
      <x:c r="Q340" s="190"/>
      <x:c r="R340" s="190"/>
      <x:c r="S340" s="190"/>
      <x:c r="T340" s="190"/>
      <x:c r="U340" s="190"/>
      <x:c r="V340" s="212"/>
      <x:c r="W340" s="212"/>
      <x:c r="X340" s="200"/>
      <x:c r="Y340" s="192"/>
      <x:c r="Z340" s="214"/>
      <x:c r="AA340" s="214"/>
      <x:c r="AB340" s="192"/>
      <x:c r="AC340" s="194"/>
      <x:c r="AD340" s="186" t="str">
        <x:f>IF(COUNTA(B340:H340)+COUNTA(J340:AC340)=0,"",IF(OR(B340="",D340="",E340="",G340="",J340=""),"缺少必填项",IF(H340&gt;G340,"完成数大于订单数",IF(AND(X340="",OR(Y340="排队",Y340="生产中",Y340="阻塞",Z340&lt;&gt;"",AA340&lt;&gt;"",AB340="是")),"已有排期字段缺少机台",IF(AND(X340&lt;&gt;"",Y340="待排"),"已填机台但状态为待排",IF(AND(Y340="生产中",AB340&lt;&gt;"是"),"需确认：生产中未锁定","可导入"))))))</x:f>
      </x:c>
    </x:row>
    <x:row r="341" ht="22" customHeight="1">
      <x:c r="A341" s="186" t="str">
        <x:f>IF(B341="","",ROW()-5)</x:f>
      </x:c>
      <x:c r="B341" s="196"/>
      <x:c r="C341" s="198"/>
      <x:c r="D341" s="196"/>
      <x:c r="E341" s="188"/>
      <x:c r="F341" s="198"/>
      <x:c r="G341" s="202"/>
      <x:c r="H341" s="204"/>
      <x:c r="I341" s="206" t="str">
        <x:f>IF(G341="","",MAX(G341-H341,0))</x:f>
      </x:c>
      <x:c r="J341" s="210"/>
      <x:c r="K341" s="190"/>
      <x:c r="L341" s="208"/>
      <x:c r="M341" s="208"/>
      <x:c r="N341" s="208"/>
      <x:c r="O341" s="208"/>
      <x:c r="P341" s="190"/>
      <x:c r="Q341" s="190"/>
      <x:c r="R341" s="190"/>
      <x:c r="S341" s="190"/>
      <x:c r="T341" s="190"/>
      <x:c r="U341" s="190"/>
      <x:c r="V341" s="212"/>
      <x:c r="W341" s="212"/>
      <x:c r="X341" s="200"/>
      <x:c r="Y341" s="192"/>
      <x:c r="Z341" s="214"/>
      <x:c r="AA341" s="214"/>
      <x:c r="AB341" s="192"/>
      <x:c r="AC341" s="194"/>
      <x:c r="AD341" s="186" t="str">
        <x:f>IF(COUNTA(B341:H341)+COUNTA(J341:AC341)=0,"",IF(OR(B341="",D341="",E341="",G341="",J341=""),"缺少必填项",IF(H341&gt;G341,"完成数大于订单数",IF(AND(X341="",OR(Y341="排队",Y341="生产中",Y341="阻塞",Z341&lt;&gt;"",AA341&lt;&gt;"",AB341="是")),"已有排期字段缺少机台",IF(AND(X341&lt;&gt;"",Y341="待排"),"已填机台但状态为待排",IF(AND(Y341="生产中",AB341&lt;&gt;"是"),"需确认：生产中未锁定","可导入"))))))</x:f>
      </x:c>
    </x:row>
    <x:row r="342" ht="22" customHeight="1">
      <x:c r="A342" s="186" t="str">
        <x:f>IF(B342="","",ROW()-5)</x:f>
      </x:c>
      <x:c r="B342" s="196"/>
      <x:c r="C342" s="198"/>
      <x:c r="D342" s="196"/>
      <x:c r="E342" s="188"/>
      <x:c r="F342" s="198"/>
      <x:c r="G342" s="202"/>
      <x:c r="H342" s="204"/>
      <x:c r="I342" s="206" t="str">
        <x:f>IF(G342="","",MAX(G342-H342,0))</x:f>
      </x:c>
      <x:c r="J342" s="210"/>
      <x:c r="K342" s="190"/>
      <x:c r="L342" s="208"/>
      <x:c r="M342" s="208"/>
      <x:c r="N342" s="208"/>
      <x:c r="O342" s="208"/>
      <x:c r="P342" s="190"/>
      <x:c r="Q342" s="190"/>
      <x:c r="R342" s="190"/>
      <x:c r="S342" s="190"/>
      <x:c r="T342" s="190"/>
      <x:c r="U342" s="190"/>
      <x:c r="V342" s="212"/>
      <x:c r="W342" s="212"/>
      <x:c r="X342" s="200"/>
      <x:c r="Y342" s="192"/>
      <x:c r="Z342" s="214"/>
      <x:c r="AA342" s="214"/>
      <x:c r="AB342" s="192"/>
      <x:c r="AC342" s="194"/>
      <x:c r="AD342" s="186" t="str">
        <x:f>IF(COUNTA(B342:H342)+COUNTA(J342:AC342)=0,"",IF(OR(B342="",D342="",E342="",G342="",J342=""),"缺少必填项",IF(H342&gt;G342,"完成数大于订单数",IF(AND(X342="",OR(Y342="排队",Y342="生产中",Y342="阻塞",Z342&lt;&gt;"",AA342&lt;&gt;"",AB342="是")),"已有排期字段缺少机台",IF(AND(X342&lt;&gt;"",Y342="待排"),"已填机台但状态为待排",IF(AND(Y342="生产中",AB342&lt;&gt;"是"),"需确认：生产中未锁定","可导入"))))))</x:f>
      </x:c>
    </x:row>
    <x:row r="343" ht="22" customHeight="1">
      <x:c r="A343" s="186" t="str">
        <x:f>IF(B343="","",ROW()-5)</x:f>
      </x:c>
      <x:c r="B343" s="196"/>
      <x:c r="C343" s="198"/>
      <x:c r="D343" s="196"/>
      <x:c r="E343" s="188"/>
      <x:c r="F343" s="198"/>
      <x:c r="G343" s="202"/>
      <x:c r="H343" s="204"/>
      <x:c r="I343" s="206" t="str">
        <x:f>IF(G343="","",MAX(G343-H343,0))</x:f>
      </x:c>
      <x:c r="J343" s="210"/>
      <x:c r="K343" s="190"/>
      <x:c r="L343" s="208"/>
      <x:c r="M343" s="208"/>
      <x:c r="N343" s="208"/>
      <x:c r="O343" s="208"/>
      <x:c r="P343" s="190"/>
      <x:c r="Q343" s="190"/>
      <x:c r="R343" s="190"/>
      <x:c r="S343" s="190"/>
      <x:c r="T343" s="190"/>
      <x:c r="U343" s="190"/>
      <x:c r="V343" s="212"/>
      <x:c r="W343" s="212"/>
      <x:c r="X343" s="200"/>
      <x:c r="Y343" s="192"/>
      <x:c r="Z343" s="214"/>
      <x:c r="AA343" s="214"/>
      <x:c r="AB343" s="192"/>
      <x:c r="AC343" s="194"/>
      <x:c r="AD343" s="186" t="str">
        <x:f>IF(COUNTA(B343:H343)+COUNTA(J343:AC343)=0,"",IF(OR(B343="",D343="",E343="",G343="",J343=""),"缺少必填项",IF(H343&gt;G343,"完成数大于订单数",IF(AND(X343="",OR(Y343="排队",Y343="生产中",Y343="阻塞",Z343&lt;&gt;"",AA343&lt;&gt;"",AB343="是")),"已有排期字段缺少机台",IF(AND(X343&lt;&gt;"",Y343="待排"),"已填机台但状态为待排",IF(AND(Y343="生产中",AB343&lt;&gt;"是"),"需确认：生产中未锁定","可导入"))))))</x:f>
      </x:c>
    </x:row>
    <x:row r="344" ht="22" customHeight="1">
      <x:c r="A344" s="186" t="str">
        <x:f>IF(B344="","",ROW()-5)</x:f>
      </x:c>
      <x:c r="B344" s="196"/>
      <x:c r="C344" s="198"/>
      <x:c r="D344" s="196"/>
      <x:c r="E344" s="188"/>
      <x:c r="F344" s="198"/>
      <x:c r="G344" s="202"/>
      <x:c r="H344" s="204"/>
      <x:c r="I344" s="206" t="str">
        <x:f>IF(G344="","",MAX(G344-H344,0))</x:f>
      </x:c>
      <x:c r="J344" s="210"/>
      <x:c r="K344" s="190"/>
      <x:c r="L344" s="208"/>
      <x:c r="M344" s="208"/>
      <x:c r="N344" s="208"/>
      <x:c r="O344" s="208"/>
      <x:c r="P344" s="190"/>
      <x:c r="Q344" s="190"/>
      <x:c r="R344" s="190"/>
      <x:c r="S344" s="190"/>
      <x:c r="T344" s="190"/>
      <x:c r="U344" s="190"/>
      <x:c r="V344" s="212"/>
      <x:c r="W344" s="212"/>
      <x:c r="X344" s="200"/>
      <x:c r="Y344" s="192"/>
      <x:c r="Z344" s="214"/>
      <x:c r="AA344" s="214"/>
      <x:c r="AB344" s="192"/>
      <x:c r="AC344" s="194"/>
      <x:c r="AD344" s="186" t="str">
        <x:f>IF(COUNTA(B344:H344)+COUNTA(J344:AC344)=0,"",IF(OR(B344="",D344="",E344="",G344="",J344=""),"缺少必填项",IF(H344&gt;G344,"完成数大于订单数",IF(AND(X344="",OR(Y344="排队",Y344="生产中",Y344="阻塞",Z344&lt;&gt;"",AA344&lt;&gt;"",AB344="是")),"已有排期字段缺少机台",IF(AND(X344&lt;&gt;"",Y344="待排"),"已填机台但状态为待排",IF(AND(Y344="生产中",AB344&lt;&gt;"是"),"需确认：生产中未锁定","可导入"))))))</x:f>
      </x:c>
    </x:row>
    <x:row r="345" ht="22" customHeight="1">
      <x:c r="A345" s="186" t="str">
        <x:f>IF(B345="","",ROW()-5)</x:f>
      </x:c>
      <x:c r="B345" s="196"/>
      <x:c r="C345" s="198"/>
      <x:c r="D345" s="196"/>
      <x:c r="E345" s="188"/>
      <x:c r="F345" s="198"/>
      <x:c r="G345" s="202"/>
      <x:c r="H345" s="204"/>
      <x:c r="I345" s="206" t="str">
        <x:f>IF(G345="","",MAX(G345-H345,0))</x:f>
      </x:c>
      <x:c r="J345" s="210"/>
      <x:c r="K345" s="190"/>
      <x:c r="L345" s="208"/>
      <x:c r="M345" s="208"/>
      <x:c r="N345" s="208"/>
      <x:c r="O345" s="208"/>
      <x:c r="P345" s="190"/>
      <x:c r="Q345" s="190"/>
      <x:c r="R345" s="190"/>
      <x:c r="S345" s="190"/>
      <x:c r="T345" s="190"/>
      <x:c r="U345" s="190"/>
      <x:c r="V345" s="212"/>
      <x:c r="W345" s="212"/>
      <x:c r="X345" s="200"/>
      <x:c r="Y345" s="192"/>
      <x:c r="Z345" s="214"/>
      <x:c r="AA345" s="214"/>
      <x:c r="AB345" s="192"/>
      <x:c r="AC345" s="194"/>
      <x:c r="AD345" s="186" t="str">
        <x:f>IF(COUNTA(B345:H345)+COUNTA(J345:AC345)=0,"",IF(OR(B345="",D345="",E345="",G345="",J345=""),"缺少必填项",IF(H345&gt;G345,"完成数大于订单数",IF(AND(X345="",OR(Y345="排队",Y345="生产中",Y345="阻塞",Z345&lt;&gt;"",AA345&lt;&gt;"",AB345="是")),"已有排期字段缺少机台",IF(AND(X345&lt;&gt;"",Y345="待排"),"已填机台但状态为待排",IF(AND(Y345="生产中",AB345&lt;&gt;"是"),"需确认：生产中未锁定","可导入"))))))</x:f>
      </x:c>
    </x:row>
    <x:row r="346" ht="22" customHeight="1">
      <x:c r="A346" s="186" t="str">
        <x:f>IF(B346="","",ROW()-5)</x:f>
      </x:c>
      <x:c r="B346" s="196"/>
      <x:c r="C346" s="198"/>
      <x:c r="D346" s="196"/>
      <x:c r="E346" s="188"/>
      <x:c r="F346" s="198"/>
      <x:c r="G346" s="202"/>
      <x:c r="H346" s="204"/>
      <x:c r="I346" s="206" t="str">
        <x:f>IF(G346="","",MAX(G346-H346,0))</x:f>
      </x:c>
      <x:c r="J346" s="210"/>
      <x:c r="K346" s="190"/>
      <x:c r="L346" s="208"/>
      <x:c r="M346" s="208"/>
      <x:c r="N346" s="208"/>
      <x:c r="O346" s="208"/>
      <x:c r="P346" s="190"/>
      <x:c r="Q346" s="190"/>
      <x:c r="R346" s="190"/>
      <x:c r="S346" s="190"/>
      <x:c r="T346" s="190"/>
      <x:c r="U346" s="190"/>
      <x:c r="V346" s="212"/>
      <x:c r="W346" s="212"/>
      <x:c r="X346" s="200"/>
      <x:c r="Y346" s="192"/>
      <x:c r="Z346" s="214"/>
      <x:c r="AA346" s="214"/>
      <x:c r="AB346" s="192"/>
      <x:c r="AC346" s="194"/>
      <x:c r="AD346" s="186" t="str">
        <x:f>IF(COUNTA(B346:H346)+COUNTA(J346:AC346)=0,"",IF(OR(B346="",D346="",E346="",G346="",J346=""),"缺少必填项",IF(H346&gt;G346,"完成数大于订单数",IF(AND(X346="",OR(Y346="排队",Y346="生产中",Y346="阻塞",Z346&lt;&gt;"",AA346&lt;&gt;"",AB346="是")),"已有排期字段缺少机台",IF(AND(X346&lt;&gt;"",Y346="待排"),"已填机台但状态为待排",IF(AND(Y346="生产中",AB346&lt;&gt;"是"),"需确认：生产中未锁定","可导入"))))))</x:f>
      </x:c>
    </x:row>
    <x:row r="347" ht="22" customHeight="1">
      <x:c r="A347" s="186" t="str">
        <x:f>IF(B347="","",ROW()-5)</x:f>
      </x:c>
      <x:c r="B347" s="196"/>
      <x:c r="C347" s="198"/>
      <x:c r="D347" s="196"/>
      <x:c r="E347" s="188"/>
      <x:c r="F347" s="198"/>
      <x:c r="G347" s="202"/>
      <x:c r="H347" s="204"/>
      <x:c r="I347" s="206" t="str">
        <x:f>IF(G347="","",MAX(G347-H347,0))</x:f>
      </x:c>
      <x:c r="J347" s="210"/>
      <x:c r="K347" s="190"/>
      <x:c r="L347" s="208"/>
      <x:c r="M347" s="208"/>
      <x:c r="N347" s="208"/>
      <x:c r="O347" s="208"/>
      <x:c r="P347" s="190"/>
      <x:c r="Q347" s="190"/>
      <x:c r="R347" s="190"/>
      <x:c r="S347" s="190"/>
      <x:c r="T347" s="190"/>
      <x:c r="U347" s="190"/>
      <x:c r="V347" s="212"/>
      <x:c r="W347" s="212"/>
      <x:c r="X347" s="200"/>
      <x:c r="Y347" s="192"/>
      <x:c r="Z347" s="214"/>
      <x:c r="AA347" s="214"/>
      <x:c r="AB347" s="192"/>
      <x:c r="AC347" s="194"/>
      <x:c r="AD347" s="186" t="str">
        <x:f>IF(COUNTA(B347:H347)+COUNTA(J347:AC347)=0,"",IF(OR(B347="",D347="",E347="",G347="",J347=""),"缺少必填项",IF(H347&gt;G347,"完成数大于订单数",IF(AND(X347="",OR(Y347="排队",Y347="生产中",Y347="阻塞",Z347&lt;&gt;"",AA347&lt;&gt;"",AB347="是")),"已有排期字段缺少机台",IF(AND(X347&lt;&gt;"",Y347="待排"),"已填机台但状态为待排",IF(AND(Y347="生产中",AB347&lt;&gt;"是"),"需确认：生产中未锁定","可导入"))))))</x:f>
      </x:c>
    </x:row>
    <x:row r="348" ht="22" customHeight="1">
      <x:c r="A348" s="186" t="str">
        <x:f>IF(B348="","",ROW()-5)</x:f>
      </x:c>
      <x:c r="B348" s="196"/>
      <x:c r="C348" s="198"/>
      <x:c r="D348" s="196"/>
      <x:c r="E348" s="188"/>
      <x:c r="F348" s="198"/>
      <x:c r="G348" s="202"/>
      <x:c r="H348" s="204"/>
      <x:c r="I348" s="206" t="str">
        <x:f>IF(G348="","",MAX(G348-H348,0))</x:f>
      </x:c>
      <x:c r="J348" s="210"/>
      <x:c r="K348" s="190"/>
      <x:c r="L348" s="208"/>
      <x:c r="M348" s="208"/>
      <x:c r="N348" s="208"/>
      <x:c r="O348" s="208"/>
      <x:c r="P348" s="190"/>
      <x:c r="Q348" s="190"/>
      <x:c r="R348" s="190"/>
      <x:c r="S348" s="190"/>
      <x:c r="T348" s="190"/>
      <x:c r="U348" s="190"/>
      <x:c r="V348" s="212"/>
      <x:c r="W348" s="212"/>
      <x:c r="X348" s="200"/>
      <x:c r="Y348" s="192"/>
      <x:c r="Z348" s="214"/>
      <x:c r="AA348" s="214"/>
      <x:c r="AB348" s="192"/>
      <x:c r="AC348" s="194"/>
      <x:c r="AD348" s="186" t="str">
        <x:f>IF(COUNTA(B348:H348)+COUNTA(J348:AC348)=0,"",IF(OR(B348="",D348="",E348="",G348="",J348=""),"缺少必填项",IF(H348&gt;G348,"完成数大于订单数",IF(AND(X348="",OR(Y348="排队",Y348="生产中",Y348="阻塞",Z348&lt;&gt;"",AA348&lt;&gt;"",AB348="是")),"已有排期字段缺少机台",IF(AND(X348&lt;&gt;"",Y348="待排"),"已填机台但状态为待排",IF(AND(Y348="生产中",AB348&lt;&gt;"是"),"需确认：生产中未锁定","可导入"))))))</x:f>
      </x:c>
    </x:row>
    <x:row r="349" ht="22" customHeight="1">
      <x:c r="A349" s="186" t="str">
        <x:f>IF(B349="","",ROW()-5)</x:f>
      </x:c>
      <x:c r="B349" s="196"/>
      <x:c r="C349" s="198"/>
      <x:c r="D349" s="196"/>
      <x:c r="E349" s="188"/>
      <x:c r="F349" s="198"/>
      <x:c r="G349" s="202"/>
      <x:c r="H349" s="204"/>
      <x:c r="I349" s="206" t="str">
        <x:f>IF(G349="","",MAX(G349-H349,0))</x:f>
      </x:c>
      <x:c r="J349" s="210"/>
      <x:c r="K349" s="190"/>
      <x:c r="L349" s="208"/>
      <x:c r="M349" s="208"/>
      <x:c r="N349" s="208"/>
      <x:c r="O349" s="208"/>
      <x:c r="P349" s="190"/>
      <x:c r="Q349" s="190"/>
      <x:c r="R349" s="190"/>
      <x:c r="S349" s="190"/>
      <x:c r="T349" s="190"/>
      <x:c r="U349" s="190"/>
      <x:c r="V349" s="212"/>
      <x:c r="W349" s="212"/>
      <x:c r="X349" s="200"/>
      <x:c r="Y349" s="192"/>
      <x:c r="Z349" s="214"/>
      <x:c r="AA349" s="214"/>
      <x:c r="AB349" s="192"/>
      <x:c r="AC349" s="194"/>
      <x:c r="AD349" s="186" t="str">
        <x:f>IF(COUNTA(B349:H349)+COUNTA(J349:AC349)=0,"",IF(OR(B349="",D349="",E349="",G349="",J349=""),"缺少必填项",IF(H349&gt;G349,"完成数大于订单数",IF(AND(X349="",OR(Y349="排队",Y349="生产中",Y349="阻塞",Z349&lt;&gt;"",AA349&lt;&gt;"",AB349="是")),"已有排期字段缺少机台",IF(AND(X349&lt;&gt;"",Y349="待排"),"已填机台但状态为待排",IF(AND(Y349="生产中",AB349&lt;&gt;"是"),"需确认：生产中未锁定","可导入"))))))</x:f>
      </x:c>
    </x:row>
    <x:row r="350" ht="22" customHeight="1">
      <x:c r="A350" s="186" t="str">
        <x:f>IF(B350="","",ROW()-5)</x:f>
      </x:c>
      <x:c r="B350" s="196"/>
      <x:c r="C350" s="198"/>
      <x:c r="D350" s="196"/>
      <x:c r="E350" s="188"/>
      <x:c r="F350" s="198"/>
      <x:c r="G350" s="202"/>
      <x:c r="H350" s="204"/>
      <x:c r="I350" s="206" t="str">
        <x:f>IF(G350="","",MAX(G350-H350,0))</x:f>
      </x:c>
      <x:c r="J350" s="210"/>
      <x:c r="K350" s="190"/>
      <x:c r="L350" s="208"/>
      <x:c r="M350" s="208"/>
      <x:c r="N350" s="208"/>
      <x:c r="O350" s="208"/>
      <x:c r="P350" s="190"/>
      <x:c r="Q350" s="190"/>
      <x:c r="R350" s="190"/>
      <x:c r="S350" s="190"/>
      <x:c r="T350" s="190"/>
      <x:c r="U350" s="190"/>
      <x:c r="V350" s="212"/>
      <x:c r="W350" s="212"/>
      <x:c r="X350" s="200"/>
      <x:c r="Y350" s="192"/>
      <x:c r="Z350" s="214"/>
      <x:c r="AA350" s="214"/>
      <x:c r="AB350" s="192"/>
      <x:c r="AC350" s="194"/>
      <x:c r="AD350" s="186" t="str">
        <x:f>IF(COUNTA(B350:H350)+COUNTA(J350:AC350)=0,"",IF(OR(B350="",D350="",E350="",G350="",J350=""),"缺少必填项",IF(H350&gt;G350,"完成数大于订单数",IF(AND(X350="",OR(Y350="排队",Y350="生产中",Y350="阻塞",Z350&lt;&gt;"",AA350&lt;&gt;"",AB350="是")),"已有排期字段缺少机台",IF(AND(X350&lt;&gt;"",Y350="待排"),"已填机台但状态为待排",IF(AND(Y350="生产中",AB350&lt;&gt;"是"),"需确认：生产中未锁定","可导入"))))))</x:f>
      </x:c>
    </x:row>
    <x:row r="351" ht="22" customHeight="1">
      <x:c r="A351" s="186" t="str">
        <x:f>IF(B351="","",ROW()-5)</x:f>
      </x:c>
      <x:c r="B351" s="196"/>
      <x:c r="C351" s="198"/>
      <x:c r="D351" s="196"/>
      <x:c r="E351" s="188"/>
      <x:c r="F351" s="198"/>
      <x:c r="G351" s="202"/>
      <x:c r="H351" s="204"/>
      <x:c r="I351" s="206" t="str">
        <x:f>IF(G351="","",MAX(G351-H351,0))</x:f>
      </x:c>
      <x:c r="J351" s="210"/>
      <x:c r="K351" s="190"/>
      <x:c r="L351" s="208"/>
      <x:c r="M351" s="208"/>
      <x:c r="N351" s="208"/>
      <x:c r="O351" s="208"/>
      <x:c r="P351" s="190"/>
      <x:c r="Q351" s="190"/>
      <x:c r="R351" s="190"/>
      <x:c r="S351" s="190"/>
      <x:c r="T351" s="190"/>
      <x:c r="U351" s="190"/>
      <x:c r="V351" s="212"/>
      <x:c r="W351" s="212"/>
      <x:c r="X351" s="200"/>
      <x:c r="Y351" s="192"/>
      <x:c r="Z351" s="214"/>
      <x:c r="AA351" s="214"/>
      <x:c r="AB351" s="192"/>
      <x:c r="AC351" s="194"/>
      <x:c r="AD351" s="186" t="str">
        <x:f>IF(COUNTA(B351:H351)+COUNTA(J351:AC351)=0,"",IF(OR(B351="",D351="",E351="",G351="",J351=""),"缺少必填项",IF(H351&gt;G351,"完成数大于订单数",IF(AND(X351="",OR(Y351="排队",Y351="生产中",Y351="阻塞",Z351&lt;&gt;"",AA351&lt;&gt;"",AB351="是")),"已有排期字段缺少机台",IF(AND(X351&lt;&gt;"",Y351="待排"),"已填机台但状态为待排",IF(AND(Y351="生产中",AB351&lt;&gt;"是"),"需确认：生产中未锁定","可导入"))))))</x:f>
      </x:c>
    </x:row>
    <x:row r="352" ht="22" customHeight="1">
      <x:c r="A352" s="186" t="str">
        <x:f>IF(B352="","",ROW()-5)</x:f>
      </x:c>
      <x:c r="B352" s="196"/>
      <x:c r="C352" s="198"/>
      <x:c r="D352" s="196"/>
      <x:c r="E352" s="188"/>
      <x:c r="F352" s="198"/>
      <x:c r="G352" s="202"/>
      <x:c r="H352" s="204"/>
      <x:c r="I352" s="206" t="str">
        <x:f>IF(G352="","",MAX(G352-H352,0))</x:f>
      </x:c>
      <x:c r="J352" s="210"/>
      <x:c r="K352" s="190"/>
      <x:c r="L352" s="208"/>
      <x:c r="M352" s="208"/>
      <x:c r="N352" s="208"/>
      <x:c r="O352" s="208"/>
      <x:c r="P352" s="190"/>
      <x:c r="Q352" s="190"/>
      <x:c r="R352" s="190"/>
      <x:c r="S352" s="190"/>
      <x:c r="T352" s="190"/>
      <x:c r="U352" s="190"/>
      <x:c r="V352" s="212"/>
      <x:c r="W352" s="212"/>
      <x:c r="X352" s="200"/>
      <x:c r="Y352" s="192"/>
      <x:c r="Z352" s="214"/>
      <x:c r="AA352" s="214"/>
      <x:c r="AB352" s="192"/>
      <x:c r="AC352" s="194"/>
      <x:c r="AD352" s="186" t="str">
        <x:f>IF(COUNTA(B352:H352)+COUNTA(J352:AC352)=0,"",IF(OR(B352="",D352="",E352="",G352="",J352=""),"缺少必填项",IF(H352&gt;G352,"完成数大于订单数",IF(AND(X352="",OR(Y352="排队",Y352="生产中",Y352="阻塞",Z352&lt;&gt;"",AA352&lt;&gt;"",AB352="是")),"已有排期字段缺少机台",IF(AND(X352&lt;&gt;"",Y352="待排"),"已填机台但状态为待排",IF(AND(Y352="生产中",AB352&lt;&gt;"是"),"需确认：生产中未锁定","可导入"))))))</x:f>
      </x:c>
    </x:row>
    <x:row r="353" ht="22" customHeight="1">
      <x:c r="A353" s="186" t="str">
        <x:f>IF(B353="","",ROW()-5)</x:f>
      </x:c>
      <x:c r="B353" s="196"/>
      <x:c r="C353" s="198"/>
      <x:c r="D353" s="196"/>
      <x:c r="E353" s="188"/>
      <x:c r="F353" s="198"/>
      <x:c r="G353" s="202"/>
      <x:c r="H353" s="204"/>
      <x:c r="I353" s="206" t="str">
        <x:f>IF(G353="","",MAX(G353-H353,0))</x:f>
      </x:c>
      <x:c r="J353" s="210"/>
      <x:c r="K353" s="190"/>
      <x:c r="L353" s="208"/>
      <x:c r="M353" s="208"/>
      <x:c r="N353" s="208"/>
      <x:c r="O353" s="208"/>
      <x:c r="P353" s="190"/>
      <x:c r="Q353" s="190"/>
      <x:c r="R353" s="190"/>
      <x:c r="S353" s="190"/>
      <x:c r="T353" s="190"/>
      <x:c r="U353" s="190"/>
      <x:c r="V353" s="212"/>
      <x:c r="W353" s="212"/>
      <x:c r="X353" s="200"/>
      <x:c r="Y353" s="192"/>
      <x:c r="Z353" s="214"/>
      <x:c r="AA353" s="214"/>
      <x:c r="AB353" s="192"/>
      <x:c r="AC353" s="194"/>
      <x:c r="AD353" s="186" t="str">
        <x:f>IF(COUNTA(B353:H353)+COUNTA(J353:AC353)=0,"",IF(OR(B353="",D353="",E353="",G353="",J353=""),"缺少必填项",IF(H353&gt;G353,"完成数大于订单数",IF(AND(X353="",OR(Y353="排队",Y353="生产中",Y353="阻塞",Z353&lt;&gt;"",AA353&lt;&gt;"",AB353="是")),"已有排期字段缺少机台",IF(AND(X353&lt;&gt;"",Y353="待排"),"已填机台但状态为待排",IF(AND(Y353="生产中",AB353&lt;&gt;"是"),"需确认：生产中未锁定","可导入"))))))</x:f>
      </x:c>
    </x:row>
    <x:row r="354" ht="22" customHeight="1">
      <x:c r="A354" s="186" t="str">
        <x:f>IF(B354="","",ROW()-5)</x:f>
      </x:c>
      <x:c r="B354" s="196"/>
      <x:c r="C354" s="198"/>
      <x:c r="D354" s="196"/>
      <x:c r="E354" s="188"/>
      <x:c r="F354" s="198"/>
      <x:c r="G354" s="202"/>
      <x:c r="H354" s="204"/>
      <x:c r="I354" s="206" t="str">
        <x:f>IF(G354="","",MAX(G354-H354,0))</x:f>
      </x:c>
      <x:c r="J354" s="210"/>
      <x:c r="K354" s="190"/>
      <x:c r="L354" s="208"/>
      <x:c r="M354" s="208"/>
      <x:c r="N354" s="208"/>
      <x:c r="O354" s="208"/>
      <x:c r="P354" s="190"/>
      <x:c r="Q354" s="190"/>
      <x:c r="R354" s="190"/>
      <x:c r="S354" s="190"/>
      <x:c r="T354" s="190"/>
      <x:c r="U354" s="190"/>
      <x:c r="V354" s="212"/>
      <x:c r="W354" s="212"/>
      <x:c r="X354" s="200"/>
      <x:c r="Y354" s="192"/>
      <x:c r="Z354" s="214"/>
      <x:c r="AA354" s="214"/>
      <x:c r="AB354" s="192"/>
      <x:c r="AC354" s="194"/>
      <x:c r="AD354" s="186" t="str">
        <x:f>IF(COUNTA(B354:H354)+COUNTA(J354:AC354)=0,"",IF(OR(B354="",D354="",E354="",G354="",J354=""),"缺少必填项",IF(H354&gt;G354,"完成数大于订单数",IF(AND(X354="",OR(Y354="排队",Y354="生产中",Y354="阻塞",Z354&lt;&gt;"",AA354&lt;&gt;"",AB354="是")),"已有排期字段缺少机台",IF(AND(X354&lt;&gt;"",Y354="待排"),"已填机台但状态为待排",IF(AND(Y354="生产中",AB354&lt;&gt;"是"),"需确认：生产中未锁定","可导入"))))))</x:f>
      </x:c>
    </x:row>
    <x:row r="355" ht="22" customHeight="1">
      <x:c r="A355" s="186" t="str">
        <x:f>IF(B355="","",ROW()-5)</x:f>
      </x:c>
      <x:c r="B355" s="196"/>
      <x:c r="C355" s="198"/>
      <x:c r="D355" s="196"/>
      <x:c r="E355" s="188"/>
      <x:c r="F355" s="198"/>
      <x:c r="G355" s="202"/>
      <x:c r="H355" s="204"/>
      <x:c r="I355" s="206" t="str">
        <x:f>IF(G355="","",MAX(G355-H355,0))</x:f>
      </x:c>
      <x:c r="J355" s="210"/>
      <x:c r="K355" s="190"/>
      <x:c r="L355" s="208"/>
      <x:c r="M355" s="208"/>
      <x:c r="N355" s="208"/>
      <x:c r="O355" s="208"/>
      <x:c r="P355" s="190"/>
      <x:c r="Q355" s="190"/>
      <x:c r="R355" s="190"/>
      <x:c r="S355" s="190"/>
      <x:c r="T355" s="190"/>
      <x:c r="U355" s="190"/>
      <x:c r="V355" s="212"/>
      <x:c r="W355" s="212"/>
      <x:c r="X355" s="200"/>
      <x:c r="Y355" s="192"/>
      <x:c r="Z355" s="214"/>
      <x:c r="AA355" s="214"/>
      <x:c r="AB355" s="192"/>
      <x:c r="AC355" s="194"/>
      <x:c r="AD355" s="186" t="str">
        <x:f>IF(COUNTA(B355:H355)+COUNTA(J355:AC355)=0,"",IF(OR(B355="",D355="",E355="",G355="",J355=""),"缺少必填项",IF(H355&gt;G355,"完成数大于订单数",IF(AND(X355="",OR(Y355="排队",Y355="生产中",Y355="阻塞",Z355&lt;&gt;"",AA355&lt;&gt;"",AB355="是")),"已有排期字段缺少机台",IF(AND(X355&lt;&gt;"",Y355="待排"),"已填机台但状态为待排",IF(AND(Y355="生产中",AB355&lt;&gt;"是"),"需确认：生产中未锁定","可导入"))))))</x:f>
      </x:c>
    </x:row>
    <x:row r="356" ht="22" customHeight="1">
      <x:c r="A356" s="186" t="str">
        <x:f>IF(B356="","",ROW()-5)</x:f>
      </x:c>
      <x:c r="B356" s="196"/>
      <x:c r="C356" s="198"/>
      <x:c r="D356" s="196"/>
      <x:c r="E356" s="188"/>
      <x:c r="F356" s="198"/>
      <x:c r="G356" s="202"/>
      <x:c r="H356" s="204"/>
      <x:c r="I356" s="206" t="str">
        <x:f>IF(G356="","",MAX(G356-H356,0))</x:f>
      </x:c>
      <x:c r="J356" s="210"/>
      <x:c r="K356" s="190"/>
      <x:c r="L356" s="208"/>
      <x:c r="M356" s="208"/>
      <x:c r="N356" s="208"/>
      <x:c r="O356" s="208"/>
      <x:c r="P356" s="190"/>
      <x:c r="Q356" s="190"/>
      <x:c r="R356" s="190"/>
      <x:c r="S356" s="190"/>
      <x:c r="T356" s="190"/>
      <x:c r="U356" s="190"/>
      <x:c r="V356" s="212"/>
      <x:c r="W356" s="212"/>
      <x:c r="X356" s="200"/>
      <x:c r="Y356" s="192"/>
      <x:c r="Z356" s="214"/>
      <x:c r="AA356" s="214"/>
      <x:c r="AB356" s="192"/>
      <x:c r="AC356" s="194"/>
      <x:c r="AD356" s="186" t="str">
        <x:f>IF(COUNTA(B356:H356)+COUNTA(J356:AC356)=0,"",IF(OR(B356="",D356="",E356="",G356="",J356=""),"缺少必填项",IF(H356&gt;G356,"完成数大于订单数",IF(AND(X356="",OR(Y356="排队",Y356="生产中",Y356="阻塞",Z356&lt;&gt;"",AA356&lt;&gt;"",AB356="是")),"已有排期字段缺少机台",IF(AND(X356&lt;&gt;"",Y356="待排"),"已填机台但状态为待排",IF(AND(Y356="生产中",AB356&lt;&gt;"是"),"需确认：生产中未锁定","可导入"))))))</x:f>
      </x:c>
    </x:row>
    <x:row r="357" ht="22" customHeight="1">
      <x:c r="A357" s="186" t="str">
        <x:f>IF(B357="","",ROW()-5)</x:f>
      </x:c>
      <x:c r="B357" s="196"/>
      <x:c r="C357" s="198"/>
      <x:c r="D357" s="196"/>
      <x:c r="E357" s="188"/>
      <x:c r="F357" s="198"/>
      <x:c r="G357" s="202"/>
      <x:c r="H357" s="204"/>
      <x:c r="I357" s="206" t="str">
        <x:f>IF(G357="","",MAX(G357-H357,0))</x:f>
      </x:c>
      <x:c r="J357" s="210"/>
      <x:c r="K357" s="190"/>
      <x:c r="L357" s="208"/>
      <x:c r="M357" s="208"/>
      <x:c r="N357" s="208"/>
      <x:c r="O357" s="208"/>
      <x:c r="P357" s="190"/>
      <x:c r="Q357" s="190"/>
      <x:c r="R357" s="190"/>
      <x:c r="S357" s="190"/>
      <x:c r="T357" s="190"/>
      <x:c r="U357" s="190"/>
      <x:c r="V357" s="212"/>
      <x:c r="W357" s="212"/>
      <x:c r="X357" s="200"/>
      <x:c r="Y357" s="192"/>
      <x:c r="Z357" s="214"/>
      <x:c r="AA357" s="214"/>
      <x:c r="AB357" s="192"/>
      <x:c r="AC357" s="194"/>
      <x:c r="AD357" s="186" t="str">
        <x:f>IF(COUNTA(B357:H357)+COUNTA(J357:AC357)=0,"",IF(OR(B357="",D357="",E357="",G357="",J357=""),"缺少必填项",IF(H357&gt;G357,"完成数大于订单数",IF(AND(X357="",OR(Y357="排队",Y357="生产中",Y357="阻塞",Z357&lt;&gt;"",AA357&lt;&gt;"",AB357="是")),"已有排期字段缺少机台",IF(AND(X357&lt;&gt;"",Y357="待排"),"已填机台但状态为待排",IF(AND(Y357="生产中",AB357&lt;&gt;"是"),"需确认：生产中未锁定","可导入"))))))</x:f>
      </x:c>
    </x:row>
    <x:row r="358" ht="22" customHeight="1">
      <x:c r="A358" s="186" t="str">
        <x:f>IF(B358="","",ROW()-5)</x:f>
      </x:c>
      <x:c r="B358" s="196"/>
      <x:c r="C358" s="198"/>
      <x:c r="D358" s="196"/>
      <x:c r="E358" s="188"/>
      <x:c r="F358" s="198"/>
      <x:c r="G358" s="202"/>
      <x:c r="H358" s="204"/>
      <x:c r="I358" s="206" t="str">
        <x:f>IF(G358="","",MAX(G358-H358,0))</x:f>
      </x:c>
      <x:c r="J358" s="210"/>
      <x:c r="K358" s="190"/>
      <x:c r="L358" s="208"/>
      <x:c r="M358" s="208"/>
      <x:c r="N358" s="208"/>
      <x:c r="O358" s="208"/>
      <x:c r="P358" s="190"/>
      <x:c r="Q358" s="190"/>
      <x:c r="R358" s="190"/>
      <x:c r="S358" s="190"/>
      <x:c r="T358" s="190"/>
      <x:c r="U358" s="190"/>
      <x:c r="V358" s="212"/>
      <x:c r="W358" s="212"/>
      <x:c r="X358" s="200"/>
      <x:c r="Y358" s="192"/>
      <x:c r="Z358" s="214"/>
      <x:c r="AA358" s="214"/>
      <x:c r="AB358" s="192"/>
      <x:c r="AC358" s="194"/>
      <x:c r="AD358" s="186" t="str">
        <x:f>IF(COUNTA(B358:H358)+COUNTA(J358:AC358)=0,"",IF(OR(B358="",D358="",E358="",G358="",J358=""),"缺少必填项",IF(H358&gt;G358,"完成数大于订单数",IF(AND(X358="",OR(Y358="排队",Y358="生产中",Y358="阻塞",Z358&lt;&gt;"",AA358&lt;&gt;"",AB358="是")),"已有排期字段缺少机台",IF(AND(X358&lt;&gt;"",Y358="待排"),"已填机台但状态为待排",IF(AND(Y358="生产中",AB358&lt;&gt;"是"),"需确认：生产中未锁定","可导入"))))))</x:f>
      </x:c>
    </x:row>
    <x:row r="359" ht="22" customHeight="1">
      <x:c r="A359" s="186" t="str">
        <x:f>IF(B359="","",ROW()-5)</x:f>
      </x:c>
      <x:c r="B359" s="196"/>
      <x:c r="C359" s="198"/>
      <x:c r="D359" s="196"/>
      <x:c r="E359" s="188"/>
      <x:c r="F359" s="198"/>
      <x:c r="G359" s="202"/>
      <x:c r="H359" s="204"/>
      <x:c r="I359" s="206" t="str">
        <x:f>IF(G359="","",MAX(G359-H359,0))</x:f>
      </x:c>
      <x:c r="J359" s="210"/>
      <x:c r="K359" s="190"/>
      <x:c r="L359" s="208"/>
      <x:c r="M359" s="208"/>
      <x:c r="N359" s="208"/>
      <x:c r="O359" s="208"/>
      <x:c r="P359" s="190"/>
      <x:c r="Q359" s="190"/>
      <x:c r="R359" s="190"/>
      <x:c r="S359" s="190"/>
      <x:c r="T359" s="190"/>
      <x:c r="U359" s="190"/>
      <x:c r="V359" s="212"/>
      <x:c r="W359" s="212"/>
      <x:c r="X359" s="200"/>
      <x:c r="Y359" s="192"/>
      <x:c r="Z359" s="214"/>
      <x:c r="AA359" s="214"/>
      <x:c r="AB359" s="192"/>
      <x:c r="AC359" s="194"/>
      <x:c r="AD359" s="186" t="str">
        <x:f>IF(COUNTA(B359:H359)+COUNTA(J359:AC359)=0,"",IF(OR(B359="",D359="",E359="",G359="",J359=""),"缺少必填项",IF(H359&gt;G359,"完成数大于订单数",IF(AND(X359="",OR(Y359="排队",Y359="生产中",Y359="阻塞",Z359&lt;&gt;"",AA359&lt;&gt;"",AB359="是")),"已有排期字段缺少机台",IF(AND(X359&lt;&gt;"",Y359="待排"),"已填机台但状态为待排",IF(AND(Y359="生产中",AB359&lt;&gt;"是"),"需确认：生产中未锁定","可导入"))))))</x:f>
      </x:c>
    </x:row>
    <x:row r="360" ht="22" customHeight="1">
      <x:c r="A360" s="186" t="str">
        <x:f>IF(B360="","",ROW()-5)</x:f>
      </x:c>
      <x:c r="B360" s="196"/>
      <x:c r="C360" s="198"/>
      <x:c r="D360" s="196"/>
      <x:c r="E360" s="188"/>
      <x:c r="F360" s="198"/>
      <x:c r="G360" s="202"/>
      <x:c r="H360" s="204"/>
      <x:c r="I360" s="206" t="str">
        <x:f>IF(G360="","",MAX(G360-H360,0))</x:f>
      </x:c>
      <x:c r="J360" s="210"/>
      <x:c r="K360" s="190"/>
      <x:c r="L360" s="208"/>
      <x:c r="M360" s="208"/>
      <x:c r="N360" s="208"/>
      <x:c r="O360" s="208"/>
      <x:c r="P360" s="190"/>
      <x:c r="Q360" s="190"/>
      <x:c r="R360" s="190"/>
      <x:c r="S360" s="190"/>
      <x:c r="T360" s="190"/>
      <x:c r="U360" s="190"/>
      <x:c r="V360" s="212"/>
      <x:c r="W360" s="212"/>
      <x:c r="X360" s="200"/>
      <x:c r="Y360" s="192"/>
      <x:c r="Z360" s="214"/>
      <x:c r="AA360" s="214"/>
      <x:c r="AB360" s="192"/>
      <x:c r="AC360" s="194"/>
      <x:c r="AD360" s="186" t="str">
        <x:f>IF(COUNTA(B360:H360)+COUNTA(J360:AC360)=0,"",IF(OR(B360="",D360="",E360="",G360="",J360=""),"缺少必填项",IF(H360&gt;G360,"完成数大于订单数",IF(AND(X360="",OR(Y360="排队",Y360="生产中",Y360="阻塞",Z360&lt;&gt;"",AA360&lt;&gt;"",AB360="是")),"已有排期字段缺少机台",IF(AND(X360&lt;&gt;"",Y360="待排"),"已填机台但状态为待排",IF(AND(Y360="生产中",AB360&lt;&gt;"是"),"需确认：生产中未锁定","可导入"))))))</x:f>
      </x:c>
    </x:row>
    <x:row r="361" ht="22" customHeight="1">
      <x:c r="A361" s="186" t="str">
        <x:f>IF(B361="","",ROW()-5)</x:f>
      </x:c>
      <x:c r="B361" s="196"/>
      <x:c r="C361" s="198"/>
      <x:c r="D361" s="196"/>
      <x:c r="E361" s="188"/>
      <x:c r="F361" s="198"/>
      <x:c r="G361" s="202"/>
      <x:c r="H361" s="204"/>
      <x:c r="I361" s="206" t="str">
        <x:f>IF(G361="","",MAX(G361-H361,0))</x:f>
      </x:c>
      <x:c r="J361" s="210"/>
      <x:c r="K361" s="190"/>
      <x:c r="L361" s="208"/>
      <x:c r="M361" s="208"/>
      <x:c r="N361" s="208"/>
      <x:c r="O361" s="208"/>
      <x:c r="P361" s="190"/>
      <x:c r="Q361" s="190"/>
      <x:c r="R361" s="190"/>
      <x:c r="S361" s="190"/>
      <x:c r="T361" s="190"/>
      <x:c r="U361" s="190"/>
      <x:c r="V361" s="212"/>
      <x:c r="W361" s="212"/>
      <x:c r="X361" s="200"/>
      <x:c r="Y361" s="192"/>
      <x:c r="Z361" s="214"/>
      <x:c r="AA361" s="214"/>
      <x:c r="AB361" s="192"/>
      <x:c r="AC361" s="194"/>
      <x:c r="AD361" s="186" t="str">
        <x:f>IF(COUNTA(B361:H361)+COUNTA(J361:AC361)=0,"",IF(OR(B361="",D361="",E361="",G361="",J361=""),"缺少必填项",IF(H361&gt;G361,"完成数大于订单数",IF(AND(X361="",OR(Y361="排队",Y361="生产中",Y361="阻塞",Z361&lt;&gt;"",AA361&lt;&gt;"",AB361="是")),"已有排期字段缺少机台",IF(AND(X361&lt;&gt;"",Y361="待排"),"已填机台但状态为待排",IF(AND(Y361="生产中",AB361&lt;&gt;"是"),"需确认：生产中未锁定","可导入"))))))</x:f>
      </x:c>
    </x:row>
    <x:row r="362" ht="22" customHeight="1">
      <x:c r="A362" s="186" t="str">
        <x:f>IF(B362="","",ROW()-5)</x:f>
      </x:c>
      <x:c r="B362" s="196"/>
      <x:c r="C362" s="198"/>
      <x:c r="D362" s="196"/>
      <x:c r="E362" s="188"/>
      <x:c r="F362" s="198"/>
      <x:c r="G362" s="202"/>
      <x:c r="H362" s="204"/>
      <x:c r="I362" s="206" t="str">
        <x:f>IF(G362="","",MAX(G362-H362,0))</x:f>
      </x:c>
      <x:c r="J362" s="210"/>
      <x:c r="K362" s="190"/>
      <x:c r="L362" s="208"/>
      <x:c r="M362" s="208"/>
      <x:c r="N362" s="208"/>
      <x:c r="O362" s="208"/>
      <x:c r="P362" s="190"/>
      <x:c r="Q362" s="190"/>
      <x:c r="R362" s="190"/>
      <x:c r="S362" s="190"/>
      <x:c r="T362" s="190"/>
      <x:c r="U362" s="190"/>
      <x:c r="V362" s="212"/>
      <x:c r="W362" s="212"/>
      <x:c r="X362" s="200"/>
      <x:c r="Y362" s="192"/>
      <x:c r="Z362" s="214"/>
      <x:c r="AA362" s="214"/>
      <x:c r="AB362" s="192"/>
      <x:c r="AC362" s="194"/>
      <x:c r="AD362" s="186" t="str">
        <x:f>IF(COUNTA(B362:H362)+COUNTA(J362:AC362)=0,"",IF(OR(B362="",D362="",E362="",G362="",J362=""),"缺少必填项",IF(H362&gt;G362,"完成数大于订单数",IF(AND(X362="",OR(Y362="排队",Y362="生产中",Y362="阻塞",Z362&lt;&gt;"",AA362&lt;&gt;"",AB362="是")),"已有排期字段缺少机台",IF(AND(X362&lt;&gt;"",Y362="待排"),"已填机台但状态为待排",IF(AND(Y362="生产中",AB362&lt;&gt;"是"),"需确认：生产中未锁定","可导入"))))))</x:f>
      </x:c>
    </x:row>
    <x:row r="363" ht="22" customHeight="1">
      <x:c r="A363" s="186" t="str">
        <x:f>IF(B363="","",ROW()-5)</x:f>
      </x:c>
      <x:c r="B363" s="196"/>
      <x:c r="C363" s="198"/>
      <x:c r="D363" s="196"/>
      <x:c r="E363" s="188"/>
      <x:c r="F363" s="198"/>
      <x:c r="G363" s="202"/>
      <x:c r="H363" s="204"/>
      <x:c r="I363" s="206" t="str">
        <x:f>IF(G363="","",MAX(G363-H363,0))</x:f>
      </x:c>
      <x:c r="J363" s="210"/>
      <x:c r="K363" s="190"/>
      <x:c r="L363" s="208"/>
      <x:c r="M363" s="208"/>
      <x:c r="N363" s="208"/>
      <x:c r="O363" s="208"/>
      <x:c r="P363" s="190"/>
      <x:c r="Q363" s="190"/>
      <x:c r="R363" s="190"/>
      <x:c r="S363" s="190"/>
      <x:c r="T363" s="190"/>
      <x:c r="U363" s="190"/>
      <x:c r="V363" s="212"/>
      <x:c r="W363" s="212"/>
      <x:c r="X363" s="200"/>
      <x:c r="Y363" s="192"/>
      <x:c r="Z363" s="214"/>
      <x:c r="AA363" s="214"/>
      <x:c r="AB363" s="192"/>
      <x:c r="AC363" s="194"/>
      <x:c r="AD363" s="186" t="str">
        <x:f>IF(COUNTA(B363:H363)+COUNTA(J363:AC363)=0,"",IF(OR(B363="",D363="",E363="",G363="",J363=""),"缺少必填项",IF(H363&gt;G363,"完成数大于订单数",IF(AND(X363="",OR(Y363="排队",Y363="生产中",Y363="阻塞",Z363&lt;&gt;"",AA363&lt;&gt;"",AB363="是")),"已有排期字段缺少机台",IF(AND(X363&lt;&gt;"",Y363="待排"),"已填机台但状态为待排",IF(AND(Y363="生产中",AB363&lt;&gt;"是"),"需确认：生产中未锁定","可导入"))))))</x:f>
      </x:c>
    </x:row>
    <x:row r="364" ht="22" customHeight="1">
      <x:c r="A364" s="186" t="str">
        <x:f>IF(B364="","",ROW()-5)</x:f>
      </x:c>
      <x:c r="B364" s="196"/>
      <x:c r="C364" s="198"/>
      <x:c r="D364" s="196"/>
      <x:c r="E364" s="188"/>
      <x:c r="F364" s="198"/>
      <x:c r="G364" s="202"/>
      <x:c r="H364" s="204"/>
      <x:c r="I364" s="206" t="str">
        <x:f>IF(G364="","",MAX(G364-H364,0))</x:f>
      </x:c>
      <x:c r="J364" s="210"/>
      <x:c r="K364" s="190"/>
      <x:c r="L364" s="208"/>
      <x:c r="M364" s="208"/>
      <x:c r="N364" s="208"/>
      <x:c r="O364" s="208"/>
      <x:c r="P364" s="190"/>
      <x:c r="Q364" s="190"/>
      <x:c r="R364" s="190"/>
      <x:c r="S364" s="190"/>
      <x:c r="T364" s="190"/>
      <x:c r="U364" s="190"/>
      <x:c r="V364" s="212"/>
      <x:c r="W364" s="212"/>
      <x:c r="X364" s="200"/>
      <x:c r="Y364" s="192"/>
      <x:c r="Z364" s="214"/>
      <x:c r="AA364" s="214"/>
      <x:c r="AB364" s="192"/>
      <x:c r="AC364" s="194"/>
      <x:c r="AD364" s="186" t="str">
        <x:f>IF(COUNTA(B364:H364)+COUNTA(J364:AC364)=0,"",IF(OR(B364="",D364="",E364="",G364="",J364=""),"缺少必填项",IF(H364&gt;G364,"完成数大于订单数",IF(AND(X364="",OR(Y364="排队",Y364="生产中",Y364="阻塞",Z364&lt;&gt;"",AA364&lt;&gt;"",AB364="是")),"已有排期字段缺少机台",IF(AND(X364&lt;&gt;"",Y364="待排"),"已填机台但状态为待排",IF(AND(Y364="生产中",AB364&lt;&gt;"是"),"需确认：生产中未锁定","可导入"))))))</x:f>
      </x:c>
    </x:row>
    <x:row r="365" ht="22" customHeight="1">
      <x:c r="A365" s="186" t="str">
        <x:f>IF(B365="","",ROW()-5)</x:f>
      </x:c>
      <x:c r="B365" s="196"/>
      <x:c r="C365" s="198"/>
      <x:c r="D365" s="196"/>
      <x:c r="E365" s="188"/>
      <x:c r="F365" s="198"/>
      <x:c r="G365" s="202"/>
      <x:c r="H365" s="204"/>
      <x:c r="I365" s="206" t="str">
        <x:f>IF(G365="","",MAX(G365-H365,0))</x:f>
      </x:c>
      <x:c r="J365" s="210"/>
      <x:c r="K365" s="190"/>
      <x:c r="L365" s="208"/>
      <x:c r="M365" s="208"/>
      <x:c r="N365" s="208"/>
      <x:c r="O365" s="208"/>
      <x:c r="P365" s="190"/>
      <x:c r="Q365" s="190"/>
      <x:c r="R365" s="190"/>
      <x:c r="S365" s="190"/>
      <x:c r="T365" s="190"/>
      <x:c r="U365" s="190"/>
      <x:c r="V365" s="212"/>
      <x:c r="W365" s="212"/>
      <x:c r="X365" s="200"/>
      <x:c r="Y365" s="192"/>
      <x:c r="Z365" s="214"/>
      <x:c r="AA365" s="214"/>
      <x:c r="AB365" s="192"/>
      <x:c r="AC365" s="194"/>
      <x:c r="AD365" s="186" t="str">
        <x:f>IF(COUNTA(B365:H365)+COUNTA(J365:AC365)=0,"",IF(OR(B365="",D365="",E365="",G365="",J365=""),"缺少必填项",IF(H365&gt;G365,"完成数大于订单数",IF(AND(X365="",OR(Y365="排队",Y365="生产中",Y365="阻塞",Z365&lt;&gt;"",AA365&lt;&gt;"",AB365="是")),"已有排期字段缺少机台",IF(AND(X365&lt;&gt;"",Y365="待排"),"已填机台但状态为待排",IF(AND(Y365="生产中",AB365&lt;&gt;"是"),"需确认：生产中未锁定","可导入"))))))</x:f>
      </x:c>
    </x:row>
    <x:row r="366" ht="22" customHeight="1">
      <x:c r="A366" s="186" t="str">
        <x:f>IF(B366="","",ROW()-5)</x:f>
      </x:c>
      <x:c r="B366" s="196"/>
      <x:c r="C366" s="198"/>
      <x:c r="D366" s="196"/>
      <x:c r="E366" s="188"/>
      <x:c r="F366" s="198"/>
      <x:c r="G366" s="202"/>
      <x:c r="H366" s="204"/>
      <x:c r="I366" s="206" t="str">
        <x:f>IF(G366="","",MAX(G366-H366,0))</x:f>
      </x:c>
      <x:c r="J366" s="210"/>
      <x:c r="K366" s="190"/>
      <x:c r="L366" s="208"/>
      <x:c r="M366" s="208"/>
      <x:c r="N366" s="208"/>
      <x:c r="O366" s="208"/>
      <x:c r="P366" s="190"/>
      <x:c r="Q366" s="190"/>
      <x:c r="R366" s="190"/>
      <x:c r="S366" s="190"/>
      <x:c r="T366" s="190"/>
      <x:c r="U366" s="190"/>
      <x:c r="V366" s="212"/>
      <x:c r="W366" s="212"/>
      <x:c r="X366" s="200"/>
      <x:c r="Y366" s="192"/>
      <x:c r="Z366" s="214"/>
      <x:c r="AA366" s="214"/>
      <x:c r="AB366" s="192"/>
      <x:c r="AC366" s="194"/>
      <x:c r="AD366" s="186" t="str">
        <x:f>IF(COUNTA(B366:H366)+COUNTA(J366:AC366)=0,"",IF(OR(B366="",D366="",E366="",G366="",J366=""),"缺少必填项",IF(H366&gt;G366,"完成数大于订单数",IF(AND(X366="",OR(Y366="排队",Y366="生产中",Y366="阻塞",Z366&lt;&gt;"",AA366&lt;&gt;"",AB366="是")),"已有排期字段缺少机台",IF(AND(X366&lt;&gt;"",Y366="待排"),"已填机台但状态为待排",IF(AND(Y366="生产中",AB366&lt;&gt;"是"),"需确认：生产中未锁定","可导入"))))))</x:f>
      </x:c>
    </x:row>
    <x:row r="367" ht="22" customHeight="1">
      <x:c r="A367" s="186" t="str">
        <x:f>IF(B367="","",ROW()-5)</x:f>
      </x:c>
      <x:c r="B367" s="196"/>
      <x:c r="C367" s="198"/>
      <x:c r="D367" s="196"/>
      <x:c r="E367" s="188"/>
      <x:c r="F367" s="198"/>
      <x:c r="G367" s="202"/>
      <x:c r="H367" s="204"/>
      <x:c r="I367" s="206" t="str">
        <x:f>IF(G367="","",MAX(G367-H367,0))</x:f>
      </x:c>
      <x:c r="J367" s="210"/>
      <x:c r="K367" s="190"/>
      <x:c r="L367" s="208"/>
      <x:c r="M367" s="208"/>
      <x:c r="N367" s="208"/>
      <x:c r="O367" s="208"/>
      <x:c r="P367" s="190"/>
      <x:c r="Q367" s="190"/>
      <x:c r="R367" s="190"/>
      <x:c r="S367" s="190"/>
      <x:c r="T367" s="190"/>
      <x:c r="U367" s="190"/>
      <x:c r="V367" s="212"/>
      <x:c r="W367" s="212"/>
      <x:c r="X367" s="200"/>
      <x:c r="Y367" s="192"/>
      <x:c r="Z367" s="214"/>
      <x:c r="AA367" s="214"/>
      <x:c r="AB367" s="192"/>
      <x:c r="AC367" s="194"/>
      <x:c r="AD367" s="186" t="str">
        <x:f>IF(COUNTA(B367:H367)+COUNTA(J367:AC367)=0,"",IF(OR(B367="",D367="",E367="",G367="",J367=""),"缺少必填项",IF(H367&gt;G367,"完成数大于订单数",IF(AND(X367="",OR(Y367="排队",Y367="生产中",Y367="阻塞",Z367&lt;&gt;"",AA367&lt;&gt;"",AB367="是")),"已有排期字段缺少机台",IF(AND(X367&lt;&gt;"",Y367="待排"),"已填机台但状态为待排",IF(AND(Y367="生产中",AB367&lt;&gt;"是"),"需确认：生产中未锁定","可导入"))))))</x:f>
      </x:c>
    </x:row>
    <x:row r="368" ht="22" customHeight="1">
      <x:c r="A368" s="186" t="str">
        <x:f>IF(B368="","",ROW()-5)</x:f>
      </x:c>
      <x:c r="B368" s="196"/>
      <x:c r="C368" s="198"/>
      <x:c r="D368" s="196"/>
      <x:c r="E368" s="188"/>
      <x:c r="F368" s="198"/>
      <x:c r="G368" s="202"/>
      <x:c r="H368" s="204"/>
      <x:c r="I368" s="206" t="str">
        <x:f>IF(G368="","",MAX(G368-H368,0))</x:f>
      </x:c>
      <x:c r="J368" s="210"/>
      <x:c r="K368" s="190"/>
      <x:c r="L368" s="208"/>
      <x:c r="M368" s="208"/>
      <x:c r="N368" s="208"/>
      <x:c r="O368" s="208"/>
      <x:c r="P368" s="190"/>
      <x:c r="Q368" s="190"/>
      <x:c r="R368" s="190"/>
      <x:c r="S368" s="190"/>
      <x:c r="T368" s="190"/>
      <x:c r="U368" s="190"/>
      <x:c r="V368" s="212"/>
      <x:c r="W368" s="212"/>
      <x:c r="X368" s="200"/>
      <x:c r="Y368" s="192"/>
      <x:c r="Z368" s="214"/>
      <x:c r="AA368" s="214"/>
      <x:c r="AB368" s="192"/>
      <x:c r="AC368" s="194"/>
      <x:c r="AD368" s="186" t="str">
        <x:f>IF(COUNTA(B368:H368)+COUNTA(J368:AC368)=0,"",IF(OR(B368="",D368="",E368="",G368="",J368=""),"缺少必填项",IF(H368&gt;G368,"完成数大于订单数",IF(AND(X368="",OR(Y368="排队",Y368="生产中",Y368="阻塞",Z368&lt;&gt;"",AA368&lt;&gt;"",AB368="是")),"已有排期字段缺少机台",IF(AND(X368&lt;&gt;"",Y368="待排"),"已填机台但状态为待排",IF(AND(Y368="生产中",AB368&lt;&gt;"是"),"需确认：生产中未锁定","可导入"))))))</x:f>
      </x:c>
    </x:row>
    <x:row r="369" ht="22" customHeight="1">
      <x:c r="A369" s="186" t="str">
        <x:f>IF(B369="","",ROW()-5)</x:f>
      </x:c>
      <x:c r="B369" s="196"/>
      <x:c r="C369" s="198"/>
      <x:c r="D369" s="196"/>
      <x:c r="E369" s="188"/>
      <x:c r="F369" s="198"/>
      <x:c r="G369" s="202"/>
      <x:c r="H369" s="204"/>
      <x:c r="I369" s="206" t="str">
        <x:f>IF(G369="","",MAX(G369-H369,0))</x:f>
      </x:c>
      <x:c r="J369" s="210"/>
      <x:c r="K369" s="190"/>
      <x:c r="L369" s="208"/>
      <x:c r="M369" s="208"/>
      <x:c r="N369" s="208"/>
      <x:c r="O369" s="208"/>
      <x:c r="P369" s="190"/>
      <x:c r="Q369" s="190"/>
      <x:c r="R369" s="190"/>
      <x:c r="S369" s="190"/>
      <x:c r="T369" s="190"/>
      <x:c r="U369" s="190"/>
      <x:c r="V369" s="212"/>
      <x:c r="W369" s="212"/>
      <x:c r="X369" s="200"/>
      <x:c r="Y369" s="192"/>
      <x:c r="Z369" s="214"/>
      <x:c r="AA369" s="214"/>
      <x:c r="AB369" s="192"/>
      <x:c r="AC369" s="194"/>
      <x:c r="AD369" s="186" t="str">
        <x:f>IF(COUNTA(B369:H369)+COUNTA(J369:AC369)=0,"",IF(OR(B369="",D369="",E369="",G369="",J369=""),"缺少必填项",IF(H369&gt;G369,"完成数大于订单数",IF(AND(X369="",OR(Y369="排队",Y369="生产中",Y369="阻塞",Z369&lt;&gt;"",AA369&lt;&gt;"",AB369="是")),"已有排期字段缺少机台",IF(AND(X369&lt;&gt;"",Y369="待排"),"已填机台但状态为待排",IF(AND(Y369="生产中",AB369&lt;&gt;"是"),"需确认：生产中未锁定","可导入"))))))</x:f>
      </x:c>
    </x:row>
    <x:row r="370" ht="22" customHeight="1">
      <x:c r="A370" s="186" t="str">
        <x:f>IF(B370="","",ROW()-5)</x:f>
      </x:c>
      <x:c r="B370" s="196"/>
      <x:c r="C370" s="198"/>
      <x:c r="D370" s="196"/>
      <x:c r="E370" s="188"/>
      <x:c r="F370" s="198"/>
      <x:c r="G370" s="202"/>
      <x:c r="H370" s="204"/>
      <x:c r="I370" s="206" t="str">
        <x:f>IF(G370="","",MAX(G370-H370,0))</x:f>
      </x:c>
      <x:c r="J370" s="210"/>
      <x:c r="K370" s="190"/>
      <x:c r="L370" s="208"/>
      <x:c r="M370" s="208"/>
      <x:c r="N370" s="208"/>
      <x:c r="O370" s="208"/>
      <x:c r="P370" s="190"/>
      <x:c r="Q370" s="190"/>
      <x:c r="R370" s="190"/>
      <x:c r="S370" s="190"/>
      <x:c r="T370" s="190"/>
      <x:c r="U370" s="190"/>
      <x:c r="V370" s="212"/>
      <x:c r="W370" s="212"/>
      <x:c r="X370" s="200"/>
      <x:c r="Y370" s="192"/>
      <x:c r="Z370" s="214"/>
      <x:c r="AA370" s="214"/>
      <x:c r="AB370" s="192"/>
      <x:c r="AC370" s="194"/>
      <x:c r="AD370" s="186" t="str">
        <x:f>IF(COUNTA(B370:H370)+COUNTA(J370:AC370)=0,"",IF(OR(B370="",D370="",E370="",G370="",J370=""),"缺少必填项",IF(H370&gt;G370,"完成数大于订单数",IF(AND(X370="",OR(Y370="排队",Y370="生产中",Y370="阻塞",Z370&lt;&gt;"",AA370&lt;&gt;"",AB370="是")),"已有排期字段缺少机台",IF(AND(X370&lt;&gt;"",Y370="待排"),"已填机台但状态为待排",IF(AND(Y370="生产中",AB370&lt;&gt;"是"),"需确认：生产中未锁定","可导入"))))))</x:f>
      </x:c>
    </x:row>
    <x:row r="371" ht="22" customHeight="1">
      <x:c r="A371" s="186" t="str">
        <x:f>IF(B371="","",ROW()-5)</x:f>
      </x:c>
      <x:c r="B371" s="196"/>
      <x:c r="C371" s="198"/>
      <x:c r="D371" s="196"/>
      <x:c r="E371" s="188"/>
      <x:c r="F371" s="198"/>
      <x:c r="G371" s="202"/>
      <x:c r="H371" s="204"/>
      <x:c r="I371" s="206" t="str">
        <x:f>IF(G371="","",MAX(G371-H371,0))</x:f>
      </x:c>
      <x:c r="J371" s="210"/>
      <x:c r="K371" s="190"/>
      <x:c r="L371" s="208"/>
      <x:c r="M371" s="208"/>
      <x:c r="N371" s="208"/>
      <x:c r="O371" s="208"/>
      <x:c r="P371" s="190"/>
      <x:c r="Q371" s="190"/>
      <x:c r="R371" s="190"/>
      <x:c r="S371" s="190"/>
      <x:c r="T371" s="190"/>
      <x:c r="U371" s="190"/>
      <x:c r="V371" s="212"/>
      <x:c r="W371" s="212"/>
      <x:c r="X371" s="200"/>
      <x:c r="Y371" s="192"/>
      <x:c r="Z371" s="214"/>
      <x:c r="AA371" s="214"/>
      <x:c r="AB371" s="192"/>
      <x:c r="AC371" s="194"/>
      <x:c r="AD371" s="186" t="str">
        <x:f>IF(COUNTA(B371:H371)+COUNTA(J371:AC371)=0,"",IF(OR(B371="",D371="",E371="",G371="",J371=""),"缺少必填项",IF(H371&gt;G371,"完成数大于订单数",IF(AND(X371="",OR(Y371="排队",Y371="生产中",Y371="阻塞",Z371&lt;&gt;"",AA371&lt;&gt;"",AB371="是")),"已有排期字段缺少机台",IF(AND(X371&lt;&gt;"",Y371="待排"),"已填机台但状态为待排",IF(AND(Y371="生产中",AB371&lt;&gt;"是"),"需确认：生产中未锁定","可导入"))))))</x:f>
      </x:c>
    </x:row>
    <x:row r="372" ht="22" customHeight="1">
      <x:c r="A372" s="186" t="str">
        <x:f>IF(B372="","",ROW()-5)</x:f>
      </x:c>
      <x:c r="B372" s="196"/>
      <x:c r="C372" s="198"/>
      <x:c r="D372" s="196"/>
      <x:c r="E372" s="188"/>
      <x:c r="F372" s="198"/>
      <x:c r="G372" s="202"/>
      <x:c r="H372" s="204"/>
      <x:c r="I372" s="206" t="str">
        <x:f>IF(G372="","",MAX(G372-H372,0))</x:f>
      </x:c>
      <x:c r="J372" s="210"/>
      <x:c r="K372" s="190"/>
      <x:c r="L372" s="208"/>
      <x:c r="M372" s="208"/>
      <x:c r="N372" s="208"/>
      <x:c r="O372" s="208"/>
      <x:c r="P372" s="190"/>
      <x:c r="Q372" s="190"/>
      <x:c r="R372" s="190"/>
      <x:c r="S372" s="190"/>
      <x:c r="T372" s="190"/>
      <x:c r="U372" s="190"/>
      <x:c r="V372" s="212"/>
      <x:c r="W372" s="212"/>
      <x:c r="X372" s="200"/>
      <x:c r="Y372" s="192"/>
      <x:c r="Z372" s="214"/>
      <x:c r="AA372" s="214"/>
      <x:c r="AB372" s="192"/>
      <x:c r="AC372" s="194"/>
      <x:c r="AD372" s="186" t="str">
        <x:f>IF(COUNTA(B372:H372)+COUNTA(J372:AC372)=0,"",IF(OR(B372="",D372="",E372="",G372="",J372=""),"缺少必填项",IF(H372&gt;G372,"完成数大于订单数",IF(AND(X372="",OR(Y372="排队",Y372="生产中",Y372="阻塞",Z372&lt;&gt;"",AA372&lt;&gt;"",AB372="是")),"已有排期字段缺少机台",IF(AND(X372&lt;&gt;"",Y372="待排"),"已填机台但状态为待排",IF(AND(Y372="生产中",AB372&lt;&gt;"是"),"需确认：生产中未锁定","可导入"))))))</x:f>
      </x:c>
    </x:row>
    <x:row r="373" ht="22" customHeight="1">
      <x:c r="A373" s="186" t="str">
        <x:f>IF(B373="","",ROW()-5)</x:f>
      </x:c>
      <x:c r="B373" s="196"/>
      <x:c r="C373" s="198"/>
      <x:c r="D373" s="196"/>
      <x:c r="E373" s="188"/>
      <x:c r="F373" s="198"/>
      <x:c r="G373" s="202"/>
      <x:c r="H373" s="204"/>
      <x:c r="I373" s="206" t="str">
        <x:f>IF(G373="","",MAX(G373-H373,0))</x:f>
      </x:c>
      <x:c r="J373" s="210"/>
      <x:c r="K373" s="190"/>
      <x:c r="L373" s="208"/>
      <x:c r="M373" s="208"/>
      <x:c r="N373" s="208"/>
      <x:c r="O373" s="208"/>
      <x:c r="P373" s="190"/>
      <x:c r="Q373" s="190"/>
      <x:c r="R373" s="190"/>
      <x:c r="S373" s="190"/>
      <x:c r="T373" s="190"/>
      <x:c r="U373" s="190"/>
      <x:c r="V373" s="212"/>
      <x:c r="W373" s="212"/>
      <x:c r="X373" s="200"/>
      <x:c r="Y373" s="192"/>
      <x:c r="Z373" s="214"/>
      <x:c r="AA373" s="214"/>
      <x:c r="AB373" s="192"/>
      <x:c r="AC373" s="194"/>
      <x:c r="AD373" s="186" t="str">
        <x:f>IF(COUNTA(B373:H373)+COUNTA(J373:AC373)=0,"",IF(OR(B373="",D373="",E373="",G373="",J373=""),"缺少必填项",IF(H373&gt;G373,"完成数大于订单数",IF(AND(X373="",OR(Y373="排队",Y373="生产中",Y373="阻塞",Z373&lt;&gt;"",AA373&lt;&gt;"",AB373="是")),"已有排期字段缺少机台",IF(AND(X373&lt;&gt;"",Y373="待排"),"已填机台但状态为待排",IF(AND(Y373="生产中",AB373&lt;&gt;"是"),"需确认：生产中未锁定","可导入"))))))</x:f>
      </x:c>
    </x:row>
    <x:row r="374" ht="22" customHeight="1">
      <x:c r="A374" s="186" t="str">
        <x:f>IF(B374="","",ROW()-5)</x:f>
      </x:c>
      <x:c r="B374" s="196"/>
      <x:c r="C374" s="198"/>
      <x:c r="D374" s="196"/>
      <x:c r="E374" s="188"/>
      <x:c r="F374" s="198"/>
      <x:c r="G374" s="202"/>
      <x:c r="H374" s="204"/>
      <x:c r="I374" s="206" t="str">
        <x:f>IF(G374="","",MAX(G374-H374,0))</x:f>
      </x:c>
      <x:c r="J374" s="210"/>
      <x:c r="K374" s="190"/>
      <x:c r="L374" s="208"/>
      <x:c r="M374" s="208"/>
      <x:c r="N374" s="208"/>
      <x:c r="O374" s="208"/>
      <x:c r="P374" s="190"/>
      <x:c r="Q374" s="190"/>
      <x:c r="R374" s="190"/>
      <x:c r="S374" s="190"/>
      <x:c r="T374" s="190"/>
      <x:c r="U374" s="190"/>
      <x:c r="V374" s="212"/>
      <x:c r="W374" s="212"/>
      <x:c r="X374" s="200"/>
      <x:c r="Y374" s="192"/>
      <x:c r="Z374" s="214"/>
      <x:c r="AA374" s="214"/>
      <x:c r="AB374" s="192"/>
      <x:c r="AC374" s="194"/>
      <x:c r="AD374" s="186" t="str">
        <x:f>IF(COUNTA(B374:H374)+COUNTA(J374:AC374)=0,"",IF(OR(B374="",D374="",E374="",G374="",J374=""),"缺少必填项",IF(H374&gt;G374,"完成数大于订单数",IF(AND(X374="",OR(Y374="排队",Y374="生产中",Y374="阻塞",Z374&lt;&gt;"",AA374&lt;&gt;"",AB374="是")),"已有排期字段缺少机台",IF(AND(X374&lt;&gt;"",Y374="待排"),"已填机台但状态为待排",IF(AND(Y374="生产中",AB374&lt;&gt;"是"),"需确认：生产中未锁定","可导入"))))))</x:f>
      </x:c>
    </x:row>
    <x:row r="375" ht="22" customHeight="1">
      <x:c r="A375" s="186" t="str">
        <x:f>IF(B375="","",ROW()-5)</x:f>
      </x:c>
      <x:c r="B375" s="196"/>
      <x:c r="C375" s="198"/>
      <x:c r="D375" s="196"/>
      <x:c r="E375" s="188"/>
      <x:c r="F375" s="198"/>
      <x:c r="G375" s="202"/>
      <x:c r="H375" s="204"/>
      <x:c r="I375" s="206" t="str">
        <x:f>IF(G375="","",MAX(G375-H375,0))</x:f>
      </x:c>
      <x:c r="J375" s="210"/>
      <x:c r="K375" s="190"/>
      <x:c r="L375" s="208"/>
      <x:c r="M375" s="208"/>
      <x:c r="N375" s="208"/>
      <x:c r="O375" s="208"/>
      <x:c r="P375" s="190"/>
      <x:c r="Q375" s="190"/>
      <x:c r="R375" s="190"/>
      <x:c r="S375" s="190"/>
      <x:c r="T375" s="190"/>
      <x:c r="U375" s="190"/>
      <x:c r="V375" s="212"/>
      <x:c r="W375" s="212"/>
      <x:c r="X375" s="200"/>
      <x:c r="Y375" s="192"/>
      <x:c r="Z375" s="214"/>
      <x:c r="AA375" s="214"/>
      <x:c r="AB375" s="192"/>
      <x:c r="AC375" s="194"/>
      <x:c r="AD375" s="186" t="str">
        <x:f>IF(COUNTA(B375:H375)+COUNTA(J375:AC375)=0,"",IF(OR(B375="",D375="",E375="",G375="",J375=""),"缺少必填项",IF(H375&gt;G375,"完成数大于订单数",IF(AND(X375="",OR(Y375="排队",Y375="生产中",Y375="阻塞",Z375&lt;&gt;"",AA375&lt;&gt;"",AB375="是")),"已有排期字段缺少机台",IF(AND(X375&lt;&gt;"",Y375="待排"),"已填机台但状态为待排",IF(AND(Y375="生产中",AB375&lt;&gt;"是"),"需确认：生产中未锁定","可导入"))))))</x:f>
      </x:c>
    </x:row>
    <x:row r="376" ht="22" customHeight="1">
      <x:c r="A376" s="186" t="str">
        <x:f>IF(B376="","",ROW()-5)</x:f>
      </x:c>
      <x:c r="B376" s="196"/>
      <x:c r="C376" s="198"/>
      <x:c r="D376" s="196"/>
      <x:c r="E376" s="188"/>
      <x:c r="F376" s="198"/>
      <x:c r="G376" s="202"/>
      <x:c r="H376" s="204"/>
      <x:c r="I376" s="206" t="str">
        <x:f>IF(G376="","",MAX(G376-H376,0))</x:f>
      </x:c>
      <x:c r="J376" s="210"/>
      <x:c r="K376" s="190"/>
      <x:c r="L376" s="208"/>
      <x:c r="M376" s="208"/>
      <x:c r="N376" s="208"/>
      <x:c r="O376" s="208"/>
      <x:c r="P376" s="190"/>
      <x:c r="Q376" s="190"/>
      <x:c r="R376" s="190"/>
      <x:c r="S376" s="190"/>
      <x:c r="T376" s="190"/>
      <x:c r="U376" s="190"/>
      <x:c r="V376" s="212"/>
      <x:c r="W376" s="212"/>
      <x:c r="X376" s="200"/>
      <x:c r="Y376" s="192"/>
      <x:c r="Z376" s="214"/>
      <x:c r="AA376" s="214"/>
      <x:c r="AB376" s="192"/>
      <x:c r="AC376" s="194"/>
      <x:c r="AD376" s="186" t="str">
        <x:f>IF(COUNTA(B376:H376)+COUNTA(J376:AC376)=0,"",IF(OR(B376="",D376="",E376="",G376="",J376=""),"缺少必填项",IF(H376&gt;G376,"完成数大于订单数",IF(AND(X376="",OR(Y376="排队",Y376="生产中",Y376="阻塞",Z376&lt;&gt;"",AA376&lt;&gt;"",AB376="是")),"已有排期字段缺少机台",IF(AND(X376&lt;&gt;"",Y376="待排"),"已填机台但状态为待排",IF(AND(Y376="生产中",AB376&lt;&gt;"是"),"需确认：生产中未锁定","可导入"))))))</x:f>
      </x:c>
    </x:row>
    <x:row r="377" ht="22" customHeight="1">
      <x:c r="A377" s="186" t="str">
        <x:f>IF(B377="","",ROW()-5)</x:f>
      </x:c>
      <x:c r="B377" s="196"/>
      <x:c r="C377" s="198"/>
      <x:c r="D377" s="196"/>
      <x:c r="E377" s="188"/>
      <x:c r="F377" s="198"/>
      <x:c r="G377" s="202"/>
      <x:c r="H377" s="204"/>
      <x:c r="I377" s="206" t="str">
        <x:f>IF(G377="","",MAX(G377-H377,0))</x:f>
      </x:c>
      <x:c r="J377" s="210"/>
      <x:c r="K377" s="190"/>
      <x:c r="L377" s="208"/>
      <x:c r="M377" s="208"/>
      <x:c r="N377" s="208"/>
      <x:c r="O377" s="208"/>
      <x:c r="P377" s="190"/>
      <x:c r="Q377" s="190"/>
      <x:c r="R377" s="190"/>
      <x:c r="S377" s="190"/>
      <x:c r="T377" s="190"/>
      <x:c r="U377" s="190"/>
      <x:c r="V377" s="212"/>
      <x:c r="W377" s="212"/>
      <x:c r="X377" s="200"/>
      <x:c r="Y377" s="192"/>
      <x:c r="Z377" s="214"/>
      <x:c r="AA377" s="214"/>
      <x:c r="AB377" s="192"/>
      <x:c r="AC377" s="194"/>
      <x:c r="AD377" s="186" t="str">
        <x:f>IF(COUNTA(B377:H377)+COUNTA(J377:AC377)=0,"",IF(OR(B377="",D377="",E377="",G377="",J377=""),"缺少必填项",IF(H377&gt;G377,"完成数大于订单数",IF(AND(X377="",OR(Y377="排队",Y377="生产中",Y377="阻塞",Z377&lt;&gt;"",AA377&lt;&gt;"",AB377="是")),"已有排期字段缺少机台",IF(AND(X377&lt;&gt;"",Y377="待排"),"已填机台但状态为待排",IF(AND(Y377="生产中",AB377&lt;&gt;"是"),"需确认：生产中未锁定","可导入"))))))</x:f>
      </x:c>
    </x:row>
    <x:row r="378" ht="22" customHeight="1">
      <x:c r="A378" s="186" t="str">
        <x:f>IF(B378="","",ROW()-5)</x:f>
      </x:c>
      <x:c r="B378" s="196"/>
      <x:c r="C378" s="198"/>
      <x:c r="D378" s="196"/>
      <x:c r="E378" s="188"/>
      <x:c r="F378" s="198"/>
      <x:c r="G378" s="202"/>
      <x:c r="H378" s="204"/>
      <x:c r="I378" s="206" t="str">
        <x:f>IF(G378="","",MAX(G378-H378,0))</x:f>
      </x:c>
      <x:c r="J378" s="210"/>
      <x:c r="K378" s="190"/>
      <x:c r="L378" s="208"/>
      <x:c r="M378" s="208"/>
      <x:c r="N378" s="208"/>
      <x:c r="O378" s="208"/>
      <x:c r="P378" s="190"/>
      <x:c r="Q378" s="190"/>
      <x:c r="R378" s="190"/>
      <x:c r="S378" s="190"/>
      <x:c r="T378" s="190"/>
      <x:c r="U378" s="190"/>
      <x:c r="V378" s="212"/>
      <x:c r="W378" s="212"/>
      <x:c r="X378" s="200"/>
      <x:c r="Y378" s="192"/>
      <x:c r="Z378" s="214"/>
      <x:c r="AA378" s="214"/>
      <x:c r="AB378" s="192"/>
      <x:c r="AC378" s="194"/>
      <x:c r="AD378" s="186" t="str">
        <x:f>IF(COUNTA(B378:H378)+COUNTA(J378:AC378)=0,"",IF(OR(B378="",D378="",E378="",G378="",J378=""),"缺少必填项",IF(H378&gt;G378,"完成数大于订单数",IF(AND(X378="",OR(Y378="排队",Y378="生产中",Y378="阻塞",Z378&lt;&gt;"",AA378&lt;&gt;"",AB378="是")),"已有排期字段缺少机台",IF(AND(X378&lt;&gt;"",Y378="待排"),"已填机台但状态为待排",IF(AND(Y378="生产中",AB378&lt;&gt;"是"),"需确认：生产中未锁定","可导入"))))))</x:f>
      </x:c>
    </x:row>
    <x:row r="379" ht="22" customHeight="1">
      <x:c r="A379" s="186" t="str">
        <x:f>IF(B379="","",ROW()-5)</x:f>
      </x:c>
      <x:c r="B379" s="196"/>
      <x:c r="C379" s="198"/>
      <x:c r="D379" s="196"/>
      <x:c r="E379" s="188"/>
      <x:c r="F379" s="198"/>
      <x:c r="G379" s="202"/>
      <x:c r="H379" s="204"/>
      <x:c r="I379" s="206" t="str">
        <x:f>IF(G379="","",MAX(G379-H379,0))</x:f>
      </x:c>
      <x:c r="J379" s="210"/>
      <x:c r="K379" s="190"/>
      <x:c r="L379" s="208"/>
      <x:c r="M379" s="208"/>
      <x:c r="N379" s="208"/>
      <x:c r="O379" s="208"/>
      <x:c r="P379" s="190"/>
      <x:c r="Q379" s="190"/>
      <x:c r="R379" s="190"/>
      <x:c r="S379" s="190"/>
      <x:c r="T379" s="190"/>
      <x:c r="U379" s="190"/>
      <x:c r="V379" s="212"/>
      <x:c r="W379" s="212"/>
      <x:c r="X379" s="200"/>
      <x:c r="Y379" s="192"/>
      <x:c r="Z379" s="214"/>
      <x:c r="AA379" s="214"/>
      <x:c r="AB379" s="192"/>
      <x:c r="AC379" s="194"/>
      <x:c r="AD379" s="186" t="str">
        <x:f>IF(COUNTA(B379:H379)+COUNTA(J379:AC379)=0,"",IF(OR(B379="",D379="",E379="",G379="",J379=""),"缺少必填项",IF(H379&gt;G379,"完成数大于订单数",IF(AND(X379="",OR(Y379="排队",Y379="生产中",Y379="阻塞",Z379&lt;&gt;"",AA379&lt;&gt;"",AB379="是")),"已有排期字段缺少机台",IF(AND(X379&lt;&gt;"",Y379="待排"),"已填机台但状态为待排",IF(AND(Y379="生产中",AB379&lt;&gt;"是"),"需确认：生产中未锁定","可导入"))))))</x:f>
      </x:c>
    </x:row>
    <x:row r="380" ht="22" customHeight="1">
      <x:c r="A380" s="186" t="str">
        <x:f>IF(B380="","",ROW()-5)</x:f>
      </x:c>
      <x:c r="B380" s="196"/>
      <x:c r="C380" s="198"/>
      <x:c r="D380" s="196"/>
      <x:c r="E380" s="188"/>
      <x:c r="F380" s="198"/>
      <x:c r="G380" s="202"/>
      <x:c r="H380" s="204"/>
      <x:c r="I380" s="206" t="str">
        <x:f>IF(G380="","",MAX(G380-H380,0))</x:f>
      </x:c>
      <x:c r="J380" s="210"/>
      <x:c r="K380" s="190"/>
      <x:c r="L380" s="208"/>
      <x:c r="M380" s="208"/>
      <x:c r="N380" s="208"/>
      <x:c r="O380" s="208"/>
      <x:c r="P380" s="190"/>
      <x:c r="Q380" s="190"/>
      <x:c r="R380" s="190"/>
      <x:c r="S380" s="190"/>
      <x:c r="T380" s="190"/>
      <x:c r="U380" s="190"/>
      <x:c r="V380" s="212"/>
      <x:c r="W380" s="212"/>
      <x:c r="X380" s="200"/>
      <x:c r="Y380" s="192"/>
      <x:c r="Z380" s="214"/>
      <x:c r="AA380" s="214"/>
      <x:c r="AB380" s="192"/>
      <x:c r="AC380" s="194"/>
      <x:c r="AD380" s="186" t="str">
        <x:f>IF(COUNTA(B380:H380)+COUNTA(J380:AC380)=0,"",IF(OR(B380="",D380="",E380="",G380="",J380=""),"缺少必填项",IF(H380&gt;G380,"完成数大于订单数",IF(AND(X380="",OR(Y380="排队",Y380="生产中",Y380="阻塞",Z380&lt;&gt;"",AA380&lt;&gt;"",AB380="是")),"已有排期字段缺少机台",IF(AND(X380&lt;&gt;"",Y380="待排"),"已填机台但状态为待排",IF(AND(Y380="生产中",AB380&lt;&gt;"是"),"需确认：生产中未锁定","可导入"))))))</x:f>
      </x:c>
    </x:row>
    <x:row r="381" ht="22" customHeight="1">
      <x:c r="A381" s="186" t="str">
        <x:f>IF(B381="","",ROW()-5)</x:f>
      </x:c>
      <x:c r="B381" s="196"/>
      <x:c r="C381" s="198"/>
      <x:c r="D381" s="196"/>
      <x:c r="E381" s="188"/>
      <x:c r="F381" s="198"/>
      <x:c r="G381" s="202"/>
      <x:c r="H381" s="204"/>
      <x:c r="I381" s="206" t="str">
        <x:f>IF(G381="","",MAX(G381-H381,0))</x:f>
      </x:c>
      <x:c r="J381" s="210"/>
      <x:c r="K381" s="190"/>
      <x:c r="L381" s="208"/>
      <x:c r="M381" s="208"/>
      <x:c r="N381" s="208"/>
      <x:c r="O381" s="208"/>
      <x:c r="P381" s="190"/>
      <x:c r="Q381" s="190"/>
      <x:c r="R381" s="190"/>
      <x:c r="S381" s="190"/>
      <x:c r="T381" s="190"/>
      <x:c r="U381" s="190"/>
      <x:c r="V381" s="212"/>
      <x:c r="W381" s="212"/>
      <x:c r="X381" s="200"/>
      <x:c r="Y381" s="192"/>
      <x:c r="Z381" s="214"/>
      <x:c r="AA381" s="214"/>
      <x:c r="AB381" s="192"/>
      <x:c r="AC381" s="194"/>
      <x:c r="AD381" s="186" t="str">
        <x:f>IF(COUNTA(B381:H381)+COUNTA(J381:AC381)=0,"",IF(OR(B381="",D381="",E381="",G381="",J381=""),"缺少必填项",IF(H381&gt;G381,"完成数大于订单数",IF(AND(X381="",OR(Y381="排队",Y381="生产中",Y381="阻塞",Z381&lt;&gt;"",AA381&lt;&gt;"",AB381="是")),"已有排期字段缺少机台",IF(AND(X381&lt;&gt;"",Y381="待排"),"已填机台但状态为待排",IF(AND(Y381="生产中",AB381&lt;&gt;"是"),"需确认：生产中未锁定","可导入"))))))</x:f>
      </x:c>
    </x:row>
    <x:row r="382" ht="22" customHeight="1">
      <x:c r="A382" s="186" t="str">
        <x:f>IF(B382="","",ROW()-5)</x:f>
      </x:c>
      <x:c r="B382" s="196"/>
      <x:c r="C382" s="198"/>
      <x:c r="D382" s="196"/>
      <x:c r="E382" s="188"/>
      <x:c r="F382" s="198"/>
      <x:c r="G382" s="202"/>
      <x:c r="H382" s="204"/>
      <x:c r="I382" s="206" t="str">
        <x:f>IF(G382="","",MAX(G382-H382,0))</x:f>
      </x:c>
      <x:c r="J382" s="210"/>
      <x:c r="K382" s="190"/>
      <x:c r="L382" s="208"/>
      <x:c r="M382" s="208"/>
      <x:c r="N382" s="208"/>
      <x:c r="O382" s="208"/>
      <x:c r="P382" s="190"/>
      <x:c r="Q382" s="190"/>
      <x:c r="R382" s="190"/>
      <x:c r="S382" s="190"/>
      <x:c r="T382" s="190"/>
      <x:c r="U382" s="190"/>
      <x:c r="V382" s="212"/>
      <x:c r="W382" s="212"/>
      <x:c r="X382" s="200"/>
      <x:c r="Y382" s="192"/>
      <x:c r="Z382" s="214"/>
      <x:c r="AA382" s="214"/>
      <x:c r="AB382" s="192"/>
      <x:c r="AC382" s="194"/>
      <x:c r="AD382" s="186" t="str">
        <x:f>IF(COUNTA(B382:H382)+COUNTA(J382:AC382)=0,"",IF(OR(B382="",D382="",E382="",G382="",J382=""),"缺少必填项",IF(H382&gt;G382,"完成数大于订单数",IF(AND(X382="",OR(Y382="排队",Y382="生产中",Y382="阻塞",Z382&lt;&gt;"",AA382&lt;&gt;"",AB382="是")),"已有排期字段缺少机台",IF(AND(X382&lt;&gt;"",Y382="待排"),"已填机台但状态为待排",IF(AND(Y382="生产中",AB382&lt;&gt;"是"),"需确认：生产中未锁定","可导入"))))))</x:f>
      </x:c>
    </x:row>
    <x:row r="383" ht="22" customHeight="1">
      <x:c r="A383" s="186" t="str">
        <x:f>IF(B383="","",ROW()-5)</x:f>
      </x:c>
      <x:c r="B383" s="196"/>
      <x:c r="C383" s="198"/>
      <x:c r="D383" s="196"/>
      <x:c r="E383" s="188"/>
      <x:c r="F383" s="198"/>
      <x:c r="G383" s="202"/>
      <x:c r="H383" s="204"/>
      <x:c r="I383" s="206" t="str">
        <x:f>IF(G383="","",MAX(G383-H383,0))</x:f>
      </x:c>
      <x:c r="J383" s="210"/>
      <x:c r="K383" s="190"/>
      <x:c r="L383" s="208"/>
      <x:c r="M383" s="208"/>
      <x:c r="N383" s="208"/>
      <x:c r="O383" s="208"/>
      <x:c r="P383" s="190"/>
      <x:c r="Q383" s="190"/>
      <x:c r="R383" s="190"/>
      <x:c r="S383" s="190"/>
      <x:c r="T383" s="190"/>
      <x:c r="U383" s="190"/>
      <x:c r="V383" s="212"/>
      <x:c r="W383" s="212"/>
      <x:c r="X383" s="200"/>
      <x:c r="Y383" s="192"/>
      <x:c r="Z383" s="214"/>
      <x:c r="AA383" s="214"/>
      <x:c r="AB383" s="192"/>
      <x:c r="AC383" s="194"/>
      <x:c r="AD383" s="186" t="str">
        <x:f>IF(COUNTA(B383:H383)+COUNTA(J383:AC383)=0,"",IF(OR(B383="",D383="",E383="",G383="",J383=""),"缺少必填项",IF(H383&gt;G383,"完成数大于订单数",IF(AND(X383="",OR(Y383="排队",Y383="生产中",Y383="阻塞",Z383&lt;&gt;"",AA383&lt;&gt;"",AB383="是")),"已有排期字段缺少机台",IF(AND(X383&lt;&gt;"",Y383="待排"),"已填机台但状态为待排",IF(AND(Y383="生产中",AB383&lt;&gt;"是"),"需确认：生产中未锁定","可导入"))))))</x:f>
      </x:c>
    </x:row>
    <x:row r="384" ht="22" customHeight="1">
      <x:c r="A384" s="186" t="str">
        <x:f>IF(B384="","",ROW()-5)</x:f>
      </x:c>
      <x:c r="B384" s="196"/>
      <x:c r="C384" s="198"/>
      <x:c r="D384" s="196"/>
      <x:c r="E384" s="188"/>
      <x:c r="F384" s="198"/>
      <x:c r="G384" s="202"/>
      <x:c r="H384" s="204"/>
      <x:c r="I384" s="206" t="str">
        <x:f>IF(G384="","",MAX(G384-H384,0))</x:f>
      </x:c>
      <x:c r="J384" s="210"/>
      <x:c r="K384" s="190"/>
      <x:c r="L384" s="208"/>
      <x:c r="M384" s="208"/>
      <x:c r="N384" s="208"/>
      <x:c r="O384" s="208"/>
      <x:c r="P384" s="190"/>
      <x:c r="Q384" s="190"/>
      <x:c r="R384" s="190"/>
      <x:c r="S384" s="190"/>
      <x:c r="T384" s="190"/>
      <x:c r="U384" s="190"/>
      <x:c r="V384" s="212"/>
      <x:c r="W384" s="212"/>
      <x:c r="X384" s="200"/>
      <x:c r="Y384" s="192"/>
      <x:c r="Z384" s="214"/>
      <x:c r="AA384" s="214"/>
      <x:c r="AB384" s="192"/>
      <x:c r="AC384" s="194"/>
      <x:c r="AD384" s="186" t="str">
        <x:f>IF(COUNTA(B384:H384)+COUNTA(J384:AC384)=0,"",IF(OR(B384="",D384="",E384="",G384="",J384=""),"缺少必填项",IF(H384&gt;G384,"完成数大于订单数",IF(AND(X384="",OR(Y384="排队",Y384="生产中",Y384="阻塞",Z384&lt;&gt;"",AA384&lt;&gt;"",AB384="是")),"已有排期字段缺少机台",IF(AND(X384&lt;&gt;"",Y384="待排"),"已填机台但状态为待排",IF(AND(Y384="生产中",AB384&lt;&gt;"是"),"需确认：生产中未锁定","可导入"))))))</x:f>
      </x:c>
    </x:row>
    <x:row r="385" ht="22" customHeight="1">
      <x:c r="A385" s="186" t="str">
        <x:f>IF(B385="","",ROW()-5)</x:f>
      </x:c>
      <x:c r="B385" s="196"/>
      <x:c r="C385" s="198"/>
      <x:c r="D385" s="196"/>
      <x:c r="E385" s="188"/>
      <x:c r="F385" s="198"/>
      <x:c r="G385" s="202"/>
      <x:c r="H385" s="204"/>
      <x:c r="I385" s="206" t="str">
        <x:f>IF(G385="","",MAX(G385-H385,0))</x:f>
      </x:c>
      <x:c r="J385" s="210"/>
      <x:c r="K385" s="190"/>
      <x:c r="L385" s="208"/>
      <x:c r="M385" s="208"/>
      <x:c r="N385" s="208"/>
      <x:c r="O385" s="208"/>
      <x:c r="P385" s="190"/>
      <x:c r="Q385" s="190"/>
      <x:c r="R385" s="190"/>
      <x:c r="S385" s="190"/>
      <x:c r="T385" s="190"/>
      <x:c r="U385" s="190"/>
      <x:c r="V385" s="212"/>
      <x:c r="W385" s="212"/>
      <x:c r="X385" s="200"/>
      <x:c r="Y385" s="192"/>
      <x:c r="Z385" s="214"/>
      <x:c r="AA385" s="214"/>
      <x:c r="AB385" s="192"/>
      <x:c r="AC385" s="194"/>
      <x:c r="AD385" s="186" t="str">
        <x:f>IF(COUNTA(B385:H385)+COUNTA(J385:AC385)=0,"",IF(OR(B385="",D385="",E385="",G385="",J385=""),"缺少必填项",IF(H385&gt;G385,"完成数大于订单数",IF(AND(X385="",OR(Y385="排队",Y385="生产中",Y385="阻塞",Z385&lt;&gt;"",AA385&lt;&gt;"",AB385="是")),"已有排期字段缺少机台",IF(AND(X385&lt;&gt;"",Y385="待排"),"已填机台但状态为待排",IF(AND(Y385="生产中",AB385&lt;&gt;"是"),"需确认：生产中未锁定","可导入"))))))</x:f>
      </x:c>
    </x:row>
    <x:row r="386" ht="22" customHeight="1">
      <x:c r="A386" s="186" t="str">
        <x:f>IF(B386="","",ROW()-5)</x:f>
      </x:c>
      <x:c r="B386" s="196"/>
      <x:c r="C386" s="198"/>
      <x:c r="D386" s="196"/>
      <x:c r="E386" s="188"/>
      <x:c r="F386" s="198"/>
      <x:c r="G386" s="202"/>
      <x:c r="H386" s="204"/>
      <x:c r="I386" s="206" t="str">
        <x:f>IF(G386="","",MAX(G386-H386,0))</x:f>
      </x:c>
      <x:c r="J386" s="210"/>
      <x:c r="K386" s="190"/>
      <x:c r="L386" s="208"/>
      <x:c r="M386" s="208"/>
      <x:c r="N386" s="208"/>
      <x:c r="O386" s="208"/>
      <x:c r="P386" s="190"/>
      <x:c r="Q386" s="190"/>
      <x:c r="R386" s="190"/>
      <x:c r="S386" s="190"/>
      <x:c r="T386" s="190"/>
      <x:c r="U386" s="190"/>
      <x:c r="V386" s="212"/>
      <x:c r="W386" s="212"/>
      <x:c r="X386" s="200"/>
      <x:c r="Y386" s="192"/>
      <x:c r="Z386" s="214"/>
      <x:c r="AA386" s="214"/>
      <x:c r="AB386" s="192"/>
      <x:c r="AC386" s="194"/>
      <x:c r="AD386" s="186" t="str">
        <x:f>IF(COUNTA(B386:H386)+COUNTA(J386:AC386)=0,"",IF(OR(B386="",D386="",E386="",G386="",J386=""),"缺少必填项",IF(H386&gt;G386,"完成数大于订单数",IF(AND(X386="",OR(Y386="排队",Y386="生产中",Y386="阻塞",Z386&lt;&gt;"",AA386&lt;&gt;"",AB386="是")),"已有排期字段缺少机台",IF(AND(X386&lt;&gt;"",Y386="待排"),"已填机台但状态为待排",IF(AND(Y386="生产中",AB386&lt;&gt;"是"),"需确认：生产中未锁定","可导入"))))))</x:f>
      </x:c>
    </x:row>
    <x:row r="387" ht="22" customHeight="1">
      <x:c r="A387" s="186" t="str">
        <x:f>IF(B387="","",ROW()-5)</x:f>
      </x:c>
      <x:c r="B387" s="196"/>
      <x:c r="C387" s="198"/>
      <x:c r="D387" s="196"/>
      <x:c r="E387" s="188"/>
      <x:c r="F387" s="198"/>
      <x:c r="G387" s="202"/>
      <x:c r="H387" s="204"/>
      <x:c r="I387" s="206" t="str">
        <x:f>IF(G387="","",MAX(G387-H387,0))</x:f>
      </x:c>
      <x:c r="J387" s="210"/>
      <x:c r="K387" s="190"/>
      <x:c r="L387" s="208"/>
      <x:c r="M387" s="208"/>
      <x:c r="N387" s="208"/>
      <x:c r="O387" s="208"/>
      <x:c r="P387" s="190"/>
      <x:c r="Q387" s="190"/>
      <x:c r="R387" s="190"/>
      <x:c r="S387" s="190"/>
      <x:c r="T387" s="190"/>
      <x:c r="U387" s="190"/>
      <x:c r="V387" s="212"/>
      <x:c r="W387" s="212"/>
      <x:c r="X387" s="200"/>
      <x:c r="Y387" s="192"/>
      <x:c r="Z387" s="214"/>
      <x:c r="AA387" s="214"/>
      <x:c r="AB387" s="192"/>
      <x:c r="AC387" s="194"/>
      <x:c r="AD387" s="186" t="str">
        <x:f>IF(COUNTA(B387:H387)+COUNTA(J387:AC387)=0,"",IF(OR(B387="",D387="",E387="",G387="",J387=""),"缺少必填项",IF(H387&gt;G387,"完成数大于订单数",IF(AND(X387="",OR(Y387="排队",Y387="生产中",Y387="阻塞",Z387&lt;&gt;"",AA387&lt;&gt;"",AB387="是")),"已有排期字段缺少机台",IF(AND(X387&lt;&gt;"",Y387="待排"),"已填机台但状态为待排",IF(AND(Y387="生产中",AB387&lt;&gt;"是"),"需确认：生产中未锁定","可导入"))))))</x:f>
      </x:c>
    </x:row>
    <x:row r="388" ht="22" customHeight="1">
      <x:c r="A388" s="186" t="str">
        <x:f>IF(B388="","",ROW()-5)</x:f>
      </x:c>
      <x:c r="B388" s="196"/>
      <x:c r="C388" s="198"/>
      <x:c r="D388" s="196"/>
      <x:c r="E388" s="188"/>
      <x:c r="F388" s="198"/>
      <x:c r="G388" s="202"/>
      <x:c r="H388" s="204"/>
      <x:c r="I388" s="206" t="str">
        <x:f>IF(G388="","",MAX(G388-H388,0))</x:f>
      </x:c>
      <x:c r="J388" s="210"/>
      <x:c r="K388" s="190"/>
      <x:c r="L388" s="208"/>
      <x:c r="M388" s="208"/>
      <x:c r="N388" s="208"/>
      <x:c r="O388" s="208"/>
      <x:c r="P388" s="190"/>
      <x:c r="Q388" s="190"/>
      <x:c r="R388" s="190"/>
      <x:c r="S388" s="190"/>
      <x:c r="T388" s="190"/>
      <x:c r="U388" s="190"/>
      <x:c r="V388" s="212"/>
      <x:c r="W388" s="212"/>
      <x:c r="X388" s="200"/>
      <x:c r="Y388" s="192"/>
      <x:c r="Z388" s="214"/>
      <x:c r="AA388" s="214"/>
      <x:c r="AB388" s="192"/>
      <x:c r="AC388" s="194"/>
      <x:c r="AD388" s="186" t="str">
        <x:f>IF(COUNTA(B388:H388)+COUNTA(J388:AC388)=0,"",IF(OR(B388="",D388="",E388="",G388="",J388=""),"缺少必填项",IF(H388&gt;G388,"完成数大于订单数",IF(AND(X388="",OR(Y388="排队",Y388="生产中",Y388="阻塞",Z388&lt;&gt;"",AA388&lt;&gt;"",AB388="是")),"已有排期字段缺少机台",IF(AND(X388&lt;&gt;"",Y388="待排"),"已填机台但状态为待排",IF(AND(Y388="生产中",AB388&lt;&gt;"是"),"需确认：生产中未锁定","可导入"))))))</x:f>
      </x:c>
    </x:row>
    <x:row r="389" ht="22" customHeight="1">
      <x:c r="A389" s="186" t="str">
        <x:f>IF(B389="","",ROW()-5)</x:f>
      </x:c>
      <x:c r="B389" s="196"/>
      <x:c r="C389" s="198"/>
      <x:c r="D389" s="196"/>
      <x:c r="E389" s="188"/>
      <x:c r="F389" s="198"/>
      <x:c r="G389" s="202"/>
      <x:c r="H389" s="204"/>
      <x:c r="I389" s="206" t="str">
        <x:f>IF(G389="","",MAX(G389-H389,0))</x:f>
      </x:c>
      <x:c r="J389" s="210"/>
      <x:c r="K389" s="190"/>
      <x:c r="L389" s="208"/>
      <x:c r="M389" s="208"/>
      <x:c r="N389" s="208"/>
      <x:c r="O389" s="208"/>
      <x:c r="P389" s="190"/>
      <x:c r="Q389" s="190"/>
      <x:c r="R389" s="190"/>
      <x:c r="S389" s="190"/>
      <x:c r="T389" s="190"/>
      <x:c r="U389" s="190"/>
      <x:c r="V389" s="212"/>
      <x:c r="W389" s="212"/>
      <x:c r="X389" s="200"/>
      <x:c r="Y389" s="192"/>
      <x:c r="Z389" s="214"/>
      <x:c r="AA389" s="214"/>
      <x:c r="AB389" s="192"/>
      <x:c r="AC389" s="194"/>
      <x:c r="AD389" s="186" t="str">
        <x:f>IF(COUNTA(B389:H389)+COUNTA(J389:AC389)=0,"",IF(OR(B389="",D389="",E389="",G389="",J389=""),"缺少必填项",IF(H389&gt;G389,"完成数大于订单数",IF(AND(X389="",OR(Y389="排队",Y389="生产中",Y389="阻塞",Z389&lt;&gt;"",AA389&lt;&gt;"",AB389="是")),"已有排期字段缺少机台",IF(AND(X389&lt;&gt;"",Y389="待排"),"已填机台但状态为待排",IF(AND(Y389="生产中",AB389&lt;&gt;"是"),"需确认：生产中未锁定","可导入"))))))</x:f>
      </x:c>
    </x:row>
    <x:row r="390" ht="22" customHeight="1">
      <x:c r="A390" s="186" t="str">
        <x:f>IF(B390="","",ROW()-5)</x:f>
      </x:c>
      <x:c r="B390" s="196"/>
      <x:c r="C390" s="198"/>
      <x:c r="D390" s="196"/>
      <x:c r="E390" s="188"/>
      <x:c r="F390" s="198"/>
      <x:c r="G390" s="202"/>
      <x:c r="H390" s="204"/>
      <x:c r="I390" s="206" t="str">
        <x:f>IF(G390="","",MAX(G390-H390,0))</x:f>
      </x:c>
      <x:c r="J390" s="210"/>
      <x:c r="K390" s="190"/>
      <x:c r="L390" s="208"/>
      <x:c r="M390" s="208"/>
      <x:c r="N390" s="208"/>
      <x:c r="O390" s="208"/>
      <x:c r="P390" s="190"/>
      <x:c r="Q390" s="190"/>
      <x:c r="R390" s="190"/>
      <x:c r="S390" s="190"/>
      <x:c r="T390" s="190"/>
      <x:c r="U390" s="190"/>
      <x:c r="V390" s="212"/>
      <x:c r="W390" s="212"/>
      <x:c r="X390" s="200"/>
      <x:c r="Y390" s="192"/>
      <x:c r="Z390" s="214"/>
      <x:c r="AA390" s="214"/>
      <x:c r="AB390" s="192"/>
      <x:c r="AC390" s="194"/>
      <x:c r="AD390" s="186" t="str">
        <x:f>IF(COUNTA(B390:H390)+COUNTA(J390:AC390)=0,"",IF(OR(B390="",D390="",E390="",G390="",J390=""),"缺少必填项",IF(H390&gt;G390,"完成数大于订单数",IF(AND(X390="",OR(Y390="排队",Y390="生产中",Y390="阻塞",Z390&lt;&gt;"",AA390&lt;&gt;"",AB390="是")),"已有排期字段缺少机台",IF(AND(X390&lt;&gt;"",Y390="待排"),"已填机台但状态为待排",IF(AND(Y390="生产中",AB390&lt;&gt;"是"),"需确认：生产中未锁定","可导入"))))))</x:f>
      </x:c>
    </x:row>
    <x:row r="391" ht="22" customHeight="1">
      <x:c r="A391" s="186" t="str">
        <x:f>IF(B391="","",ROW()-5)</x:f>
      </x:c>
      <x:c r="B391" s="196"/>
      <x:c r="C391" s="198"/>
      <x:c r="D391" s="196"/>
      <x:c r="E391" s="188"/>
      <x:c r="F391" s="198"/>
      <x:c r="G391" s="202"/>
      <x:c r="H391" s="204"/>
      <x:c r="I391" s="206" t="str">
        <x:f>IF(G391="","",MAX(G391-H391,0))</x:f>
      </x:c>
      <x:c r="J391" s="210"/>
      <x:c r="K391" s="190"/>
      <x:c r="L391" s="208"/>
      <x:c r="M391" s="208"/>
      <x:c r="N391" s="208"/>
      <x:c r="O391" s="208"/>
      <x:c r="P391" s="190"/>
      <x:c r="Q391" s="190"/>
      <x:c r="R391" s="190"/>
      <x:c r="S391" s="190"/>
      <x:c r="T391" s="190"/>
      <x:c r="U391" s="190"/>
      <x:c r="V391" s="212"/>
      <x:c r="W391" s="212"/>
      <x:c r="X391" s="200"/>
      <x:c r="Y391" s="192"/>
      <x:c r="Z391" s="214"/>
      <x:c r="AA391" s="214"/>
      <x:c r="AB391" s="192"/>
      <x:c r="AC391" s="194"/>
      <x:c r="AD391" s="186" t="str">
        <x:f>IF(COUNTA(B391:H391)+COUNTA(J391:AC391)=0,"",IF(OR(B391="",D391="",E391="",G391="",J391=""),"缺少必填项",IF(H391&gt;G391,"完成数大于订单数",IF(AND(X391="",OR(Y391="排队",Y391="生产中",Y391="阻塞",Z391&lt;&gt;"",AA391&lt;&gt;"",AB391="是")),"已有排期字段缺少机台",IF(AND(X391&lt;&gt;"",Y391="待排"),"已填机台但状态为待排",IF(AND(Y391="生产中",AB391&lt;&gt;"是"),"需确认：生产中未锁定","可导入"))))))</x:f>
      </x:c>
    </x:row>
    <x:row r="392" ht="22" customHeight="1">
      <x:c r="A392" s="186" t="str">
        <x:f>IF(B392="","",ROW()-5)</x:f>
      </x:c>
      <x:c r="B392" s="196"/>
      <x:c r="C392" s="198"/>
      <x:c r="D392" s="196"/>
      <x:c r="E392" s="188"/>
      <x:c r="F392" s="198"/>
      <x:c r="G392" s="202"/>
      <x:c r="H392" s="204"/>
      <x:c r="I392" s="206" t="str">
        <x:f>IF(G392="","",MAX(G392-H392,0))</x:f>
      </x:c>
      <x:c r="J392" s="210"/>
      <x:c r="K392" s="190"/>
      <x:c r="L392" s="208"/>
      <x:c r="M392" s="208"/>
      <x:c r="N392" s="208"/>
      <x:c r="O392" s="208"/>
      <x:c r="P392" s="190"/>
      <x:c r="Q392" s="190"/>
      <x:c r="R392" s="190"/>
      <x:c r="S392" s="190"/>
      <x:c r="T392" s="190"/>
      <x:c r="U392" s="190"/>
      <x:c r="V392" s="212"/>
      <x:c r="W392" s="212"/>
      <x:c r="X392" s="200"/>
      <x:c r="Y392" s="192"/>
      <x:c r="Z392" s="214"/>
      <x:c r="AA392" s="214"/>
      <x:c r="AB392" s="192"/>
      <x:c r="AC392" s="194"/>
      <x:c r="AD392" s="186" t="str">
        <x:f>IF(COUNTA(B392:H392)+COUNTA(J392:AC392)=0,"",IF(OR(B392="",D392="",E392="",G392="",J392=""),"缺少必填项",IF(H392&gt;G392,"完成数大于订单数",IF(AND(X392="",OR(Y392="排队",Y392="生产中",Y392="阻塞",Z392&lt;&gt;"",AA392&lt;&gt;"",AB392="是")),"已有排期字段缺少机台",IF(AND(X392&lt;&gt;"",Y392="待排"),"已填机台但状态为待排",IF(AND(Y392="生产中",AB392&lt;&gt;"是"),"需确认：生产中未锁定","可导入"))))))</x:f>
      </x:c>
    </x:row>
    <x:row r="393" ht="22" customHeight="1">
      <x:c r="A393" s="186" t="str">
        <x:f>IF(B393="","",ROW()-5)</x:f>
      </x:c>
      <x:c r="B393" s="196"/>
      <x:c r="C393" s="198"/>
      <x:c r="D393" s="196"/>
      <x:c r="E393" s="188"/>
      <x:c r="F393" s="198"/>
      <x:c r="G393" s="202"/>
      <x:c r="H393" s="204"/>
      <x:c r="I393" s="206" t="str">
        <x:f>IF(G393="","",MAX(G393-H393,0))</x:f>
      </x:c>
      <x:c r="J393" s="210"/>
      <x:c r="K393" s="190"/>
      <x:c r="L393" s="208"/>
      <x:c r="M393" s="208"/>
      <x:c r="N393" s="208"/>
      <x:c r="O393" s="208"/>
      <x:c r="P393" s="190"/>
      <x:c r="Q393" s="190"/>
      <x:c r="R393" s="190"/>
      <x:c r="S393" s="190"/>
      <x:c r="T393" s="190"/>
      <x:c r="U393" s="190"/>
      <x:c r="V393" s="212"/>
      <x:c r="W393" s="212"/>
      <x:c r="X393" s="200"/>
      <x:c r="Y393" s="192"/>
      <x:c r="Z393" s="214"/>
      <x:c r="AA393" s="214"/>
      <x:c r="AB393" s="192"/>
      <x:c r="AC393" s="194"/>
      <x:c r="AD393" s="186" t="str">
        <x:f>IF(COUNTA(B393:H393)+COUNTA(J393:AC393)=0,"",IF(OR(B393="",D393="",E393="",G393="",J393=""),"缺少必填项",IF(H393&gt;G393,"完成数大于订单数",IF(AND(X393="",OR(Y393="排队",Y393="生产中",Y393="阻塞",Z393&lt;&gt;"",AA393&lt;&gt;"",AB393="是")),"已有排期字段缺少机台",IF(AND(X393&lt;&gt;"",Y393="待排"),"已填机台但状态为待排",IF(AND(Y393="生产中",AB393&lt;&gt;"是"),"需确认：生产中未锁定","可导入"))))))</x:f>
      </x:c>
    </x:row>
    <x:row r="394" ht="22" customHeight="1">
      <x:c r="A394" s="186" t="str">
        <x:f>IF(B394="","",ROW()-5)</x:f>
      </x:c>
      <x:c r="B394" s="196"/>
      <x:c r="C394" s="198"/>
      <x:c r="D394" s="196"/>
      <x:c r="E394" s="188"/>
      <x:c r="F394" s="198"/>
      <x:c r="G394" s="202"/>
      <x:c r="H394" s="204"/>
      <x:c r="I394" s="206" t="str">
        <x:f>IF(G394="","",MAX(G394-H394,0))</x:f>
      </x:c>
      <x:c r="J394" s="210"/>
      <x:c r="K394" s="190"/>
      <x:c r="L394" s="208"/>
      <x:c r="M394" s="208"/>
      <x:c r="N394" s="208"/>
      <x:c r="O394" s="208"/>
      <x:c r="P394" s="190"/>
      <x:c r="Q394" s="190"/>
      <x:c r="R394" s="190"/>
      <x:c r="S394" s="190"/>
      <x:c r="T394" s="190"/>
      <x:c r="U394" s="190"/>
      <x:c r="V394" s="212"/>
      <x:c r="W394" s="212"/>
      <x:c r="X394" s="200"/>
      <x:c r="Y394" s="192"/>
      <x:c r="Z394" s="214"/>
      <x:c r="AA394" s="214"/>
      <x:c r="AB394" s="192"/>
      <x:c r="AC394" s="194"/>
      <x:c r="AD394" s="186" t="str">
        <x:f>IF(COUNTA(B394:H394)+COUNTA(J394:AC394)=0,"",IF(OR(B394="",D394="",E394="",G394="",J394=""),"缺少必填项",IF(H394&gt;G394,"完成数大于订单数",IF(AND(X394="",OR(Y394="排队",Y394="生产中",Y394="阻塞",Z394&lt;&gt;"",AA394&lt;&gt;"",AB394="是")),"已有排期字段缺少机台",IF(AND(X394&lt;&gt;"",Y394="待排"),"已填机台但状态为待排",IF(AND(Y394="生产中",AB394&lt;&gt;"是"),"需确认：生产中未锁定","可导入"))))))</x:f>
      </x:c>
    </x:row>
    <x:row r="395" ht="22" customHeight="1">
      <x:c r="A395" s="186" t="str">
        <x:f>IF(B395="","",ROW()-5)</x:f>
      </x:c>
      <x:c r="B395" s="196"/>
      <x:c r="C395" s="198"/>
      <x:c r="D395" s="196"/>
      <x:c r="E395" s="188"/>
      <x:c r="F395" s="198"/>
      <x:c r="G395" s="202"/>
      <x:c r="H395" s="204"/>
      <x:c r="I395" s="206" t="str">
        <x:f>IF(G395="","",MAX(G395-H395,0))</x:f>
      </x:c>
      <x:c r="J395" s="210"/>
      <x:c r="K395" s="190"/>
      <x:c r="L395" s="208"/>
      <x:c r="M395" s="208"/>
      <x:c r="N395" s="208"/>
      <x:c r="O395" s="208"/>
      <x:c r="P395" s="190"/>
      <x:c r="Q395" s="190"/>
      <x:c r="R395" s="190"/>
      <x:c r="S395" s="190"/>
      <x:c r="T395" s="190"/>
      <x:c r="U395" s="190"/>
      <x:c r="V395" s="212"/>
      <x:c r="W395" s="212"/>
      <x:c r="X395" s="200"/>
      <x:c r="Y395" s="192"/>
      <x:c r="Z395" s="214"/>
      <x:c r="AA395" s="214"/>
      <x:c r="AB395" s="192"/>
      <x:c r="AC395" s="194"/>
      <x:c r="AD395" s="186" t="str">
        <x:f>IF(COUNTA(B395:H395)+COUNTA(J395:AC395)=0,"",IF(OR(B395="",D395="",E395="",G395="",J395=""),"缺少必填项",IF(H395&gt;G395,"完成数大于订单数",IF(AND(X395="",OR(Y395="排队",Y395="生产中",Y395="阻塞",Z395&lt;&gt;"",AA395&lt;&gt;"",AB395="是")),"已有排期字段缺少机台",IF(AND(X395&lt;&gt;"",Y395="待排"),"已填机台但状态为待排",IF(AND(Y395="生产中",AB395&lt;&gt;"是"),"需确认：生产中未锁定","可导入"))))))</x:f>
      </x:c>
    </x:row>
    <x:row r="396" ht="22" customHeight="1">
      <x:c r="A396" s="186" t="str">
        <x:f>IF(B396="","",ROW()-5)</x:f>
      </x:c>
      <x:c r="B396" s="196"/>
      <x:c r="C396" s="198"/>
      <x:c r="D396" s="196"/>
      <x:c r="E396" s="188"/>
      <x:c r="F396" s="198"/>
      <x:c r="G396" s="202"/>
      <x:c r="H396" s="204"/>
      <x:c r="I396" s="206" t="str">
        <x:f>IF(G396="","",MAX(G396-H396,0))</x:f>
      </x:c>
      <x:c r="J396" s="210"/>
      <x:c r="K396" s="190"/>
      <x:c r="L396" s="208"/>
      <x:c r="M396" s="208"/>
      <x:c r="N396" s="208"/>
      <x:c r="O396" s="208"/>
      <x:c r="P396" s="190"/>
      <x:c r="Q396" s="190"/>
      <x:c r="R396" s="190"/>
      <x:c r="S396" s="190"/>
      <x:c r="T396" s="190"/>
      <x:c r="U396" s="190"/>
      <x:c r="V396" s="212"/>
      <x:c r="W396" s="212"/>
      <x:c r="X396" s="200"/>
      <x:c r="Y396" s="192"/>
      <x:c r="Z396" s="214"/>
      <x:c r="AA396" s="214"/>
      <x:c r="AB396" s="192"/>
      <x:c r="AC396" s="194"/>
      <x:c r="AD396" s="186" t="str">
        <x:f>IF(COUNTA(B396:H396)+COUNTA(J396:AC396)=0,"",IF(OR(B396="",D396="",E396="",G396="",J396=""),"缺少必填项",IF(H396&gt;G396,"完成数大于订单数",IF(AND(X396="",OR(Y396="排队",Y396="生产中",Y396="阻塞",Z396&lt;&gt;"",AA396&lt;&gt;"",AB396="是")),"已有排期字段缺少机台",IF(AND(X396&lt;&gt;"",Y396="待排"),"已填机台但状态为待排",IF(AND(Y396="生产中",AB396&lt;&gt;"是"),"需确认：生产中未锁定","可导入"))))))</x:f>
      </x:c>
    </x:row>
    <x:row r="397" ht="22" customHeight="1">
      <x:c r="A397" s="186" t="str">
        <x:f>IF(B397="","",ROW()-5)</x:f>
      </x:c>
      <x:c r="B397" s="196"/>
      <x:c r="C397" s="198"/>
      <x:c r="D397" s="196"/>
      <x:c r="E397" s="188"/>
      <x:c r="F397" s="198"/>
      <x:c r="G397" s="202"/>
      <x:c r="H397" s="204"/>
      <x:c r="I397" s="206" t="str">
        <x:f>IF(G397="","",MAX(G397-H397,0))</x:f>
      </x:c>
      <x:c r="J397" s="210"/>
      <x:c r="K397" s="190"/>
      <x:c r="L397" s="208"/>
      <x:c r="M397" s="208"/>
      <x:c r="N397" s="208"/>
      <x:c r="O397" s="208"/>
      <x:c r="P397" s="190"/>
      <x:c r="Q397" s="190"/>
      <x:c r="R397" s="190"/>
      <x:c r="S397" s="190"/>
      <x:c r="T397" s="190"/>
      <x:c r="U397" s="190"/>
      <x:c r="V397" s="212"/>
      <x:c r="W397" s="212"/>
      <x:c r="X397" s="200"/>
      <x:c r="Y397" s="192"/>
      <x:c r="Z397" s="214"/>
      <x:c r="AA397" s="214"/>
      <x:c r="AB397" s="192"/>
      <x:c r="AC397" s="194"/>
      <x:c r="AD397" s="186" t="str">
        <x:f>IF(COUNTA(B397:H397)+COUNTA(J397:AC397)=0,"",IF(OR(B397="",D397="",E397="",G397="",J397=""),"缺少必填项",IF(H397&gt;G397,"完成数大于订单数",IF(AND(X397="",OR(Y397="排队",Y397="生产中",Y397="阻塞",Z397&lt;&gt;"",AA397&lt;&gt;"",AB397="是")),"已有排期字段缺少机台",IF(AND(X397&lt;&gt;"",Y397="待排"),"已填机台但状态为待排",IF(AND(Y397="生产中",AB397&lt;&gt;"是"),"需确认：生产中未锁定","可导入"))))))</x:f>
      </x:c>
    </x:row>
    <x:row r="398" ht="22" customHeight="1">
      <x:c r="A398" s="186" t="str">
        <x:f>IF(B398="","",ROW()-5)</x:f>
      </x:c>
      <x:c r="B398" s="196"/>
      <x:c r="C398" s="198"/>
      <x:c r="D398" s="196"/>
      <x:c r="E398" s="188"/>
      <x:c r="F398" s="198"/>
      <x:c r="G398" s="202"/>
      <x:c r="H398" s="204"/>
      <x:c r="I398" s="206" t="str">
        <x:f>IF(G398="","",MAX(G398-H398,0))</x:f>
      </x:c>
      <x:c r="J398" s="210"/>
      <x:c r="K398" s="190"/>
      <x:c r="L398" s="208"/>
      <x:c r="M398" s="208"/>
      <x:c r="N398" s="208"/>
      <x:c r="O398" s="208"/>
      <x:c r="P398" s="190"/>
      <x:c r="Q398" s="190"/>
      <x:c r="R398" s="190"/>
      <x:c r="S398" s="190"/>
      <x:c r="T398" s="190"/>
      <x:c r="U398" s="190"/>
      <x:c r="V398" s="212"/>
      <x:c r="W398" s="212"/>
      <x:c r="X398" s="200"/>
      <x:c r="Y398" s="192"/>
      <x:c r="Z398" s="214"/>
      <x:c r="AA398" s="214"/>
      <x:c r="AB398" s="192"/>
      <x:c r="AC398" s="194"/>
      <x:c r="AD398" s="186" t="str">
        <x:f>IF(COUNTA(B398:H398)+COUNTA(J398:AC398)=0,"",IF(OR(B398="",D398="",E398="",G398="",J398=""),"缺少必填项",IF(H398&gt;G398,"完成数大于订单数",IF(AND(X398="",OR(Y398="排队",Y398="生产中",Y398="阻塞",Z398&lt;&gt;"",AA398&lt;&gt;"",AB398="是")),"已有排期字段缺少机台",IF(AND(X398&lt;&gt;"",Y398="待排"),"已填机台但状态为待排",IF(AND(Y398="生产中",AB398&lt;&gt;"是"),"需确认：生产中未锁定","可导入"))))))</x:f>
      </x:c>
    </x:row>
    <x:row r="399" ht="22" customHeight="1">
      <x:c r="A399" s="186" t="str">
        <x:f>IF(B399="","",ROW()-5)</x:f>
      </x:c>
      <x:c r="B399" s="196"/>
      <x:c r="C399" s="198"/>
      <x:c r="D399" s="196"/>
      <x:c r="E399" s="188"/>
      <x:c r="F399" s="198"/>
      <x:c r="G399" s="202"/>
      <x:c r="H399" s="204"/>
      <x:c r="I399" s="206" t="str">
        <x:f>IF(G399="","",MAX(G399-H399,0))</x:f>
      </x:c>
      <x:c r="J399" s="210"/>
      <x:c r="K399" s="190"/>
      <x:c r="L399" s="208"/>
      <x:c r="M399" s="208"/>
      <x:c r="N399" s="208"/>
      <x:c r="O399" s="208"/>
      <x:c r="P399" s="190"/>
      <x:c r="Q399" s="190"/>
      <x:c r="R399" s="190"/>
      <x:c r="S399" s="190"/>
      <x:c r="T399" s="190"/>
      <x:c r="U399" s="190"/>
      <x:c r="V399" s="212"/>
      <x:c r="W399" s="212"/>
      <x:c r="X399" s="200"/>
      <x:c r="Y399" s="192"/>
      <x:c r="Z399" s="214"/>
      <x:c r="AA399" s="214"/>
      <x:c r="AB399" s="192"/>
      <x:c r="AC399" s="194"/>
      <x:c r="AD399" s="186" t="str">
        <x:f>IF(COUNTA(B399:H399)+COUNTA(J399:AC399)=0,"",IF(OR(B399="",D399="",E399="",G399="",J399=""),"缺少必填项",IF(H399&gt;G399,"完成数大于订单数",IF(AND(X399="",OR(Y399="排队",Y399="生产中",Y399="阻塞",Z399&lt;&gt;"",AA399&lt;&gt;"",AB399="是")),"已有排期字段缺少机台",IF(AND(X399&lt;&gt;"",Y399="待排"),"已填机台但状态为待排",IF(AND(Y399="生产中",AB399&lt;&gt;"是"),"需确认：生产中未锁定","可导入"))))))</x:f>
      </x:c>
    </x:row>
    <x:row r="400" ht="22" customHeight="1">
      <x:c r="A400" s="186" t="str">
        <x:f>IF(B400="","",ROW()-5)</x:f>
      </x:c>
      <x:c r="B400" s="196"/>
      <x:c r="C400" s="198"/>
      <x:c r="D400" s="196"/>
      <x:c r="E400" s="188"/>
      <x:c r="F400" s="198"/>
      <x:c r="G400" s="202"/>
      <x:c r="H400" s="204"/>
      <x:c r="I400" s="206" t="str">
        <x:f>IF(G400="","",MAX(G400-H400,0))</x:f>
      </x:c>
      <x:c r="J400" s="210"/>
      <x:c r="K400" s="190"/>
      <x:c r="L400" s="208"/>
      <x:c r="M400" s="208"/>
      <x:c r="N400" s="208"/>
      <x:c r="O400" s="208"/>
      <x:c r="P400" s="190"/>
      <x:c r="Q400" s="190"/>
      <x:c r="R400" s="190"/>
      <x:c r="S400" s="190"/>
      <x:c r="T400" s="190"/>
      <x:c r="U400" s="190"/>
      <x:c r="V400" s="212"/>
      <x:c r="W400" s="212"/>
      <x:c r="X400" s="200"/>
      <x:c r="Y400" s="192"/>
      <x:c r="Z400" s="214"/>
      <x:c r="AA400" s="214"/>
      <x:c r="AB400" s="192"/>
      <x:c r="AC400" s="194"/>
      <x:c r="AD400" s="186" t="str">
        <x:f>IF(COUNTA(B400:H400)+COUNTA(J400:AC400)=0,"",IF(OR(B400="",D400="",E400="",G400="",J400=""),"缺少必填项",IF(H400&gt;G400,"完成数大于订单数",IF(AND(X400="",OR(Y400="排队",Y400="生产中",Y400="阻塞",Z400&lt;&gt;"",AA400&lt;&gt;"",AB400="是")),"已有排期字段缺少机台",IF(AND(X400&lt;&gt;"",Y400="待排"),"已填机台但状态为待排",IF(AND(Y400="生产中",AB400&lt;&gt;"是"),"需确认：生产中未锁定","可导入"))))))</x:f>
      </x:c>
    </x:row>
    <x:row r="401" ht="22" customHeight="1">
      <x:c r="A401" s="186" t="str">
        <x:f>IF(B401="","",ROW()-5)</x:f>
      </x:c>
      <x:c r="B401" s="196"/>
      <x:c r="C401" s="198"/>
      <x:c r="D401" s="196"/>
      <x:c r="E401" s="188"/>
      <x:c r="F401" s="198"/>
      <x:c r="G401" s="202"/>
      <x:c r="H401" s="204"/>
      <x:c r="I401" s="206" t="str">
        <x:f>IF(G401="","",MAX(G401-H401,0))</x:f>
      </x:c>
      <x:c r="J401" s="210"/>
      <x:c r="K401" s="190"/>
      <x:c r="L401" s="208"/>
      <x:c r="M401" s="208"/>
      <x:c r="N401" s="208"/>
      <x:c r="O401" s="208"/>
      <x:c r="P401" s="190"/>
      <x:c r="Q401" s="190"/>
      <x:c r="R401" s="190"/>
      <x:c r="S401" s="190"/>
      <x:c r="T401" s="190"/>
      <x:c r="U401" s="190"/>
      <x:c r="V401" s="212"/>
      <x:c r="W401" s="212"/>
      <x:c r="X401" s="200"/>
      <x:c r="Y401" s="192"/>
      <x:c r="Z401" s="214"/>
      <x:c r="AA401" s="214"/>
      <x:c r="AB401" s="192"/>
      <x:c r="AC401" s="194"/>
      <x:c r="AD401" s="186" t="str">
        <x:f>IF(COUNTA(B401:H401)+COUNTA(J401:AC401)=0,"",IF(OR(B401="",D401="",E401="",G401="",J401=""),"缺少必填项",IF(H401&gt;G401,"完成数大于订单数",IF(AND(X401="",OR(Y401="排队",Y401="生产中",Y401="阻塞",Z401&lt;&gt;"",AA401&lt;&gt;"",AB401="是")),"已有排期字段缺少机台",IF(AND(X401&lt;&gt;"",Y401="待排"),"已填机台但状态为待排",IF(AND(Y401="生产中",AB401&lt;&gt;"是"),"需确认：生产中未锁定","可导入"))))))</x:f>
      </x:c>
    </x:row>
    <x:row r="402" ht="22" customHeight="1">
      <x:c r="A402" s="186" t="str">
        <x:f>IF(B402="","",ROW()-5)</x:f>
      </x:c>
      <x:c r="B402" s="196"/>
      <x:c r="C402" s="198"/>
      <x:c r="D402" s="196"/>
      <x:c r="E402" s="188"/>
      <x:c r="F402" s="198"/>
      <x:c r="G402" s="202"/>
      <x:c r="H402" s="204"/>
      <x:c r="I402" s="206" t="str">
        <x:f>IF(G402="","",MAX(G402-H402,0))</x:f>
      </x:c>
      <x:c r="J402" s="210"/>
      <x:c r="K402" s="190"/>
      <x:c r="L402" s="208"/>
      <x:c r="M402" s="208"/>
      <x:c r="N402" s="208"/>
      <x:c r="O402" s="208"/>
      <x:c r="P402" s="190"/>
      <x:c r="Q402" s="190"/>
      <x:c r="R402" s="190"/>
      <x:c r="S402" s="190"/>
      <x:c r="T402" s="190"/>
      <x:c r="U402" s="190"/>
      <x:c r="V402" s="212"/>
      <x:c r="W402" s="212"/>
      <x:c r="X402" s="200"/>
      <x:c r="Y402" s="192"/>
      <x:c r="Z402" s="214"/>
      <x:c r="AA402" s="214"/>
      <x:c r="AB402" s="192"/>
      <x:c r="AC402" s="194"/>
      <x:c r="AD402" s="186" t="str">
        <x:f>IF(COUNTA(B402:H402)+COUNTA(J402:AC402)=0,"",IF(OR(B402="",D402="",E402="",G402="",J402=""),"缺少必填项",IF(H402&gt;G402,"完成数大于订单数",IF(AND(X402="",OR(Y402="排队",Y402="生产中",Y402="阻塞",Z402&lt;&gt;"",AA402&lt;&gt;"",AB402="是")),"已有排期字段缺少机台",IF(AND(X402&lt;&gt;"",Y402="待排"),"已填机台但状态为待排",IF(AND(Y402="生产中",AB402&lt;&gt;"是"),"需确认：生产中未锁定","可导入"))))))</x:f>
      </x:c>
    </x:row>
    <x:row r="403" ht="22" customHeight="1">
      <x:c r="A403" s="186" t="str">
        <x:f>IF(B403="","",ROW()-5)</x:f>
      </x:c>
      <x:c r="B403" s="196"/>
      <x:c r="C403" s="198"/>
      <x:c r="D403" s="196"/>
      <x:c r="E403" s="188"/>
      <x:c r="F403" s="198"/>
      <x:c r="G403" s="202"/>
      <x:c r="H403" s="204"/>
      <x:c r="I403" s="206" t="str">
        <x:f>IF(G403="","",MAX(G403-H403,0))</x:f>
      </x:c>
      <x:c r="J403" s="210"/>
      <x:c r="K403" s="190"/>
      <x:c r="L403" s="208"/>
      <x:c r="M403" s="208"/>
      <x:c r="N403" s="208"/>
      <x:c r="O403" s="208"/>
      <x:c r="P403" s="190"/>
      <x:c r="Q403" s="190"/>
      <x:c r="R403" s="190"/>
      <x:c r="S403" s="190"/>
      <x:c r="T403" s="190"/>
      <x:c r="U403" s="190"/>
      <x:c r="V403" s="212"/>
      <x:c r="W403" s="212"/>
      <x:c r="X403" s="200"/>
      <x:c r="Y403" s="192"/>
      <x:c r="Z403" s="214"/>
      <x:c r="AA403" s="214"/>
      <x:c r="AB403" s="192"/>
      <x:c r="AC403" s="194"/>
      <x:c r="AD403" s="186" t="str">
        <x:f>IF(COUNTA(B403:H403)+COUNTA(J403:AC403)=0,"",IF(OR(B403="",D403="",E403="",G403="",J403=""),"缺少必填项",IF(H403&gt;G403,"完成数大于订单数",IF(AND(X403="",OR(Y403="排队",Y403="生产中",Y403="阻塞",Z403&lt;&gt;"",AA403&lt;&gt;"",AB403="是")),"已有排期字段缺少机台",IF(AND(X403&lt;&gt;"",Y403="待排"),"已填机台但状态为待排",IF(AND(Y403="生产中",AB403&lt;&gt;"是"),"需确认：生产中未锁定","可导入"))))))</x:f>
      </x:c>
    </x:row>
    <x:row r="404" ht="22" customHeight="1">
      <x:c r="A404" s="186" t="str">
        <x:f>IF(B404="","",ROW()-5)</x:f>
      </x:c>
      <x:c r="B404" s="196"/>
      <x:c r="C404" s="198"/>
      <x:c r="D404" s="196"/>
      <x:c r="E404" s="188"/>
      <x:c r="F404" s="198"/>
      <x:c r="G404" s="202"/>
      <x:c r="H404" s="204"/>
      <x:c r="I404" s="206" t="str">
        <x:f>IF(G404="","",MAX(G404-H404,0))</x:f>
      </x:c>
      <x:c r="J404" s="210"/>
      <x:c r="K404" s="190"/>
      <x:c r="L404" s="208"/>
      <x:c r="M404" s="208"/>
      <x:c r="N404" s="208"/>
      <x:c r="O404" s="208"/>
      <x:c r="P404" s="190"/>
      <x:c r="Q404" s="190"/>
      <x:c r="R404" s="190"/>
      <x:c r="S404" s="190"/>
      <x:c r="T404" s="190"/>
      <x:c r="U404" s="190"/>
      <x:c r="V404" s="212"/>
      <x:c r="W404" s="212"/>
      <x:c r="X404" s="200"/>
      <x:c r="Y404" s="192"/>
      <x:c r="Z404" s="214"/>
      <x:c r="AA404" s="214"/>
      <x:c r="AB404" s="192"/>
      <x:c r="AC404" s="194"/>
      <x:c r="AD404" s="186" t="str">
        <x:f>IF(COUNTA(B404:H404)+COUNTA(J404:AC404)=0,"",IF(OR(B404="",D404="",E404="",G404="",J404=""),"缺少必填项",IF(H404&gt;G404,"完成数大于订单数",IF(AND(X404="",OR(Y404="排队",Y404="生产中",Y404="阻塞",Z404&lt;&gt;"",AA404&lt;&gt;"",AB404="是")),"已有排期字段缺少机台",IF(AND(X404&lt;&gt;"",Y404="待排"),"已填机台但状态为待排",IF(AND(Y404="生产中",AB404&lt;&gt;"是"),"需确认：生产中未锁定","可导入"))))))</x:f>
      </x:c>
    </x:row>
    <x:row r="405" ht="22" customHeight="1">
      <x:c r="A405" s="186" t="str">
        <x:f>IF(B405="","",ROW()-5)</x:f>
      </x:c>
      <x:c r="B405" s="196"/>
      <x:c r="C405" s="198"/>
      <x:c r="D405" s="196"/>
      <x:c r="E405" s="188"/>
      <x:c r="F405" s="198"/>
      <x:c r="G405" s="202"/>
      <x:c r="H405" s="204"/>
      <x:c r="I405" s="206" t="str">
        <x:f>IF(G405="","",MAX(G405-H405,0))</x:f>
      </x:c>
      <x:c r="J405" s="210"/>
      <x:c r="K405" s="190"/>
      <x:c r="L405" s="208"/>
      <x:c r="M405" s="208"/>
      <x:c r="N405" s="208"/>
      <x:c r="O405" s="208"/>
      <x:c r="P405" s="190"/>
      <x:c r="Q405" s="190"/>
      <x:c r="R405" s="190"/>
      <x:c r="S405" s="190"/>
      <x:c r="T405" s="190"/>
      <x:c r="U405" s="190"/>
      <x:c r="V405" s="212"/>
      <x:c r="W405" s="212"/>
      <x:c r="X405" s="200"/>
      <x:c r="Y405" s="192"/>
      <x:c r="Z405" s="214"/>
      <x:c r="AA405" s="214"/>
      <x:c r="AB405" s="192"/>
      <x:c r="AC405" s="194"/>
      <x:c r="AD405" s="186" t="str">
        <x:f>IF(COUNTA(B405:H405)+COUNTA(J405:AC405)=0,"",IF(OR(B405="",D405="",E405="",G405="",J405=""),"缺少必填项",IF(H405&gt;G405,"完成数大于订单数",IF(AND(X405="",OR(Y405="排队",Y405="生产中",Y405="阻塞",Z405&lt;&gt;"",AA405&lt;&gt;"",AB405="是")),"已有排期字段缺少机台",IF(AND(X405&lt;&gt;"",Y405="待排"),"已填机台但状态为待排",IF(AND(Y405="生产中",AB405&lt;&gt;"是"),"需确认：生产中未锁定","可导入"))))))</x:f>
      </x:c>
    </x:row>
    <x:row r="406" ht="22" customHeight="1">
      <x:c r="A406" s="186" t="str">
        <x:f>IF(B406="","",ROW()-5)</x:f>
      </x:c>
      <x:c r="B406" s="196"/>
      <x:c r="C406" s="198"/>
      <x:c r="D406" s="196"/>
      <x:c r="E406" s="188"/>
      <x:c r="F406" s="198"/>
      <x:c r="G406" s="202"/>
      <x:c r="H406" s="204"/>
      <x:c r="I406" s="206" t="str">
        <x:f>IF(G406="","",MAX(G406-H406,0))</x:f>
      </x:c>
      <x:c r="J406" s="210"/>
      <x:c r="K406" s="190"/>
      <x:c r="L406" s="208"/>
      <x:c r="M406" s="208"/>
      <x:c r="N406" s="208"/>
      <x:c r="O406" s="208"/>
      <x:c r="P406" s="190"/>
      <x:c r="Q406" s="190"/>
      <x:c r="R406" s="190"/>
      <x:c r="S406" s="190"/>
      <x:c r="T406" s="190"/>
      <x:c r="U406" s="190"/>
      <x:c r="V406" s="212"/>
      <x:c r="W406" s="212"/>
      <x:c r="X406" s="200"/>
      <x:c r="Y406" s="192"/>
      <x:c r="Z406" s="214"/>
      <x:c r="AA406" s="214"/>
      <x:c r="AB406" s="192"/>
      <x:c r="AC406" s="194"/>
      <x:c r="AD406" s="186" t="str">
        <x:f>IF(COUNTA(B406:H406)+COUNTA(J406:AC406)=0,"",IF(OR(B406="",D406="",E406="",G406="",J406=""),"缺少必填项",IF(H406&gt;G406,"完成数大于订单数",IF(AND(X406="",OR(Y406="排队",Y406="生产中",Y406="阻塞",Z406&lt;&gt;"",AA406&lt;&gt;"",AB406="是")),"已有排期字段缺少机台",IF(AND(X406&lt;&gt;"",Y406="待排"),"已填机台但状态为待排",IF(AND(Y406="生产中",AB406&lt;&gt;"是"),"需确认：生产中未锁定","可导入"))))))</x:f>
      </x:c>
    </x:row>
    <x:row r="407" ht="22" customHeight="1">
      <x:c r="A407" s="186" t="str">
        <x:f>IF(B407="","",ROW()-5)</x:f>
      </x:c>
      <x:c r="B407" s="196"/>
      <x:c r="C407" s="198"/>
      <x:c r="D407" s="196"/>
      <x:c r="E407" s="188"/>
      <x:c r="F407" s="198"/>
      <x:c r="G407" s="202"/>
      <x:c r="H407" s="204"/>
      <x:c r="I407" s="206" t="str">
        <x:f>IF(G407="","",MAX(G407-H407,0))</x:f>
      </x:c>
      <x:c r="J407" s="210"/>
      <x:c r="K407" s="190"/>
      <x:c r="L407" s="208"/>
      <x:c r="M407" s="208"/>
      <x:c r="N407" s="208"/>
      <x:c r="O407" s="208"/>
      <x:c r="P407" s="190"/>
      <x:c r="Q407" s="190"/>
      <x:c r="R407" s="190"/>
      <x:c r="S407" s="190"/>
      <x:c r="T407" s="190"/>
      <x:c r="U407" s="190"/>
      <x:c r="V407" s="212"/>
      <x:c r="W407" s="212"/>
      <x:c r="X407" s="200"/>
      <x:c r="Y407" s="192"/>
      <x:c r="Z407" s="214"/>
      <x:c r="AA407" s="214"/>
      <x:c r="AB407" s="192"/>
      <x:c r="AC407" s="194"/>
      <x:c r="AD407" s="186" t="str">
        <x:f>IF(COUNTA(B407:H407)+COUNTA(J407:AC407)=0,"",IF(OR(B407="",D407="",E407="",G407="",J407=""),"缺少必填项",IF(H407&gt;G407,"完成数大于订单数",IF(AND(X407="",OR(Y407="排队",Y407="生产中",Y407="阻塞",Z407&lt;&gt;"",AA407&lt;&gt;"",AB407="是")),"已有排期字段缺少机台",IF(AND(X407&lt;&gt;"",Y407="待排"),"已填机台但状态为待排",IF(AND(Y407="生产中",AB407&lt;&gt;"是"),"需确认：生产中未锁定","可导入"))))))</x:f>
      </x:c>
    </x:row>
    <x:row r="408" ht="22" customHeight="1">
      <x:c r="A408" s="186" t="str">
        <x:f>IF(B408="","",ROW()-5)</x:f>
      </x:c>
      <x:c r="B408" s="196"/>
      <x:c r="C408" s="198"/>
      <x:c r="D408" s="196"/>
      <x:c r="E408" s="188"/>
      <x:c r="F408" s="198"/>
      <x:c r="G408" s="202"/>
      <x:c r="H408" s="204"/>
      <x:c r="I408" s="206" t="str">
        <x:f>IF(G408="","",MAX(G408-H408,0))</x:f>
      </x:c>
      <x:c r="J408" s="210"/>
      <x:c r="K408" s="190"/>
      <x:c r="L408" s="208"/>
      <x:c r="M408" s="208"/>
      <x:c r="N408" s="208"/>
      <x:c r="O408" s="208"/>
      <x:c r="P408" s="190"/>
      <x:c r="Q408" s="190"/>
      <x:c r="R408" s="190"/>
      <x:c r="S408" s="190"/>
      <x:c r="T408" s="190"/>
      <x:c r="U408" s="190"/>
      <x:c r="V408" s="212"/>
      <x:c r="W408" s="212"/>
      <x:c r="X408" s="200"/>
      <x:c r="Y408" s="192"/>
      <x:c r="Z408" s="214"/>
      <x:c r="AA408" s="214"/>
      <x:c r="AB408" s="192"/>
      <x:c r="AC408" s="194"/>
      <x:c r="AD408" s="186" t="str">
        <x:f>IF(COUNTA(B408:H408)+COUNTA(J408:AC408)=0,"",IF(OR(B408="",D408="",E408="",G408="",J408=""),"缺少必填项",IF(H408&gt;G408,"完成数大于订单数",IF(AND(X408="",OR(Y408="排队",Y408="生产中",Y408="阻塞",Z408&lt;&gt;"",AA408&lt;&gt;"",AB408="是")),"已有排期字段缺少机台",IF(AND(X408&lt;&gt;"",Y408="待排"),"已填机台但状态为待排",IF(AND(Y408="生产中",AB408&lt;&gt;"是"),"需确认：生产中未锁定","可导入"))))))</x:f>
      </x:c>
    </x:row>
    <x:row r="409" ht="22" customHeight="1">
      <x:c r="A409" s="186" t="str">
        <x:f>IF(B409="","",ROW()-5)</x:f>
      </x:c>
      <x:c r="B409" s="196"/>
      <x:c r="C409" s="198"/>
      <x:c r="D409" s="196"/>
      <x:c r="E409" s="188"/>
      <x:c r="F409" s="198"/>
      <x:c r="G409" s="202"/>
      <x:c r="H409" s="204"/>
      <x:c r="I409" s="206" t="str">
        <x:f>IF(G409="","",MAX(G409-H409,0))</x:f>
      </x:c>
      <x:c r="J409" s="210"/>
      <x:c r="K409" s="190"/>
      <x:c r="L409" s="208"/>
      <x:c r="M409" s="208"/>
      <x:c r="N409" s="208"/>
      <x:c r="O409" s="208"/>
      <x:c r="P409" s="190"/>
      <x:c r="Q409" s="190"/>
      <x:c r="R409" s="190"/>
      <x:c r="S409" s="190"/>
      <x:c r="T409" s="190"/>
      <x:c r="U409" s="190"/>
      <x:c r="V409" s="212"/>
      <x:c r="W409" s="212"/>
      <x:c r="X409" s="200"/>
      <x:c r="Y409" s="192"/>
      <x:c r="Z409" s="214"/>
      <x:c r="AA409" s="214"/>
      <x:c r="AB409" s="192"/>
      <x:c r="AC409" s="194"/>
      <x:c r="AD409" s="186" t="str">
        <x:f>IF(COUNTA(B409:H409)+COUNTA(J409:AC409)=0,"",IF(OR(B409="",D409="",E409="",G409="",J409=""),"缺少必填项",IF(H409&gt;G409,"完成数大于订单数",IF(AND(X409="",OR(Y409="排队",Y409="生产中",Y409="阻塞",Z409&lt;&gt;"",AA409&lt;&gt;"",AB409="是")),"已有排期字段缺少机台",IF(AND(X409&lt;&gt;"",Y409="待排"),"已填机台但状态为待排",IF(AND(Y409="生产中",AB409&lt;&gt;"是"),"需确认：生产中未锁定","可导入"))))))</x:f>
      </x:c>
    </x:row>
    <x:row r="410" ht="22" customHeight="1">
      <x:c r="A410" s="186" t="str">
        <x:f>IF(B410="","",ROW()-5)</x:f>
      </x:c>
      <x:c r="B410" s="196"/>
      <x:c r="C410" s="198"/>
      <x:c r="D410" s="196"/>
      <x:c r="E410" s="188"/>
      <x:c r="F410" s="198"/>
      <x:c r="G410" s="202"/>
      <x:c r="H410" s="204"/>
      <x:c r="I410" s="206" t="str">
        <x:f>IF(G410="","",MAX(G410-H410,0))</x:f>
      </x:c>
      <x:c r="J410" s="210"/>
      <x:c r="K410" s="190"/>
      <x:c r="L410" s="208"/>
      <x:c r="M410" s="208"/>
      <x:c r="N410" s="208"/>
      <x:c r="O410" s="208"/>
      <x:c r="P410" s="190"/>
      <x:c r="Q410" s="190"/>
      <x:c r="R410" s="190"/>
      <x:c r="S410" s="190"/>
      <x:c r="T410" s="190"/>
      <x:c r="U410" s="190"/>
      <x:c r="V410" s="212"/>
      <x:c r="W410" s="212"/>
      <x:c r="X410" s="200"/>
      <x:c r="Y410" s="192"/>
      <x:c r="Z410" s="214"/>
      <x:c r="AA410" s="214"/>
      <x:c r="AB410" s="192"/>
      <x:c r="AC410" s="194"/>
      <x:c r="AD410" s="186" t="str">
        <x:f>IF(COUNTA(B410:H410)+COUNTA(J410:AC410)=0,"",IF(OR(B410="",D410="",E410="",G410="",J410=""),"缺少必填项",IF(H410&gt;G410,"完成数大于订单数",IF(AND(X410="",OR(Y410="排队",Y410="生产中",Y410="阻塞",Z410&lt;&gt;"",AA410&lt;&gt;"",AB410="是")),"已有排期字段缺少机台",IF(AND(X410&lt;&gt;"",Y410="待排"),"已填机台但状态为待排",IF(AND(Y410="生产中",AB410&lt;&gt;"是"),"需确认：生产中未锁定","可导入"))))))</x:f>
      </x:c>
    </x:row>
    <x:row r="411" ht="22" customHeight="1">
      <x:c r="A411" s="186" t="str">
        <x:f>IF(B411="","",ROW()-5)</x:f>
      </x:c>
      <x:c r="B411" s="196"/>
      <x:c r="C411" s="198"/>
      <x:c r="D411" s="196"/>
      <x:c r="E411" s="188"/>
      <x:c r="F411" s="198"/>
      <x:c r="G411" s="202"/>
      <x:c r="H411" s="204"/>
      <x:c r="I411" s="206" t="str">
        <x:f>IF(G411="","",MAX(G411-H411,0))</x:f>
      </x:c>
      <x:c r="J411" s="210"/>
      <x:c r="K411" s="190"/>
      <x:c r="L411" s="208"/>
      <x:c r="M411" s="208"/>
      <x:c r="N411" s="208"/>
      <x:c r="O411" s="208"/>
      <x:c r="P411" s="190"/>
      <x:c r="Q411" s="190"/>
      <x:c r="R411" s="190"/>
      <x:c r="S411" s="190"/>
      <x:c r="T411" s="190"/>
      <x:c r="U411" s="190"/>
      <x:c r="V411" s="212"/>
      <x:c r="W411" s="212"/>
      <x:c r="X411" s="200"/>
      <x:c r="Y411" s="192"/>
      <x:c r="Z411" s="214"/>
      <x:c r="AA411" s="214"/>
      <x:c r="AB411" s="192"/>
      <x:c r="AC411" s="194"/>
      <x:c r="AD411" s="186" t="str">
        <x:f>IF(COUNTA(B411:H411)+COUNTA(J411:AC411)=0,"",IF(OR(B411="",D411="",E411="",G411="",J411=""),"缺少必填项",IF(H411&gt;G411,"完成数大于订单数",IF(AND(X411="",OR(Y411="排队",Y411="生产中",Y411="阻塞",Z411&lt;&gt;"",AA411&lt;&gt;"",AB411="是")),"已有排期字段缺少机台",IF(AND(X411&lt;&gt;"",Y411="待排"),"已填机台但状态为待排",IF(AND(Y411="生产中",AB411&lt;&gt;"是"),"需确认：生产中未锁定","可导入"))))))</x:f>
      </x:c>
    </x:row>
    <x:row r="412" ht="22" customHeight="1">
      <x:c r="A412" s="186" t="str">
        <x:f>IF(B412="","",ROW()-5)</x:f>
      </x:c>
      <x:c r="B412" s="196"/>
      <x:c r="C412" s="198"/>
      <x:c r="D412" s="196"/>
      <x:c r="E412" s="188"/>
      <x:c r="F412" s="198"/>
      <x:c r="G412" s="202"/>
      <x:c r="H412" s="204"/>
      <x:c r="I412" s="206" t="str">
        <x:f>IF(G412="","",MAX(G412-H412,0))</x:f>
      </x:c>
      <x:c r="J412" s="210"/>
      <x:c r="K412" s="190"/>
      <x:c r="L412" s="208"/>
      <x:c r="M412" s="208"/>
      <x:c r="N412" s="208"/>
      <x:c r="O412" s="208"/>
      <x:c r="P412" s="190"/>
      <x:c r="Q412" s="190"/>
      <x:c r="R412" s="190"/>
      <x:c r="S412" s="190"/>
      <x:c r="T412" s="190"/>
      <x:c r="U412" s="190"/>
      <x:c r="V412" s="212"/>
      <x:c r="W412" s="212"/>
      <x:c r="X412" s="200"/>
      <x:c r="Y412" s="192"/>
      <x:c r="Z412" s="214"/>
      <x:c r="AA412" s="214"/>
      <x:c r="AB412" s="192"/>
      <x:c r="AC412" s="194"/>
      <x:c r="AD412" s="186" t="str">
        <x:f>IF(COUNTA(B412:H412)+COUNTA(J412:AC412)=0,"",IF(OR(B412="",D412="",E412="",G412="",J412=""),"缺少必填项",IF(H412&gt;G412,"完成数大于订单数",IF(AND(X412="",OR(Y412="排队",Y412="生产中",Y412="阻塞",Z412&lt;&gt;"",AA412&lt;&gt;"",AB412="是")),"已有排期字段缺少机台",IF(AND(X412&lt;&gt;"",Y412="待排"),"已填机台但状态为待排",IF(AND(Y412="生产中",AB412&lt;&gt;"是"),"需确认：生产中未锁定","可导入"))))))</x:f>
      </x:c>
    </x:row>
    <x:row r="413" ht="22" customHeight="1">
      <x:c r="A413" s="186" t="str">
        <x:f>IF(B413="","",ROW()-5)</x:f>
      </x:c>
      <x:c r="B413" s="196"/>
      <x:c r="C413" s="198"/>
      <x:c r="D413" s="196"/>
      <x:c r="E413" s="188"/>
      <x:c r="F413" s="198"/>
      <x:c r="G413" s="202"/>
      <x:c r="H413" s="204"/>
      <x:c r="I413" s="206" t="str">
        <x:f>IF(G413="","",MAX(G413-H413,0))</x:f>
      </x:c>
      <x:c r="J413" s="210"/>
      <x:c r="K413" s="190"/>
      <x:c r="L413" s="208"/>
      <x:c r="M413" s="208"/>
      <x:c r="N413" s="208"/>
      <x:c r="O413" s="208"/>
      <x:c r="P413" s="190"/>
      <x:c r="Q413" s="190"/>
      <x:c r="R413" s="190"/>
      <x:c r="S413" s="190"/>
      <x:c r="T413" s="190"/>
      <x:c r="U413" s="190"/>
      <x:c r="V413" s="212"/>
      <x:c r="W413" s="212"/>
      <x:c r="X413" s="200"/>
      <x:c r="Y413" s="192"/>
      <x:c r="Z413" s="214"/>
      <x:c r="AA413" s="214"/>
      <x:c r="AB413" s="192"/>
      <x:c r="AC413" s="194"/>
      <x:c r="AD413" s="186" t="str">
        <x:f>IF(COUNTA(B413:H413)+COUNTA(J413:AC413)=0,"",IF(OR(B413="",D413="",E413="",G413="",J413=""),"缺少必填项",IF(H413&gt;G413,"完成数大于订单数",IF(AND(X413="",OR(Y413="排队",Y413="生产中",Y413="阻塞",Z413&lt;&gt;"",AA413&lt;&gt;"",AB413="是")),"已有排期字段缺少机台",IF(AND(X413&lt;&gt;"",Y413="待排"),"已填机台但状态为待排",IF(AND(Y413="生产中",AB413&lt;&gt;"是"),"需确认：生产中未锁定","可导入"))))))</x:f>
      </x:c>
    </x:row>
    <x:row r="414" ht="22" customHeight="1">
      <x:c r="A414" s="186" t="str">
        <x:f>IF(B414="","",ROW()-5)</x:f>
      </x:c>
      <x:c r="B414" s="196"/>
      <x:c r="C414" s="198"/>
      <x:c r="D414" s="196"/>
      <x:c r="E414" s="188"/>
      <x:c r="F414" s="198"/>
      <x:c r="G414" s="202"/>
      <x:c r="H414" s="204"/>
      <x:c r="I414" s="206" t="str">
        <x:f>IF(G414="","",MAX(G414-H414,0))</x:f>
      </x:c>
      <x:c r="J414" s="210"/>
      <x:c r="K414" s="190"/>
      <x:c r="L414" s="208"/>
      <x:c r="M414" s="208"/>
      <x:c r="N414" s="208"/>
      <x:c r="O414" s="208"/>
      <x:c r="P414" s="190"/>
      <x:c r="Q414" s="190"/>
      <x:c r="R414" s="190"/>
      <x:c r="S414" s="190"/>
      <x:c r="T414" s="190"/>
      <x:c r="U414" s="190"/>
      <x:c r="V414" s="212"/>
      <x:c r="W414" s="212"/>
      <x:c r="X414" s="200"/>
      <x:c r="Y414" s="192"/>
      <x:c r="Z414" s="214"/>
      <x:c r="AA414" s="214"/>
      <x:c r="AB414" s="192"/>
      <x:c r="AC414" s="194"/>
      <x:c r="AD414" s="186" t="str">
        <x:f>IF(COUNTA(B414:H414)+COUNTA(J414:AC414)=0,"",IF(OR(B414="",D414="",E414="",G414="",J414=""),"缺少必填项",IF(H414&gt;G414,"完成数大于订单数",IF(AND(X414="",OR(Y414="排队",Y414="生产中",Y414="阻塞",Z414&lt;&gt;"",AA414&lt;&gt;"",AB414="是")),"已有排期字段缺少机台",IF(AND(X414&lt;&gt;"",Y414="待排"),"已填机台但状态为待排",IF(AND(Y414="生产中",AB414&lt;&gt;"是"),"需确认：生产中未锁定","可导入"))))))</x:f>
      </x:c>
    </x:row>
    <x:row r="415" ht="22" customHeight="1">
      <x:c r="A415" s="186" t="str">
        <x:f>IF(B415="","",ROW()-5)</x:f>
      </x:c>
      <x:c r="B415" s="196"/>
      <x:c r="C415" s="198"/>
      <x:c r="D415" s="196"/>
      <x:c r="E415" s="188"/>
      <x:c r="F415" s="198"/>
      <x:c r="G415" s="202"/>
      <x:c r="H415" s="204"/>
      <x:c r="I415" s="206" t="str">
        <x:f>IF(G415="","",MAX(G415-H415,0))</x:f>
      </x:c>
      <x:c r="J415" s="210"/>
      <x:c r="K415" s="190"/>
      <x:c r="L415" s="208"/>
      <x:c r="M415" s="208"/>
      <x:c r="N415" s="208"/>
      <x:c r="O415" s="208"/>
      <x:c r="P415" s="190"/>
      <x:c r="Q415" s="190"/>
      <x:c r="R415" s="190"/>
      <x:c r="S415" s="190"/>
      <x:c r="T415" s="190"/>
      <x:c r="U415" s="190"/>
      <x:c r="V415" s="212"/>
      <x:c r="W415" s="212"/>
      <x:c r="X415" s="200"/>
      <x:c r="Y415" s="192"/>
      <x:c r="Z415" s="214"/>
      <x:c r="AA415" s="214"/>
      <x:c r="AB415" s="192"/>
      <x:c r="AC415" s="194"/>
      <x:c r="AD415" s="186" t="str">
        <x:f>IF(COUNTA(B415:H415)+COUNTA(J415:AC415)=0,"",IF(OR(B415="",D415="",E415="",G415="",J415=""),"缺少必填项",IF(H415&gt;G415,"完成数大于订单数",IF(AND(X415="",OR(Y415="排队",Y415="生产中",Y415="阻塞",Z415&lt;&gt;"",AA415&lt;&gt;"",AB415="是")),"已有排期字段缺少机台",IF(AND(X415&lt;&gt;"",Y415="待排"),"已填机台但状态为待排",IF(AND(Y415="生产中",AB415&lt;&gt;"是"),"需确认：生产中未锁定","可导入"))))))</x:f>
      </x:c>
    </x:row>
    <x:row r="416" ht="22" customHeight="1">
      <x:c r="A416" s="186" t="str">
        <x:f>IF(B416="","",ROW()-5)</x:f>
      </x:c>
      <x:c r="B416" s="196"/>
      <x:c r="C416" s="198"/>
      <x:c r="D416" s="196"/>
      <x:c r="E416" s="188"/>
      <x:c r="F416" s="198"/>
      <x:c r="G416" s="202"/>
      <x:c r="H416" s="204"/>
      <x:c r="I416" s="206" t="str">
        <x:f>IF(G416="","",MAX(G416-H416,0))</x:f>
      </x:c>
      <x:c r="J416" s="210"/>
      <x:c r="K416" s="190"/>
      <x:c r="L416" s="208"/>
      <x:c r="M416" s="208"/>
      <x:c r="N416" s="208"/>
      <x:c r="O416" s="208"/>
      <x:c r="P416" s="190"/>
      <x:c r="Q416" s="190"/>
      <x:c r="R416" s="190"/>
      <x:c r="S416" s="190"/>
      <x:c r="T416" s="190"/>
      <x:c r="U416" s="190"/>
      <x:c r="V416" s="212"/>
      <x:c r="W416" s="212"/>
      <x:c r="X416" s="200"/>
      <x:c r="Y416" s="192"/>
      <x:c r="Z416" s="214"/>
      <x:c r="AA416" s="214"/>
      <x:c r="AB416" s="192"/>
      <x:c r="AC416" s="194"/>
      <x:c r="AD416" s="186" t="str">
        <x:f>IF(COUNTA(B416:H416)+COUNTA(J416:AC416)=0,"",IF(OR(B416="",D416="",E416="",G416="",J416=""),"缺少必填项",IF(H416&gt;G416,"完成数大于订单数",IF(AND(X416="",OR(Y416="排队",Y416="生产中",Y416="阻塞",Z416&lt;&gt;"",AA416&lt;&gt;"",AB416="是")),"已有排期字段缺少机台",IF(AND(X416&lt;&gt;"",Y416="待排"),"已填机台但状态为待排",IF(AND(Y416="生产中",AB416&lt;&gt;"是"),"需确认：生产中未锁定","可导入"))))))</x:f>
      </x:c>
    </x:row>
    <x:row r="417" ht="22" customHeight="1">
      <x:c r="A417" s="186" t="str">
        <x:f>IF(B417="","",ROW()-5)</x:f>
      </x:c>
      <x:c r="B417" s="196"/>
      <x:c r="C417" s="198"/>
      <x:c r="D417" s="196"/>
      <x:c r="E417" s="188"/>
      <x:c r="F417" s="198"/>
      <x:c r="G417" s="202"/>
      <x:c r="H417" s="204"/>
      <x:c r="I417" s="206" t="str">
        <x:f>IF(G417="","",MAX(G417-H417,0))</x:f>
      </x:c>
      <x:c r="J417" s="210"/>
      <x:c r="K417" s="190"/>
      <x:c r="L417" s="208"/>
      <x:c r="M417" s="208"/>
      <x:c r="N417" s="208"/>
      <x:c r="O417" s="208"/>
      <x:c r="P417" s="190"/>
      <x:c r="Q417" s="190"/>
      <x:c r="R417" s="190"/>
      <x:c r="S417" s="190"/>
      <x:c r="T417" s="190"/>
      <x:c r="U417" s="190"/>
      <x:c r="V417" s="212"/>
      <x:c r="W417" s="212"/>
      <x:c r="X417" s="200"/>
      <x:c r="Y417" s="192"/>
      <x:c r="Z417" s="214"/>
      <x:c r="AA417" s="214"/>
      <x:c r="AB417" s="192"/>
      <x:c r="AC417" s="194"/>
      <x:c r="AD417" s="186" t="str">
        <x:f>IF(COUNTA(B417:H417)+COUNTA(J417:AC417)=0,"",IF(OR(B417="",D417="",E417="",G417="",J417=""),"缺少必填项",IF(H417&gt;G417,"完成数大于订单数",IF(AND(X417="",OR(Y417="排队",Y417="生产中",Y417="阻塞",Z417&lt;&gt;"",AA417&lt;&gt;"",AB417="是")),"已有排期字段缺少机台",IF(AND(X417&lt;&gt;"",Y417="待排"),"已填机台但状态为待排",IF(AND(Y417="生产中",AB417&lt;&gt;"是"),"需确认：生产中未锁定","可导入"))))))</x:f>
      </x:c>
    </x:row>
    <x:row r="418" ht="22" customHeight="1">
      <x:c r="A418" s="186" t="str">
        <x:f>IF(B418="","",ROW()-5)</x:f>
      </x:c>
      <x:c r="B418" s="196"/>
      <x:c r="C418" s="198"/>
      <x:c r="D418" s="196"/>
      <x:c r="E418" s="188"/>
      <x:c r="F418" s="198"/>
      <x:c r="G418" s="202"/>
      <x:c r="H418" s="204"/>
      <x:c r="I418" s="206" t="str">
        <x:f>IF(G418="","",MAX(G418-H418,0))</x:f>
      </x:c>
      <x:c r="J418" s="210"/>
      <x:c r="K418" s="190"/>
      <x:c r="L418" s="208"/>
      <x:c r="M418" s="208"/>
      <x:c r="N418" s="208"/>
      <x:c r="O418" s="208"/>
      <x:c r="P418" s="190"/>
      <x:c r="Q418" s="190"/>
      <x:c r="R418" s="190"/>
      <x:c r="S418" s="190"/>
      <x:c r="T418" s="190"/>
      <x:c r="U418" s="190"/>
      <x:c r="V418" s="212"/>
      <x:c r="W418" s="212"/>
      <x:c r="X418" s="200"/>
      <x:c r="Y418" s="192"/>
      <x:c r="Z418" s="214"/>
      <x:c r="AA418" s="214"/>
      <x:c r="AB418" s="192"/>
      <x:c r="AC418" s="194"/>
      <x:c r="AD418" s="186" t="str">
        <x:f>IF(COUNTA(B418:H418)+COUNTA(J418:AC418)=0,"",IF(OR(B418="",D418="",E418="",G418="",J418=""),"缺少必填项",IF(H418&gt;G418,"完成数大于订单数",IF(AND(X418="",OR(Y418="排队",Y418="生产中",Y418="阻塞",Z418&lt;&gt;"",AA418&lt;&gt;"",AB418="是")),"已有排期字段缺少机台",IF(AND(X418&lt;&gt;"",Y418="待排"),"已填机台但状态为待排",IF(AND(Y418="生产中",AB418&lt;&gt;"是"),"需确认：生产中未锁定","可导入"))))))</x:f>
      </x:c>
    </x:row>
    <x:row r="419" ht="22" customHeight="1">
      <x:c r="A419" s="186" t="str">
        <x:f>IF(B419="","",ROW()-5)</x:f>
      </x:c>
      <x:c r="B419" s="196"/>
      <x:c r="C419" s="198"/>
      <x:c r="D419" s="196"/>
      <x:c r="E419" s="188"/>
      <x:c r="F419" s="198"/>
      <x:c r="G419" s="202"/>
      <x:c r="H419" s="204"/>
      <x:c r="I419" s="206" t="str">
        <x:f>IF(G419="","",MAX(G419-H419,0))</x:f>
      </x:c>
      <x:c r="J419" s="210"/>
      <x:c r="K419" s="190"/>
      <x:c r="L419" s="208"/>
      <x:c r="M419" s="208"/>
      <x:c r="N419" s="208"/>
      <x:c r="O419" s="208"/>
      <x:c r="P419" s="190"/>
      <x:c r="Q419" s="190"/>
      <x:c r="R419" s="190"/>
      <x:c r="S419" s="190"/>
      <x:c r="T419" s="190"/>
      <x:c r="U419" s="190"/>
      <x:c r="V419" s="212"/>
      <x:c r="W419" s="212"/>
      <x:c r="X419" s="200"/>
      <x:c r="Y419" s="192"/>
      <x:c r="Z419" s="214"/>
      <x:c r="AA419" s="214"/>
      <x:c r="AB419" s="192"/>
      <x:c r="AC419" s="194"/>
      <x:c r="AD419" s="186" t="str">
        <x:f>IF(COUNTA(B419:H419)+COUNTA(J419:AC419)=0,"",IF(OR(B419="",D419="",E419="",G419="",J419=""),"缺少必填项",IF(H419&gt;G419,"完成数大于订单数",IF(AND(X419="",OR(Y419="排队",Y419="生产中",Y419="阻塞",Z419&lt;&gt;"",AA419&lt;&gt;"",AB419="是")),"已有排期字段缺少机台",IF(AND(X419&lt;&gt;"",Y419="待排"),"已填机台但状态为待排",IF(AND(Y419="生产中",AB419&lt;&gt;"是"),"需确认：生产中未锁定","可导入"))))))</x:f>
      </x:c>
    </x:row>
    <x:row r="420" ht="22" customHeight="1">
      <x:c r="A420" s="186" t="str">
        <x:f>IF(B420="","",ROW()-5)</x:f>
      </x:c>
      <x:c r="B420" s="196"/>
      <x:c r="C420" s="198"/>
      <x:c r="D420" s="196"/>
      <x:c r="E420" s="188"/>
      <x:c r="F420" s="198"/>
      <x:c r="G420" s="202"/>
      <x:c r="H420" s="204"/>
      <x:c r="I420" s="206" t="str">
        <x:f>IF(G420="","",MAX(G420-H420,0))</x:f>
      </x:c>
      <x:c r="J420" s="210"/>
      <x:c r="K420" s="190"/>
      <x:c r="L420" s="208"/>
      <x:c r="M420" s="208"/>
      <x:c r="N420" s="208"/>
      <x:c r="O420" s="208"/>
      <x:c r="P420" s="190"/>
      <x:c r="Q420" s="190"/>
      <x:c r="R420" s="190"/>
      <x:c r="S420" s="190"/>
      <x:c r="T420" s="190"/>
      <x:c r="U420" s="190"/>
      <x:c r="V420" s="212"/>
      <x:c r="W420" s="212"/>
      <x:c r="X420" s="200"/>
      <x:c r="Y420" s="192"/>
      <x:c r="Z420" s="214"/>
      <x:c r="AA420" s="214"/>
      <x:c r="AB420" s="192"/>
      <x:c r="AC420" s="194"/>
      <x:c r="AD420" s="186" t="str">
        <x:f>IF(COUNTA(B420:H420)+COUNTA(J420:AC420)=0,"",IF(OR(B420="",D420="",E420="",G420="",J420=""),"缺少必填项",IF(H420&gt;G420,"完成数大于订单数",IF(AND(X420="",OR(Y420="排队",Y420="生产中",Y420="阻塞",Z420&lt;&gt;"",AA420&lt;&gt;"",AB420="是")),"已有排期字段缺少机台",IF(AND(X420&lt;&gt;"",Y420="待排"),"已填机台但状态为待排",IF(AND(Y420="生产中",AB420&lt;&gt;"是"),"需确认：生产中未锁定","可导入"))))))</x:f>
      </x:c>
    </x:row>
    <x:row r="421" ht="22" customHeight="1">
      <x:c r="A421" s="186" t="str">
        <x:f>IF(B421="","",ROW()-5)</x:f>
      </x:c>
      <x:c r="B421" s="196"/>
      <x:c r="C421" s="198"/>
      <x:c r="D421" s="196"/>
      <x:c r="E421" s="188"/>
      <x:c r="F421" s="198"/>
      <x:c r="G421" s="202"/>
      <x:c r="H421" s="204"/>
      <x:c r="I421" s="206" t="str">
        <x:f>IF(G421="","",MAX(G421-H421,0))</x:f>
      </x:c>
      <x:c r="J421" s="210"/>
      <x:c r="K421" s="190"/>
      <x:c r="L421" s="208"/>
      <x:c r="M421" s="208"/>
      <x:c r="N421" s="208"/>
      <x:c r="O421" s="208"/>
      <x:c r="P421" s="190"/>
      <x:c r="Q421" s="190"/>
      <x:c r="R421" s="190"/>
      <x:c r="S421" s="190"/>
      <x:c r="T421" s="190"/>
      <x:c r="U421" s="190"/>
      <x:c r="V421" s="212"/>
      <x:c r="W421" s="212"/>
      <x:c r="X421" s="200"/>
      <x:c r="Y421" s="192"/>
      <x:c r="Z421" s="214"/>
      <x:c r="AA421" s="214"/>
      <x:c r="AB421" s="192"/>
      <x:c r="AC421" s="194"/>
      <x:c r="AD421" s="186" t="str">
        <x:f>IF(COUNTA(B421:H421)+COUNTA(J421:AC421)=0,"",IF(OR(B421="",D421="",E421="",G421="",J421=""),"缺少必填项",IF(H421&gt;G421,"完成数大于订单数",IF(AND(X421="",OR(Y421="排队",Y421="生产中",Y421="阻塞",Z421&lt;&gt;"",AA421&lt;&gt;"",AB421="是")),"已有排期字段缺少机台",IF(AND(X421&lt;&gt;"",Y421="待排"),"已填机台但状态为待排",IF(AND(Y421="生产中",AB421&lt;&gt;"是"),"需确认：生产中未锁定","可导入"))))))</x:f>
      </x:c>
    </x:row>
    <x:row r="422" ht="22" customHeight="1">
      <x:c r="A422" s="186" t="str">
        <x:f>IF(B422="","",ROW()-5)</x:f>
      </x:c>
      <x:c r="B422" s="196"/>
      <x:c r="C422" s="198"/>
      <x:c r="D422" s="196"/>
      <x:c r="E422" s="188"/>
      <x:c r="F422" s="198"/>
      <x:c r="G422" s="202"/>
      <x:c r="H422" s="204"/>
      <x:c r="I422" s="206" t="str">
        <x:f>IF(G422="","",MAX(G422-H422,0))</x:f>
      </x:c>
      <x:c r="J422" s="210"/>
      <x:c r="K422" s="190"/>
      <x:c r="L422" s="208"/>
      <x:c r="M422" s="208"/>
      <x:c r="N422" s="208"/>
      <x:c r="O422" s="208"/>
      <x:c r="P422" s="190"/>
      <x:c r="Q422" s="190"/>
      <x:c r="R422" s="190"/>
      <x:c r="S422" s="190"/>
      <x:c r="T422" s="190"/>
      <x:c r="U422" s="190"/>
      <x:c r="V422" s="212"/>
      <x:c r="W422" s="212"/>
      <x:c r="X422" s="200"/>
      <x:c r="Y422" s="192"/>
      <x:c r="Z422" s="214"/>
      <x:c r="AA422" s="214"/>
      <x:c r="AB422" s="192"/>
      <x:c r="AC422" s="194"/>
      <x:c r="AD422" s="186" t="str">
        <x:f>IF(COUNTA(B422:H422)+COUNTA(J422:AC422)=0,"",IF(OR(B422="",D422="",E422="",G422="",J422=""),"缺少必填项",IF(H422&gt;G422,"完成数大于订单数",IF(AND(X422="",OR(Y422="排队",Y422="生产中",Y422="阻塞",Z422&lt;&gt;"",AA422&lt;&gt;"",AB422="是")),"已有排期字段缺少机台",IF(AND(X422&lt;&gt;"",Y422="待排"),"已填机台但状态为待排",IF(AND(Y422="生产中",AB422&lt;&gt;"是"),"需确认：生产中未锁定","可导入"))))))</x:f>
      </x:c>
    </x:row>
    <x:row r="423" ht="22" customHeight="1">
      <x:c r="A423" s="186" t="str">
        <x:f>IF(B423="","",ROW()-5)</x:f>
      </x:c>
      <x:c r="B423" s="196"/>
      <x:c r="C423" s="198"/>
      <x:c r="D423" s="196"/>
      <x:c r="E423" s="188"/>
      <x:c r="F423" s="198"/>
      <x:c r="G423" s="202"/>
      <x:c r="H423" s="204"/>
      <x:c r="I423" s="206" t="str">
        <x:f>IF(G423="","",MAX(G423-H423,0))</x:f>
      </x:c>
      <x:c r="J423" s="210"/>
      <x:c r="K423" s="190"/>
      <x:c r="L423" s="208"/>
      <x:c r="M423" s="208"/>
      <x:c r="N423" s="208"/>
      <x:c r="O423" s="208"/>
      <x:c r="P423" s="190"/>
      <x:c r="Q423" s="190"/>
      <x:c r="R423" s="190"/>
      <x:c r="S423" s="190"/>
      <x:c r="T423" s="190"/>
      <x:c r="U423" s="190"/>
      <x:c r="V423" s="212"/>
      <x:c r="W423" s="212"/>
      <x:c r="X423" s="200"/>
      <x:c r="Y423" s="192"/>
      <x:c r="Z423" s="214"/>
      <x:c r="AA423" s="214"/>
      <x:c r="AB423" s="192"/>
      <x:c r="AC423" s="194"/>
      <x:c r="AD423" s="186" t="str">
        <x:f>IF(COUNTA(B423:H423)+COUNTA(J423:AC423)=0,"",IF(OR(B423="",D423="",E423="",G423="",J423=""),"缺少必填项",IF(H423&gt;G423,"完成数大于订单数",IF(AND(X423="",OR(Y423="排队",Y423="生产中",Y423="阻塞",Z423&lt;&gt;"",AA423&lt;&gt;"",AB423="是")),"已有排期字段缺少机台",IF(AND(X423&lt;&gt;"",Y423="待排"),"已填机台但状态为待排",IF(AND(Y423="生产中",AB423&lt;&gt;"是"),"需确认：生产中未锁定","可导入"))))))</x:f>
      </x:c>
    </x:row>
    <x:row r="424" ht="22" customHeight="1">
      <x:c r="A424" s="186" t="str">
        <x:f>IF(B424="","",ROW()-5)</x:f>
      </x:c>
      <x:c r="B424" s="196"/>
      <x:c r="C424" s="198"/>
      <x:c r="D424" s="196"/>
      <x:c r="E424" s="188"/>
      <x:c r="F424" s="198"/>
      <x:c r="G424" s="202"/>
      <x:c r="H424" s="204"/>
      <x:c r="I424" s="206" t="str">
        <x:f>IF(G424="","",MAX(G424-H424,0))</x:f>
      </x:c>
      <x:c r="J424" s="210"/>
      <x:c r="K424" s="190"/>
      <x:c r="L424" s="208"/>
      <x:c r="M424" s="208"/>
      <x:c r="N424" s="208"/>
      <x:c r="O424" s="208"/>
      <x:c r="P424" s="190"/>
      <x:c r="Q424" s="190"/>
      <x:c r="R424" s="190"/>
      <x:c r="S424" s="190"/>
      <x:c r="T424" s="190"/>
      <x:c r="U424" s="190"/>
      <x:c r="V424" s="212"/>
      <x:c r="W424" s="212"/>
      <x:c r="X424" s="200"/>
      <x:c r="Y424" s="192"/>
      <x:c r="Z424" s="214"/>
      <x:c r="AA424" s="214"/>
      <x:c r="AB424" s="192"/>
      <x:c r="AC424" s="194"/>
      <x:c r="AD424" s="186" t="str">
        <x:f>IF(COUNTA(B424:H424)+COUNTA(J424:AC424)=0,"",IF(OR(B424="",D424="",E424="",G424="",J424=""),"缺少必填项",IF(H424&gt;G424,"完成数大于订单数",IF(AND(X424="",OR(Y424="排队",Y424="生产中",Y424="阻塞",Z424&lt;&gt;"",AA424&lt;&gt;"",AB424="是")),"已有排期字段缺少机台",IF(AND(X424&lt;&gt;"",Y424="待排"),"已填机台但状态为待排",IF(AND(Y424="生产中",AB424&lt;&gt;"是"),"需确认：生产中未锁定","可导入"))))))</x:f>
      </x:c>
    </x:row>
    <x:row r="425" ht="22" customHeight="1">
      <x:c r="A425" s="186" t="str">
        <x:f>IF(B425="","",ROW()-5)</x:f>
      </x:c>
      <x:c r="B425" s="196"/>
      <x:c r="C425" s="198"/>
      <x:c r="D425" s="196"/>
      <x:c r="E425" s="188"/>
      <x:c r="F425" s="198"/>
      <x:c r="G425" s="202"/>
      <x:c r="H425" s="204"/>
      <x:c r="I425" s="206" t="str">
        <x:f>IF(G425="","",MAX(G425-H425,0))</x:f>
      </x:c>
      <x:c r="J425" s="210"/>
      <x:c r="K425" s="190"/>
      <x:c r="L425" s="208"/>
      <x:c r="M425" s="208"/>
      <x:c r="N425" s="208"/>
      <x:c r="O425" s="208"/>
      <x:c r="P425" s="190"/>
      <x:c r="Q425" s="190"/>
      <x:c r="R425" s="190"/>
      <x:c r="S425" s="190"/>
      <x:c r="T425" s="190"/>
      <x:c r="U425" s="190"/>
      <x:c r="V425" s="212"/>
      <x:c r="W425" s="212"/>
      <x:c r="X425" s="200"/>
      <x:c r="Y425" s="192"/>
      <x:c r="Z425" s="214"/>
      <x:c r="AA425" s="214"/>
      <x:c r="AB425" s="192"/>
      <x:c r="AC425" s="194"/>
      <x:c r="AD425" s="186" t="str">
        <x:f>IF(COUNTA(B425:H425)+COUNTA(J425:AC425)=0,"",IF(OR(B425="",D425="",E425="",G425="",J425=""),"缺少必填项",IF(H425&gt;G425,"完成数大于订单数",IF(AND(X425="",OR(Y425="排队",Y425="生产中",Y425="阻塞",Z425&lt;&gt;"",AA425&lt;&gt;"",AB425="是")),"已有排期字段缺少机台",IF(AND(X425&lt;&gt;"",Y425="待排"),"已填机台但状态为待排",IF(AND(Y425="生产中",AB425&lt;&gt;"是"),"需确认：生产中未锁定","可导入"))))))</x:f>
      </x:c>
    </x:row>
    <x:row r="426" ht="22" customHeight="1">
      <x:c r="A426" s="186" t="str">
        <x:f>IF(B426="","",ROW()-5)</x:f>
      </x:c>
      <x:c r="B426" s="196"/>
      <x:c r="C426" s="198"/>
      <x:c r="D426" s="196"/>
      <x:c r="E426" s="188"/>
      <x:c r="F426" s="198"/>
      <x:c r="G426" s="202"/>
      <x:c r="H426" s="204"/>
      <x:c r="I426" s="206" t="str">
        <x:f>IF(G426="","",MAX(G426-H426,0))</x:f>
      </x:c>
      <x:c r="J426" s="210"/>
      <x:c r="K426" s="190"/>
      <x:c r="L426" s="208"/>
      <x:c r="M426" s="208"/>
      <x:c r="N426" s="208"/>
      <x:c r="O426" s="208"/>
      <x:c r="P426" s="190"/>
      <x:c r="Q426" s="190"/>
      <x:c r="R426" s="190"/>
      <x:c r="S426" s="190"/>
      <x:c r="T426" s="190"/>
      <x:c r="U426" s="190"/>
      <x:c r="V426" s="212"/>
      <x:c r="W426" s="212"/>
      <x:c r="X426" s="200"/>
      <x:c r="Y426" s="192"/>
      <x:c r="Z426" s="214"/>
      <x:c r="AA426" s="214"/>
      <x:c r="AB426" s="192"/>
      <x:c r="AC426" s="194"/>
      <x:c r="AD426" s="186" t="str">
        <x:f>IF(COUNTA(B426:H426)+COUNTA(J426:AC426)=0,"",IF(OR(B426="",D426="",E426="",G426="",J426=""),"缺少必填项",IF(H426&gt;G426,"完成数大于订单数",IF(AND(X426="",OR(Y426="排队",Y426="生产中",Y426="阻塞",Z426&lt;&gt;"",AA426&lt;&gt;"",AB426="是")),"已有排期字段缺少机台",IF(AND(X426&lt;&gt;"",Y426="待排"),"已填机台但状态为待排",IF(AND(Y426="生产中",AB426&lt;&gt;"是"),"需确认：生产中未锁定","可导入"))))))</x:f>
      </x:c>
    </x:row>
    <x:row r="427" ht="22" customHeight="1">
      <x:c r="A427" s="186" t="str">
        <x:f>IF(B427="","",ROW()-5)</x:f>
      </x:c>
      <x:c r="B427" s="196"/>
      <x:c r="C427" s="198"/>
      <x:c r="D427" s="196"/>
      <x:c r="E427" s="188"/>
      <x:c r="F427" s="198"/>
      <x:c r="G427" s="202"/>
      <x:c r="H427" s="204"/>
      <x:c r="I427" s="206" t="str">
        <x:f>IF(G427="","",MAX(G427-H427,0))</x:f>
      </x:c>
      <x:c r="J427" s="210"/>
      <x:c r="K427" s="190"/>
      <x:c r="L427" s="208"/>
      <x:c r="M427" s="208"/>
      <x:c r="N427" s="208"/>
      <x:c r="O427" s="208"/>
      <x:c r="P427" s="190"/>
      <x:c r="Q427" s="190"/>
      <x:c r="R427" s="190"/>
      <x:c r="S427" s="190"/>
      <x:c r="T427" s="190"/>
      <x:c r="U427" s="190"/>
      <x:c r="V427" s="212"/>
      <x:c r="W427" s="212"/>
      <x:c r="X427" s="200"/>
      <x:c r="Y427" s="192"/>
      <x:c r="Z427" s="214"/>
      <x:c r="AA427" s="214"/>
      <x:c r="AB427" s="192"/>
      <x:c r="AC427" s="194"/>
      <x:c r="AD427" s="186" t="str">
        <x:f>IF(COUNTA(B427:H427)+COUNTA(J427:AC427)=0,"",IF(OR(B427="",D427="",E427="",G427="",J427=""),"缺少必填项",IF(H427&gt;G427,"完成数大于订单数",IF(AND(X427="",OR(Y427="排队",Y427="生产中",Y427="阻塞",Z427&lt;&gt;"",AA427&lt;&gt;"",AB427="是")),"已有排期字段缺少机台",IF(AND(X427&lt;&gt;"",Y427="待排"),"已填机台但状态为待排",IF(AND(Y427="生产中",AB427&lt;&gt;"是"),"需确认：生产中未锁定","可导入"))))))</x:f>
      </x:c>
    </x:row>
    <x:row r="428" ht="22" customHeight="1">
      <x:c r="A428" s="186" t="str">
        <x:f>IF(B428="","",ROW()-5)</x:f>
      </x:c>
      <x:c r="B428" s="196"/>
      <x:c r="C428" s="198"/>
      <x:c r="D428" s="196"/>
      <x:c r="E428" s="188"/>
      <x:c r="F428" s="198"/>
      <x:c r="G428" s="202"/>
      <x:c r="H428" s="204"/>
      <x:c r="I428" s="206" t="str">
        <x:f>IF(G428="","",MAX(G428-H428,0))</x:f>
      </x:c>
      <x:c r="J428" s="210"/>
      <x:c r="K428" s="190"/>
      <x:c r="L428" s="208"/>
      <x:c r="M428" s="208"/>
      <x:c r="N428" s="208"/>
      <x:c r="O428" s="208"/>
      <x:c r="P428" s="190"/>
      <x:c r="Q428" s="190"/>
      <x:c r="R428" s="190"/>
      <x:c r="S428" s="190"/>
      <x:c r="T428" s="190"/>
      <x:c r="U428" s="190"/>
      <x:c r="V428" s="212"/>
      <x:c r="W428" s="212"/>
      <x:c r="X428" s="200"/>
      <x:c r="Y428" s="192"/>
      <x:c r="Z428" s="214"/>
      <x:c r="AA428" s="214"/>
      <x:c r="AB428" s="192"/>
      <x:c r="AC428" s="194"/>
      <x:c r="AD428" s="186" t="str">
        <x:f>IF(COUNTA(B428:H428)+COUNTA(J428:AC428)=0,"",IF(OR(B428="",D428="",E428="",G428="",J428=""),"缺少必填项",IF(H428&gt;G428,"完成数大于订单数",IF(AND(X428="",OR(Y428="排队",Y428="生产中",Y428="阻塞",Z428&lt;&gt;"",AA428&lt;&gt;"",AB428="是")),"已有排期字段缺少机台",IF(AND(X428&lt;&gt;"",Y428="待排"),"已填机台但状态为待排",IF(AND(Y428="生产中",AB428&lt;&gt;"是"),"需确认：生产中未锁定","可导入"))))))</x:f>
      </x:c>
    </x:row>
    <x:row r="429" ht="22" customHeight="1">
      <x:c r="A429" s="186" t="str">
        <x:f>IF(B429="","",ROW()-5)</x:f>
      </x:c>
      <x:c r="B429" s="196"/>
      <x:c r="C429" s="198"/>
      <x:c r="D429" s="196"/>
      <x:c r="E429" s="188"/>
      <x:c r="F429" s="198"/>
      <x:c r="G429" s="202"/>
      <x:c r="H429" s="204"/>
      <x:c r="I429" s="206" t="str">
        <x:f>IF(G429="","",MAX(G429-H429,0))</x:f>
      </x:c>
      <x:c r="J429" s="210"/>
      <x:c r="K429" s="190"/>
      <x:c r="L429" s="208"/>
      <x:c r="M429" s="208"/>
      <x:c r="N429" s="208"/>
      <x:c r="O429" s="208"/>
      <x:c r="P429" s="190"/>
      <x:c r="Q429" s="190"/>
      <x:c r="R429" s="190"/>
      <x:c r="S429" s="190"/>
      <x:c r="T429" s="190"/>
      <x:c r="U429" s="190"/>
      <x:c r="V429" s="212"/>
      <x:c r="W429" s="212"/>
      <x:c r="X429" s="200"/>
      <x:c r="Y429" s="192"/>
      <x:c r="Z429" s="214"/>
      <x:c r="AA429" s="214"/>
      <x:c r="AB429" s="192"/>
      <x:c r="AC429" s="194"/>
      <x:c r="AD429" s="186" t="str">
        <x:f>IF(COUNTA(B429:H429)+COUNTA(J429:AC429)=0,"",IF(OR(B429="",D429="",E429="",G429="",J429=""),"缺少必填项",IF(H429&gt;G429,"完成数大于订单数",IF(AND(X429="",OR(Y429="排队",Y429="生产中",Y429="阻塞",Z429&lt;&gt;"",AA429&lt;&gt;"",AB429="是")),"已有排期字段缺少机台",IF(AND(X429&lt;&gt;"",Y429="待排"),"已填机台但状态为待排",IF(AND(Y429="生产中",AB429&lt;&gt;"是"),"需确认：生产中未锁定","可导入"))))))</x:f>
      </x:c>
    </x:row>
    <x:row r="430" ht="22" customHeight="1">
      <x:c r="A430" s="186" t="str">
        <x:f>IF(B430="","",ROW()-5)</x:f>
      </x:c>
      <x:c r="B430" s="196"/>
      <x:c r="C430" s="198"/>
      <x:c r="D430" s="196"/>
      <x:c r="E430" s="188"/>
      <x:c r="F430" s="198"/>
      <x:c r="G430" s="202"/>
      <x:c r="H430" s="204"/>
      <x:c r="I430" s="206" t="str">
        <x:f>IF(G430="","",MAX(G430-H430,0))</x:f>
      </x:c>
      <x:c r="J430" s="210"/>
      <x:c r="K430" s="190"/>
      <x:c r="L430" s="208"/>
      <x:c r="M430" s="208"/>
      <x:c r="N430" s="208"/>
      <x:c r="O430" s="208"/>
      <x:c r="P430" s="190"/>
      <x:c r="Q430" s="190"/>
      <x:c r="R430" s="190"/>
      <x:c r="S430" s="190"/>
      <x:c r="T430" s="190"/>
      <x:c r="U430" s="190"/>
      <x:c r="V430" s="212"/>
      <x:c r="W430" s="212"/>
      <x:c r="X430" s="200"/>
      <x:c r="Y430" s="192"/>
      <x:c r="Z430" s="214"/>
      <x:c r="AA430" s="214"/>
      <x:c r="AB430" s="192"/>
      <x:c r="AC430" s="194"/>
      <x:c r="AD430" s="186" t="str">
        <x:f>IF(COUNTA(B430:H430)+COUNTA(J430:AC430)=0,"",IF(OR(B430="",D430="",E430="",G430="",J430=""),"缺少必填项",IF(H430&gt;G430,"完成数大于订单数",IF(AND(X430="",OR(Y430="排队",Y430="生产中",Y430="阻塞",Z430&lt;&gt;"",AA430&lt;&gt;"",AB430="是")),"已有排期字段缺少机台",IF(AND(X430&lt;&gt;"",Y430="待排"),"已填机台但状态为待排",IF(AND(Y430="生产中",AB430&lt;&gt;"是"),"需确认：生产中未锁定","可导入"))))))</x:f>
      </x:c>
    </x:row>
    <x:row r="431" ht="22" customHeight="1">
      <x:c r="A431" s="186" t="str">
        <x:f>IF(B431="","",ROW()-5)</x:f>
      </x:c>
      <x:c r="B431" s="196"/>
      <x:c r="C431" s="198"/>
      <x:c r="D431" s="196"/>
      <x:c r="E431" s="188"/>
      <x:c r="F431" s="198"/>
      <x:c r="G431" s="202"/>
      <x:c r="H431" s="204"/>
      <x:c r="I431" s="206" t="str">
        <x:f>IF(G431="","",MAX(G431-H431,0))</x:f>
      </x:c>
      <x:c r="J431" s="210"/>
      <x:c r="K431" s="190"/>
      <x:c r="L431" s="208"/>
      <x:c r="M431" s="208"/>
      <x:c r="N431" s="208"/>
      <x:c r="O431" s="208"/>
      <x:c r="P431" s="190"/>
      <x:c r="Q431" s="190"/>
      <x:c r="R431" s="190"/>
      <x:c r="S431" s="190"/>
      <x:c r="T431" s="190"/>
      <x:c r="U431" s="190"/>
      <x:c r="V431" s="212"/>
      <x:c r="W431" s="212"/>
      <x:c r="X431" s="200"/>
      <x:c r="Y431" s="192"/>
      <x:c r="Z431" s="214"/>
      <x:c r="AA431" s="214"/>
      <x:c r="AB431" s="192"/>
      <x:c r="AC431" s="194"/>
      <x:c r="AD431" s="186" t="str">
        <x:f>IF(COUNTA(B431:H431)+COUNTA(J431:AC431)=0,"",IF(OR(B431="",D431="",E431="",G431="",J431=""),"缺少必填项",IF(H431&gt;G431,"完成数大于订单数",IF(AND(X431="",OR(Y431="排队",Y431="生产中",Y431="阻塞",Z431&lt;&gt;"",AA431&lt;&gt;"",AB431="是")),"已有排期字段缺少机台",IF(AND(X431&lt;&gt;"",Y431="待排"),"已填机台但状态为待排",IF(AND(Y431="生产中",AB431&lt;&gt;"是"),"需确认：生产中未锁定","可导入"))))))</x:f>
      </x:c>
    </x:row>
    <x:row r="432" ht="22" customHeight="1">
      <x:c r="A432" s="186" t="str">
        <x:f>IF(B432="","",ROW()-5)</x:f>
      </x:c>
      <x:c r="B432" s="196"/>
      <x:c r="C432" s="198"/>
      <x:c r="D432" s="196"/>
      <x:c r="E432" s="188"/>
      <x:c r="F432" s="198"/>
      <x:c r="G432" s="202"/>
      <x:c r="H432" s="204"/>
      <x:c r="I432" s="206" t="str">
        <x:f>IF(G432="","",MAX(G432-H432,0))</x:f>
      </x:c>
      <x:c r="J432" s="210"/>
      <x:c r="K432" s="190"/>
      <x:c r="L432" s="208"/>
      <x:c r="M432" s="208"/>
      <x:c r="N432" s="208"/>
      <x:c r="O432" s="208"/>
      <x:c r="P432" s="190"/>
      <x:c r="Q432" s="190"/>
      <x:c r="R432" s="190"/>
      <x:c r="S432" s="190"/>
      <x:c r="T432" s="190"/>
      <x:c r="U432" s="190"/>
      <x:c r="V432" s="212"/>
      <x:c r="W432" s="212"/>
      <x:c r="X432" s="200"/>
      <x:c r="Y432" s="192"/>
      <x:c r="Z432" s="214"/>
      <x:c r="AA432" s="214"/>
      <x:c r="AB432" s="192"/>
      <x:c r="AC432" s="194"/>
      <x:c r="AD432" s="186" t="str">
        <x:f>IF(COUNTA(B432:H432)+COUNTA(J432:AC432)=0,"",IF(OR(B432="",D432="",E432="",G432="",J432=""),"缺少必填项",IF(H432&gt;G432,"完成数大于订单数",IF(AND(X432="",OR(Y432="排队",Y432="生产中",Y432="阻塞",Z432&lt;&gt;"",AA432&lt;&gt;"",AB432="是")),"已有排期字段缺少机台",IF(AND(X432&lt;&gt;"",Y432="待排"),"已填机台但状态为待排",IF(AND(Y432="生产中",AB432&lt;&gt;"是"),"需确认：生产中未锁定","可导入"))))))</x:f>
      </x:c>
    </x:row>
    <x:row r="433" ht="22" customHeight="1">
      <x:c r="A433" s="186" t="str">
        <x:f>IF(B433="","",ROW()-5)</x:f>
      </x:c>
      <x:c r="B433" s="196"/>
      <x:c r="C433" s="198"/>
      <x:c r="D433" s="196"/>
      <x:c r="E433" s="188"/>
      <x:c r="F433" s="198"/>
      <x:c r="G433" s="202"/>
      <x:c r="H433" s="204"/>
      <x:c r="I433" s="206" t="str">
        <x:f>IF(G433="","",MAX(G433-H433,0))</x:f>
      </x:c>
      <x:c r="J433" s="210"/>
      <x:c r="K433" s="190"/>
      <x:c r="L433" s="208"/>
      <x:c r="M433" s="208"/>
      <x:c r="N433" s="208"/>
      <x:c r="O433" s="208"/>
      <x:c r="P433" s="190"/>
      <x:c r="Q433" s="190"/>
      <x:c r="R433" s="190"/>
      <x:c r="S433" s="190"/>
      <x:c r="T433" s="190"/>
      <x:c r="U433" s="190"/>
      <x:c r="V433" s="212"/>
      <x:c r="W433" s="212"/>
      <x:c r="X433" s="200"/>
      <x:c r="Y433" s="192"/>
      <x:c r="Z433" s="214"/>
      <x:c r="AA433" s="214"/>
      <x:c r="AB433" s="192"/>
      <x:c r="AC433" s="194"/>
      <x:c r="AD433" s="186" t="str">
        <x:f>IF(COUNTA(B433:H433)+COUNTA(J433:AC433)=0,"",IF(OR(B433="",D433="",E433="",G433="",J433=""),"缺少必填项",IF(H433&gt;G433,"完成数大于订单数",IF(AND(X433="",OR(Y433="排队",Y433="生产中",Y433="阻塞",Z433&lt;&gt;"",AA433&lt;&gt;"",AB433="是")),"已有排期字段缺少机台",IF(AND(X433&lt;&gt;"",Y433="待排"),"已填机台但状态为待排",IF(AND(Y433="生产中",AB433&lt;&gt;"是"),"需确认：生产中未锁定","可导入"))))))</x:f>
      </x:c>
    </x:row>
    <x:row r="434" ht="22" customHeight="1">
      <x:c r="A434" s="186" t="str">
        <x:f>IF(B434="","",ROW()-5)</x:f>
      </x:c>
      <x:c r="B434" s="196"/>
      <x:c r="C434" s="198"/>
      <x:c r="D434" s="196"/>
      <x:c r="E434" s="188"/>
      <x:c r="F434" s="198"/>
      <x:c r="G434" s="202"/>
      <x:c r="H434" s="204"/>
      <x:c r="I434" s="206" t="str">
        <x:f>IF(G434="","",MAX(G434-H434,0))</x:f>
      </x:c>
      <x:c r="J434" s="210"/>
      <x:c r="K434" s="190"/>
      <x:c r="L434" s="208"/>
      <x:c r="M434" s="208"/>
      <x:c r="N434" s="208"/>
      <x:c r="O434" s="208"/>
      <x:c r="P434" s="190"/>
      <x:c r="Q434" s="190"/>
      <x:c r="R434" s="190"/>
      <x:c r="S434" s="190"/>
      <x:c r="T434" s="190"/>
      <x:c r="U434" s="190"/>
      <x:c r="V434" s="212"/>
      <x:c r="W434" s="212"/>
      <x:c r="X434" s="200"/>
      <x:c r="Y434" s="192"/>
      <x:c r="Z434" s="214"/>
      <x:c r="AA434" s="214"/>
      <x:c r="AB434" s="192"/>
      <x:c r="AC434" s="194"/>
      <x:c r="AD434" s="186" t="str">
        <x:f>IF(COUNTA(B434:H434)+COUNTA(J434:AC434)=0,"",IF(OR(B434="",D434="",E434="",G434="",J434=""),"缺少必填项",IF(H434&gt;G434,"完成数大于订单数",IF(AND(X434="",OR(Y434="排队",Y434="生产中",Y434="阻塞",Z434&lt;&gt;"",AA434&lt;&gt;"",AB434="是")),"已有排期字段缺少机台",IF(AND(X434&lt;&gt;"",Y434="待排"),"已填机台但状态为待排",IF(AND(Y434="生产中",AB434&lt;&gt;"是"),"需确认：生产中未锁定","可导入"))))))</x:f>
      </x:c>
    </x:row>
    <x:row r="435" ht="22" customHeight="1">
      <x:c r="A435" s="186" t="str">
        <x:f>IF(B435="","",ROW()-5)</x:f>
      </x:c>
      <x:c r="B435" s="196"/>
      <x:c r="C435" s="198"/>
      <x:c r="D435" s="196"/>
      <x:c r="E435" s="188"/>
      <x:c r="F435" s="198"/>
      <x:c r="G435" s="202"/>
      <x:c r="H435" s="204"/>
      <x:c r="I435" s="206" t="str">
        <x:f>IF(G435="","",MAX(G435-H435,0))</x:f>
      </x:c>
      <x:c r="J435" s="210"/>
      <x:c r="K435" s="190"/>
      <x:c r="L435" s="208"/>
      <x:c r="M435" s="208"/>
      <x:c r="N435" s="208"/>
      <x:c r="O435" s="208"/>
      <x:c r="P435" s="190"/>
      <x:c r="Q435" s="190"/>
      <x:c r="R435" s="190"/>
      <x:c r="S435" s="190"/>
      <x:c r="T435" s="190"/>
      <x:c r="U435" s="190"/>
      <x:c r="V435" s="212"/>
      <x:c r="W435" s="212"/>
      <x:c r="X435" s="200"/>
      <x:c r="Y435" s="192"/>
      <x:c r="Z435" s="214"/>
      <x:c r="AA435" s="214"/>
      <x:c r="AB435" s="192"/>
      <x:c r="AC435" s="194"/>
      <x:c r="AD435" s="186" t="str">
        <x:f>IF(COUNTA(B435:H435)+COUNTA(J435:AC435)=0,"",IF(OR(B435="",D435="",E435="",G435="",J435=""),"缺少必填项",IF(H435&gt;G435,"完成数大于订单数",IF(AND(X435="",OR(Y435="排队",Y435="生产中",Y435="阻塞",Z435&lt;&gt;"",AA435&lt;&gt;"",AB435="是")),"已有排期字段缺少机台",IF(AND(X435&lt;&gt;"",Y435="待排"),"已填机台但状态为待排",IF(AND(Y435="生产中",AB435&lt;&gt;"是"),"需确认：生产中未锁定","可导入"))))))</x:f>
      </x:c>
    </x:row>
    <x:row r="436" ht="22" customHeight="1">
      <x:c r="A436" s="186" t="str">
        <x:f>IF(B436="","",ROW()-5)</x:f>
      </x:c>
      <x:c r="B436" s="196"/>
      <x:c r="C436" s="198"/>
      <x:c r="D436" s="196"/>
      <x:c r="E436" s="188"/>
      <x:c r="F436" s="198"/>
      <x:c r="G436" s="202"/>
      <x:c r="H436" s="204"/>
      <x:c r="I436" s="206" t="str">
        <x:f>IF(G436="","",MAX(G436-H436,0))</x:f>
      </x:c>
      <x:c r="J436" s="210"/>
      <x:c r="K436" s="190"/>
      <x:c r="L436" s="208"/>
      <x:c r="M436" s="208"/>
      <x:c r="N436" s="208"/>
      <x:c r="O436" s="208"/>
      <x:c r="P436" s="190"/>
      <x:c r="Q436" s="190"/>
      <x:c r="R436" s="190"/>
      <x:c r="S436" s="190"/>
      <x:c r="T436" s="190"/>
      <x:c r="U436" s="190"/>
      <x:c r="V436" s="212"/>
      <x:c r="W436" s="212"/>
      <x:c r="X436" s="200"/>
      <x:c r="Y436" s="192"/>
      <x:c r="Z436" s="214"/>
      <x:c r="AA436" s="214"/>
      <x:c r="AB436" s="192"/>
      <x:c r="AC436" s="194"/>
      <x:c r="AD436" s="186" t="str">
        <x:f>IF(COUNTA(B436:H436)+COUNTA(J436:AC436)=0,"",IF(OR(B436="",D436="",E436="",G436="",J436=""),"缺少必填项",IF(H436&gt;G436,"完成数大于订单数",IF(AND(X436="",OR(Y436="排队",Y436="生产中",Y436="阻塞",Z436&lt;&gt;"",AA436&lt;&gt;"",AB436="是")),"已有排期字段缺少机台",IF(AND(X436&lt;&gt;"",Y436="待排"),"已填机台但状态为待排",IF(AND(Y436="生产中",AB436&lt;&gt;"是"),"需确认：生产中未锁定","可导入"))))))</x:f>
      </x:c>
    </x:row>
    <x:row r="437" ht="22" customHeight="1">
      <x:c r="A437" s="186" t="str">
        <x:f>IF(B437="","",ROW()-5)</x:f>
      </x:c>
      <x:c r="B437" s="196"/>
      <x:c r="C437" s="198"/>
      <x:c r="D437" s="196"/>
      <x:c r="E437" s="188"/>
      <x:c r="F437" s="198"/>
      <x:c r="G437" s="202"/>
      <x:c r="H437" s="204"/>
      <x:c r="I437" s="206" t="str">
        <x:f>IF(G437="","",MAX(G437-H437,0))</x:f>
      </x:c>
      <x:c r="J437" s="210"/>
      <x:c r="K437" s="190"/>
      <x:c r="L437" s="208"/>
      <x:c r="M437" s="208"/>
      <x:c r="N437" s="208"/>
      <x:c r="O437" s="208"/>
      <x:c r="P437" s="190"/>
      <x:c r="Q437" s="190"/>
      <x:c r="R437" s="190"/>
      <x:c r="S437" s="190"/>
      <x:c r="T437" s="190"/>
      <x:c r="U437" s="190"/>
      <x:c r="V437" s="212"/>
      <x:c r="W437" s="212"/>
      <x:c r="X437" s="200"/>
      <x:c r="Y437" s="192"/>
      <x:c r="Z437" s="214"/>
      <x:c r="AA437" s="214"/>
      <x:c r="AB437" s="192"/>
      <x:c r="AC437" s="194"/>
      <x:c r="AD437" s="186" t="str">
        <x:f>IF(COUNTA(B437:H437)+COUNTA(J437:AC437)=0,"",IF(OR(B437="",D437="",E437="",G437="",J437=""),"缺少必填项",IF(H437&gt;G437,"完成数大于订单数",IF(AND(X437="",OR(Y437="排队",Y437="生产中",Y437="阻塞",Z437&lt;&gt;"",AA437&lt;&gt;"",AB437="是")),"已有排期字段缺少机台",IF(AND(X437&lt;&gt;"",Y437="待排"),"已填机台但状态为待排",IF(AND(Y437="生产中",AB437&lt;&gt;"是"),"需确认：生产中未锁定","可导入"))))))</x:f>
      </x:c>
    </x:row>
    <x:row r="438" ht="22" customHeight="1">
      <x:c r="A438" s="186" t="str">
        <x:f>IF(B438="","",ROW()-5)</x:f>
      </x:c>
      <x:c r="B438" s="196"/>
      <x:c r="C438" s="198"/>
      <x:c r="D438" s="196"/>
      <x:c r="E438" s="188"/>
      <x:c r="F438" s="198"/>
      <x:c r="G438" s="202"/>
      <x:c r="H438" s="204"/>
      <x:c r="I438" s="206" t="str">
        <x:f>IF(G438="","",MAX(G438-H438,0))</x:f>
      </x:c>
      <x:c r="J438" s="210"/>
      <x:c r="K438" s="190"/>
      <x:c r="L438" s="208"/>
      <x:c r="M438" s="208"/>
      <x:c r="N438" s="208"/>
      <x:c r="O438" s="208"/>
      <x:c r="P438" s="190"/>
      <x:c r="Q438" s="190"/>
      <x:c r="R438" s="190"/>
      <x:c r="S438" s="190"/>
      <x:c r="T438" s="190"/>
      <x:c r="U438" s="190"/>
      <x:c r="V438" s="212"/>
      <x:c r="W438" s="212"/>
      <x:c r="X438" s="200"/>
      <x:c r="Y438" s="192"/>
      <x:c r="Z438" s="214"/>
      <x:c r="AA438" s="214"/>
      <x:c r="AB438" s="192"/>
      <x:c r="AC438" s="194"/>
      <x:c r="AD438" s="186" t="str">
        <x:f>IF(COUNTA(B438:H438)+COUNTA(J438:AC438)=0,"",IF(OR(B438="",D438="",E438="",G438="",J438=""),"缺少必填项",IF(H438&gt;G438,"完成数大于订单数",IF(AND(X438="",OR(Y438="排队",Y438="生产中",Y438="阻塞",Z438&lt;&gt;"",AA438&lt;&gt;"",AB438="是")),"已有排期字段缺少机台",IF(AND(X438&lt;&gt;"",Y438="待排"),"已填机台但状态为待排",IF(AND(Y438="生产中",AB438&lt;&gt;"是"),"需确认：生产中未锁定","可导入"))))))</x:f>
      </x:c>
    </x:row>
    <x:row r="439" ht="22" customHeight="1">
      <x:c r="A439" s="186" t="str">
        <x:f>IF(B439="","",ROW()-5)</x:f>
      </x:c>
      <x:c r="B439" s="196"/>
      <x:c r="C439" s="198"/>
      <x:c r="D439" s="196"/>
      <x:c r="E439" s="188"/>
      <x:c r="F439" s="198"/>
      <x:c r="G439" s="202"/>
      <x:c r="H439" s="204"/>
      <x:c r="I439" s="206" t="str">
        <x:f>IF(G439="","",MAX(G439-H439,0))</x:f>
      </x:c>
      <x:c r="J439" s="210"/>
      <x:c r="K439" s="190"/>
      <x:c r="L439" s="208"/>
      <x:c r="M439" s="208"/>
      <x:c r="N439" s="208"/>
      <x:c r="O439" s="208"/>
      <x:c r="P439" s="190"/>
      <x:c r="Q439" s="190"/>
      <x:c r="R439" s="190"/>
      <x:c r="S439" s="190"/>
      <x:c r="T439" s="190"/>
      <x:c r="U439" s="190"/>
      <x:c r="V439" s="212"/>
      <x:c r="W439" s="212"/>
      <x:c r="X439" s="200"/>
      <x:c r="Y439" s="192"/>
      <x:c r="Z439" s="214"/>
      <x:c r="AA439" s="214"/>
      <x:c r="AB439" s="192"/>
      <x:c r="AC439" s="194"/>
      <x:c r="AD439" s="186" t="str">
        <x:f>IF(COUNTA(B439:H439)+COUNTA(J439:AC439)=0,"",IF(OR(B439="",D439="",E439="",G439="",J439=""),"缺少必填项",IF(H439&gt;G439,"完成数大于订单数",IF(AND(X439="",OR(Y439="排队",Y439="生产中",Y439="阻塞",Z439&lt;&gt;"",AA439&lt;&gt;"",AB439="是")),"已有排期字段缺少机台",IF(AND(X439&lt;&gt;"",Y439="待排"),"已填机台但状态为待排",IF(AND(Y439="生产中",AB439&lt;&gt;"是"),"需确认：生产中未锁定","可导入"))))))</x:f>
      </x:c>
    </x:row>
    <x:row r="440" ht="22" customHeight="1">
      <x:c r="A440" s="186" t="str">
        <x:f>IF(B440="","",ROW()-5)</x:f>
      </x:c>
      <x:c r="B440" s="196"/>
      <x:c r="C440" s="198"/>
      <x:c r="D440" s="196"/>
      <x:c r="E440" s="188"/>
      <x:c r="F440" s="198"/>
      <x:c r="G440" s="202"/>
      <x:c r="H440" s="204"/>
      <x:c r="I440" s="206" t="str">
        <x:f>IF(G440="","",MAX(G440-H440,0))</x:f>
      </x:c>
      <x:c r="J440" s="210"/>
      <x:c r="K440" s="190"/>
      <x:c r="L440" s="208"/>
      <x:c r="M440" s="208"/>
      <x:c r="N440" s="208"/>
      <x:c r="O440" s="208"/>
      <x:c r="P440" s="190"/>
      <x:c r="Q440" s="190"/>
      <x:c r="R440" s="190"/>
      <x:c r="S440" s="190"/>
      <x:c r="T440" s="190"/>
      <x:c r="U440" s="190"/>
      <x:c r="V440" s="212"/>
      <x:c r="W440" s="212"/>
      <x:c r="X440" s="200"/>
      <x:c r="Y440" s="192"/>
      <x:c r="Z440" s="214"/>
      <x:c r="AA440" s="214"/>
      <x:c r="AB440" s="192"/>
      <x:c r="AC440" s="194"/>
      <x:c r="AD440" s="186" t="str">
        <x:f>IF(COUNTA(B440:H440)+COUNTA(J440:AC440)=0,"",IF(OR(B440="",D440="",E440="",G440="",J440=""),"缺少必填项",IF(H440&gt;G440,"完成数大于订单数",IF(AND(X440="",OR(Y440="排队",Y440="生产中",Y440="阻塞",Z440&lt;&gt;"",AA440&lt;&gt;"",AB440="是")),"已有排期字段缺少机台",IF(AND(X440&lt;&gt;"",Y440="待排"),"已填机台但状态为待排",IF(AND(Y440="生产中",AB440&lt;&gt;"是"),"需确认：生产中未锁定","可导入"))))))</x:f>
      </x:c>
    </x:row>
    <x:row r="441" ht="22" customHeight="1">
      <x:c r="A441" s="186" t="str">
        <x:f>IF(B441="","",ROW()-5)</x:f>
      </x:c>
      <x:c r="B441" s="196"/>
      <x:c r="C441" s="198"/>
      <x:c r="D441" s="196"/>
      <x:c r="E441" s="188"/>
      <x:c r="F441" s="198"/>
      <x:c r="G441" s="202"/>
      <x:c r="H441" s="204"/>
      <x:c r="I441" s="206" t="str">
        <x:f>IF(G441="","",MAX(G441-H441,0))</x:f>
      </x:c>
      <x:c r="J441" s="210"/>
      <x:c r="K441" s="190"/>
      <x:c r="L441" s="208"/>
      <x:c r="M441" s="208"/>
      <x:c r="N441" s="208"/>
      <x:c r="O441" s="208"/>
      <x:c r="P441" s="190"/>
      <x:c r="Q441" s="190"/>
      <x:c r="R441" s="190"/>
      <x:c r="S441" s="190"/>
      <x:c r="T441" s="190"/>
      <x:c r="U441" s="190"/>
      <x:c r="V441" s="212"/>
      <x:c r="W441" s="212"/>
      <x:c r="X441" s="200"/>
      <x:c r="Y441" s="192"/>
      <x:c r="Z441" s="214"/>
      <x:c r="AA441" s="214"/>
      <x:c r="AB441" s="192"/>
      <x:c r="AC441" s="194"/>
      <x:c r="AD441" s="186" t="str">
        <x:f>IF(COUNTA(B441:H441)+COUNTA(J441:AC441)=0,"",IF(OR(B441="",D441="",E441="",G441="",J441=""),"缺少必填项",IF(H441&gt;G441,"完成数大于订单数",IF(AND(X441="",OR(Y441="排队",Y441="生产中",Y441="阻塞",Z441&lt;&gt;"",AA441&lt;&gt;"",AB441="是")),"已有排期字段缺少机台",IF(AND(X441&lt;&gt;"",Y441="待排"),"已填机台但状态为待排",IF(AND(Y441="生产中",AB441&lt;&gt;"是"),"需确认：生产中未锁定","可导入"))))))</x:f>
      </x:c>
    </x:row>
    <x:row r="442" ht="22" customHeight="1">
      <x:c r="A442" s="186" t="str">
        <x:f>IF(B442="","",ROW()-5)</x:f>
      </x:c>
      <x:c r="B442" s="196"/>
      <x:c r="C442" s="198"/>
      <x:c r="D442" s="196"/>
      <x:c r="E442" s="188"/>
      <x:c r="F442" s="198"/>
      <x:c r="G442" s="202"/>
      <x:c r="H442" s="204"/>
      <x:c r="I442" s="206" t="str">
        <x:f>IF(G442="","",MAX(G442-H442,0))</x:f>
      </x:c>
      <x:c r="J442" s="210"/>
      <x:c r="K442" s="190"/>
      <x:c r="L442" s="208"/>
      <x:c r="M442" s="208"/>
      <x:c r="N442" s="208"/>
      <x:c r="O442" s="208"/>
      <x:c r="P442" s="190"/>
      <x:c r="Q442" s="190"/>
      <x:c r="R442" s="190"/>
      <x:c r="S442" s="190"/>
      <x:c r="T442" s="190"/>
      <x:c r="U442" s="190"/>
      <x:c r="V442" s="212"/>
      <x:c r="W442" s="212"/>
      <x:c r="X442" s="200"/>
      <x:c r="Y442" s="192"/>
      <x:c r="Z442" s="214"/>
      <x:c r="AA442" s="214"/>
      <x:c r="AB442" s="192"/>
      <x:c r="AC442" s="194"/>
      <x:c r="AD442" s="186" t="str">
        <x:f>IF(COUNTA(B442:H442)+COUNTA(J442:AC442)=0,"",IF(OR(B442="",D442="",E442="",G442="",J442=""),"缺少必填项",IF(H442&gt;G442,"完成数大于订单数",IF(AND(X442="",OR(Y442="排队",Y442="生产中",Y442="阻塞",Z442&lt;&gt;"",AA442&lt;&gt;"",AB442="是")),"已有排期字段缺少机台",IF(AND(X442&lt;&gt;"",Y442="待排"),"已填机台但状态为待排",IF(AND(Y442="生产中",AB442&lt;&gt;"是"),"需确认：生产中未锁定","可导入"))))))</x:f>
      </x:c>
    </x:row>
    <x:row r="443" ht="22" customHeight="1">
      <x:c r="A443" s="186" t="str">
        <x:f>IF(B443="","",ROW()-5)</x:f>
      </x:c>
      <x:c r="B443" s="196"/>
      <x:c r="C443" s="198"/>
      <x:c r="D443" s="196"/>
      <x:c r="E443" s="188"/>
      <x:c r="F443" s="198"/>
      <x:c r="G443" s="202"/>
      <x:c r="H443" s="204"/>
      <x:c r="I443" s="206" t="str">
        <x:f>IF(G443="","",MAX(G443-H443,0))</x:f>
      </x:c>
      <x:c r="J443" s="210"/>
      <x:c r="K443" s="190"/>
      <x:c r="L443" s="208"/>
      <x:c r="M443" s="208"/>
      <x:c r="N443" s="208"/>
      <x:c r="O443" s="208"/>
      <x:c r="P443" s="190"/>
      <x:c r="Q443" s="190"/>
      <x:c r="R443" s="190"/>
      <x:c r="S443" s="190"/>
      <x:c r="T443" s="190"/>
      <x:c r="U443" s="190"/>
      <x:c r="V443" s="212"/>
      <x:c r="W443" s="212"/>
      <x:c r="X443" s="200"/>
      <x:c r="Y443" s="192"/>
      <x:c r="Z443" s="214"/>
      <x:c r="AA443" s="214"/>
      <x:c r="AB443" s="192"/>
      <x:c r="AC443" s="194"/>
      <x:c r="AD443" s="186" t="str">
        <x:f>IF(COUNTA(B443:H443)+COUNTA(J443:AC443)=0,"",IF(OR(B443="",D443="",E443="",G443="",J443=""),"缺少必填项",IF(H443&gt;G443,"完成数大于订单数",IF(AND(X443="",OR(Y443="排队",Y443="生产中",Y443="阻塞",Z443&lt;&gt;"",AA443&lt;&gt;"",AB443="是")),"已有排期字段缺少机台",IF(AND(X443&lt;&gt;"",Y443="待排"),"已填机台但状态为待排",IF(AND(Y443="生产中",AB443&lt;&gt;"是"),"需确认：生产中未锁定","可导入"))))))</x:f>
      </x:c>
    </x:row>
    <x:row r="444" ht="22" customHeight="1">
      <x:c r="A444" s="186" t="str">
        <x:f>IF(B444="","",ROW()-5)</x:f>
      </x:c>
      <x:c r="B444" s="196"/>
      <x:c r="C444" s="198"/>
      <x:c r="D444" s="196"/>
      <x:c r="E444" s="188"/>
      <x:c r="F444" s="198"/>
      <x:c r="G444" s="202"/>
      <x:c r="H444" s="204"/>
      <x:c r="I444" s="206" t="str">
        <x:f>IF(G444="","",MAX(G444-H444,0))</x:f>
      </x:c>
      <x:c r="J444" s="210"/>
      <x:c r="K444" s="190"/>
      <x:c r="L444" s="208"/>
      <x:c r="M444" s="208"/>
      <x:c r="N444" s="208"/>
      <x:c r="O444" s="208"/>
      <x:c r="P444" s="190"/>
      <x:c r="Q444" s="190"/>
      <x:c r="R444" s="190"/>
      <x:c r="S444" s="190"/>
      <x:c r="T444" s="190"/>
      <x:c r="U444" s="190"/>
      <x:c r="V444" s="212"/>
      <x:c r="W444" s="212"/>
      <x:c r="X444" s="200"/>
      <x:c r="Y444" s="192"/>
      <x:c r="Z444" s="214"/>
      <x:c r="AA444" s="214"/>
      <x:c r="AB444" s="192"/>
      <x:c r="AC444" s="194"/>
      <x:c r="AD444" s="186" t="str">
        <x:f>IF(COUNTA(B444:H444)+COUNTA(J444:AC444)=0,"",IF(OR(B444="",D444="",E444="",G444="",J444=""),"缺少必填项",IF(H444&gt;G444,"完成数大于订单数",IF(AND(X444="",OR(Y444="排队",Y444="生产中",Y444="阻塞",Z444&lt;&gt;"",AA444&lt;&gt;"",AB444="是")),"已有排期字段缺少机台",IF(AND(X444&lt;&gt;"",Y444="待排"),"已填机台但状态为待排",IF(AND(Y444="生产中",AB444&lt;&gt;"是"),"需确认：生产中未锁定","可导入"))))))</x:f>
      </x:c>
    </x:row>
    <x:row r="445" ht="22" customHeight="1">
      <x:c r="A445" s="186" t="str">
        <x:f>IF(B445="","",ROW()-5)</x:f>
      </x:c>
      <x:c r="B445" s="196"/>
      <x:c r="C445" s="198"/>
      <x:c r="D445" s="196"/>
      <x:c r="E445" s="188"/>
      <x:c r="F445" s="198"/>
      <x:c r="G445" s="202"/>
      <x:c r="H445" s="204"/>
      <x:c r="I445" s="206" t="str">
        <x:f>IF(G445="","",MAX(G445-H445,0))</x:f>
      </x:c>
      <x:c r="J445" s="210"/>
      <x:c r="K445" s="190"/>
      <x:c r="L445" s="208"/>
      <x:c r="M445" s="208"/>
      <x:c r="N445" s="208"/>
      <x:c r="O445" s="208"/>
      <x:c r="P445" s="190"/>
      <x:c r="Q445" s="190"/>
      <x:c r="R445" s="190"/>
      <x:c r="S445" s="190"/>
      <x:c r="T445" s="190"/>
      <x:c r="U445" s="190"/>
      <x:c r="V445" s="212"/>
      <x:c r="W445" s="212"/>
      <x:c r="X445" s="200"/>
      <x:c r="Y445" s="192"/>
      <x:c r="Z445" s="214"/>
      <x:c r="AA445" s="214"/>
      <x:c r="AB445" s="192"/>
      <x:c r="AC445" s="194"/>
      <x:c r="AD445" s="186" t="str">
        <x:f>IF(COUNTA(B445:H445)+COUNTA(J445:AC445)=0,"",IF(OR(B445="",D445="",E445="",G445="",J445=""),"缺少必填项",IF(H445&gt;G445,"完成数大于订单数",IF(AND(X445="",OR(Y445="排队",Y445="生产中",Y445="阻塞",Z445&lt;&gt;"",AA445&lt;&gt;"",AB445="是")),"已有排期字段缺少机台",IF(AND(X445&lt;&gt;"",Y445="待排"),"已填机台但状态为待排",IF(AND(Y445="生产中",AB445&lt;&gt;"是"),"需确认：生产中未锁定","可导入"))))))</x:f>
      </x:c>
    </x:row>
    <x:row r="446" ht="22" customHeight="1">
      <x:c r="A446" s="186" t="str">
        <x:f>IF(B446="","",ROW()-5)</x:f>
      </x:c>
      <x:c r="B446" s="196"/>
      <x:c r="C446" s="198"/>
      <x:c r="D446" s="196"/>
      <x:c r="E446" s="188"/>
      <x:c r="F446" s="198"/>
      <x:c r="G446" s="202"/>
      <x:c r="H446" s="204"/>
      <x:c r="I446" s="206" t="str">
        <x:f>IF(G446="","",MAX(G446-H446,0))</x:f>
      </x:c>
      <x:c r="J446" s="210"/>
      <x:c r="K446" s="190"/>
      <x:c r="L446" s="208"/>
      <x:c r="M446" s="208"/>
      <x:c r="N446" s="208"/>
      <x:c r="O446" s="208"/>
      <x:c r="P446" s="190"/>
      <x:c r="Q446" s="190"/>
      <x:c r="R446" s="190"/>
      <x:c r="S446" s="190"/>
      <x:c r="T446" s="190"/>
      <x:c r="U446" s="190"/>
      <x:c r="V446" s="212"/>
      <x:c r="W446" s="212"/>
      <x:c r="X446" s="200"/>
      <x:c r="Y446" s="192"/>
      <x:c r="Z446" s="214"/>
      <x:c r="AA446" s="214"/>
      <x:c r="AB446" s="192"/>
      <x:c r="AC446" s="194"/>
      <x:c r="AD446" s="186" t="str">
        <x:f>IF(COUNTA(B446:H446)+COUNTA(J446:AC446)=0,"",IF(OR(B446="",D446="",E446="",G446="",J446=""),"缺少必填项",IF(H446&gt;G446,"完成数大于订单数",IF(AND(X446="",OR(Y446="排队",Y446="生产中",Y446="阻塞",Z446&lt;&gt;"",AA446&lt;&gt;"",AB446="是")),"已有排期字段缺少机台",IF(AND(X446&lt;&gt;"",Y446="待排"),"已填机台但状态为待排",IF(AND(Y446="生产中",AB446&lt;&gt;"是"),"需确认：生产中未锁定","可导入"))))))</x:f>
      </x:c>
    </x:row>
    <x:row r="447" ht="22" customHeight="1">
      <x:c r="A447" s="186" t="str">
        <x:f>IF(B447="","",ROW()-5)</x:f>
      </x:c>
      <x:c r="B447" s="196"/>
      <x:c r="C447" s="198"/>
      <x:c r="D447" s="196"/>
      <x:c r="E447" s="188"/>
      <x:c r="F447" s="198"/>
      <x:c r="G447" s="202"/>
      <x:c r="H447" s="204"/>
      <x:c r="I447" s="206" t="str">
        <x:f>IF(G447="","",MAX(G447-H447,0))</x:f>
      </x:c>
      <x:c r="J447" s="210"/>
      <x:c r="K447" s="190"/>
      <x:c r="L447" s="208"/>
      <x:c r="M447" s="208"/>
      <x:c r="N447" s="208"/>
      <x:c r="O447" s="208"/>
      <x:c r="P447" s="190"/>
      <x:c r="Q447" s="190"/>
      <x:c r="R447" s="190"/>
      <x:c r="S447" s="190"/>
      <x:c r="T447" s="190"/>
      <x:c r="U447" s="190"/>
      <x:c r="V447" s="212"/>
      <x:c r="W447" s="212"/>
      <x:c r="X447" s="200"/>
      <x:c r="Y447" s="192"/>
      <x:c r="Z447" s="214"/>
      <x:c r="AA447" s="214"/>
      <x:c r="AB447" s="192"/>
      <x:c r="AC447" s="194"/>
      <x:c r="AD447" s="186" t="str">
        <x:f>IF(COUNTA(B447:H447)+COUNTA(J447:AC447)=0,"",IF(OR(B447="",D447="",E447="",G447="",J447=""),"缺少必填项",IF(H447&gt;G447,"完成数大于订单数",IF(AND(X447="",OR(Y447="排队",Y447="生产中",Y447="阻塞",Z447&lt;&gt;"",AA447&lt;&gt;"",AB447="是")),"已有排期字段缺少机台",IF(AND(X447&lt;&gt;"",Y447="待排"),"已填机台但状态为待排",IF(AND(Y447="生产中",AB447&lt;&gt;"是"),"需确认：生产中未锁定","可导入"))))))</x:f>
      </x:c>
    </x:row>
    <x:row r="448" ht="22" customHeight="1">
      <x:c r="A448" s="186" t="str">
        <x:f>IF(B448="","",ROW()-5)</x:f>
      </x:c>
      <x:c r="B448" s="196"/>
      <x:c r="C448" s="198"/>
      <x:c r="D448" s="196"/>
      <x:c r="E448" s="188"/>
      <x:c r="F448" s="198"/>
      <x:c r="G448" s="202"/>
      <x:c r="H448" s="204"/>
      <x:c r="I448" s="206" t="str">
        <x:f>IF(G448="","",MAX(G448-H448,0))</x:f>
      </x:c>
      <x:c r="J448" s="210"/>
      <x:c r="K448" s="190"/>
      <x:c r="L448" s="208"/>
      <x:c r="M448" s="208"/>
      <x:c r="N448" s="208"/>
      <x:c r="O448" s="208"/>
      <x:c r="P448" s="190"/>
      <x:c r="Q448" s="190"/>
      <x:c r="R448" s="190"/>
      <x:c r="S448" s="190"/>
      <x:c r="T448" s="190"/>
      <x:c r="U448" s="190"/>
      <x:c r="V448" s="212"/>
      <x:c r="W448" s="212"/>
      <x:c r="X448" s="200"/>
      <x:c r="Y448" s="192"/>
      <x:c r="Z448" s="214"/>
      <x:c r="AA448" s="214"/>
      <x:c r="AB448" s="192"/>
      <x:c r="AC448" s="194"/>
      <x:c r="AD448" s="186" t="str">
        <x:f>IF(COUNTA(B448:H448)+COUNTA(J448:AC448)=0,"",IF(OR(B448="",D448="",E448="",G448="",J448=""),"缺少必填项",IF(H448&gt;G448,"完成数大于订单数",IF(AND(X448="",OR(Y448="排队",Y448="生产中",Y448="阻塞",Z448&lt;&gt;"",AA448&lt;&gt;"",AB448="是")),"已有排期字段缺少机台",IF(AND(X448&lt;&gt;"",Y448="待排"),"已填机台但状态为待排",IF(AND(Y448="生产中",AB448&lt;&gt;"是"),"需确认：生产中未锁定","可导入"))))))</x:f>
      </x:c>
    </x:row>
    <x:row r="449" ht="22" customHeight="1">
      <x:c r="A449" s="186" t="str">
        <x:f>IF(B449="","",ROW()-5)</x:f>
      </x:c>
      <x:c r="B449" s="196"/>
      <x:c r="C449" s="198"/>
      <x:c r="D449" s="196"/>
      <x:c r="E449" s="188"/>
      <x:c r="F449" s="198"/>
      <x:c r="G449" s="202"/>
      <x:c r="H449" s="204"/>
      <x:c r="I449" s="206" t="str">
        <x:f>IF(G449="","",MAX(G449-H449,0))</x:f>
      </x:c>
      <x:c r="J449" s="210"/>
      <x:c r="K449" s="190"/>
      <x:c r="L449" s="208"/>
      <x:c r="M449" s="208"/>
      <x:c r="N449" s="208"/>
      <x:c r="O449" s="208"/>
      <x:c r="P449" s="190"/>
      <x:c r="Q449" s="190"/>
      <x:c r="R449" s="190"/>
      <x:c r="S449" s="190"/>
      <x:c r="T449" s="190"/>
      <x:c r="U449" s="190"/>
      <x:c r="V449" s="212"/>
      <x:c r="W449" s="212"/>
      <x:c r="X449" s="200"/>
      <x:c r="Y449" s="192"/>
      <x:c r="Z449" s="214"/>
      <x:c r="AA449" s="214"/>
      <x:c r="AB449" s="192"/>
      <x:c r="AC449" s="194"/>
      <x:c r="AD449" s="186" t="str">
        <x:f>IF(COUNTA(B449:H449)+COUNTA(J449:AC449)=0,"",IF(OR(B449="",D449="",E449="",G449="",J449=""),"缺少必填项",IF(H449&gt;G449,"完成数大于订单数",IF(AND(X449="",OR(Y449="排队",Y449="生产中",Y449="阻塞",Z449&lt;&gt;"",AA449&lt;&gt;"",AB449="是")),"已有排期字段缺少机台",IF(AND(X449&lt;&gt;"",Y449="待排"),"已填机台但状态为待排",IF(AND(Y449="生产中",AB449&lt;&gt;"是"),"需确认：生产中未锁定","可导入"))))))</x:f>
      </x:c>
    </x:row>
    <x:row r="450" ht="22" customHeight="1">
      <x:c r="A450" s="186" t="str">
        <x:f>IF(B450="","",ROW()-5)</x:f>
      </x:c>
      <x:c r="B450" s="196"/>
      <x:c r="C450" s="198"/>
      <x:c r="D450" s="196"/>
      <x:c r="E450" s="188"/>
      <x:c r="F450" s="198"/>
      <x:c r="G450" s="202"/>
      <x:c r="H450" s="204"/>
      <x:c r="I450" s="206" t="str">
        <x:f>IF(G450="","",MAX(G450-H450,0))</x:f>
      </x:c>
      <x:c r="J450" s="210"/>
      <x:c r="K450" s="190"/>
      <x:c r="L450" s="208"/>
      <x:c r="M450" s="208"/>
      <x:c r="N450" s="208"/>
      <x:c r="O450" s="208"/>
      <x:c r="P450" s="190"/>
      <x:c r="Q450" s="190"/>
      <x:c r="R450" s="190"/>
      <x:c r="S450" s="190"/>
      <x:c r="T450" s="190"/>
      <x:c r="U450" s="190"/>
      <x:c r="V450" s="212"/>
      <x:c r="W450" s="212"/>
      <x:c r="X450" s="200"/>
      <x:c r="Y450" s="192"/>
      <x:c r="Z450" s="214"/>
      <x:c r="AA450" s="214"/>
      <x:c r="AB450" s="192"/>
      <x:c r="AC450" s="194"/>
      <x:c r="AD450" s="186" t="str">
        <x:f>IF(COUNTA(B450:H450)+COUNTA(J450:AC450)=0,"",IF(OR(B450="",D450="",E450="",G450="",J450=""),"缺少必填项",IF(H450&gt;G450,"完成数大于订单数",IF(AND(X450="",OR(Y450="排队",Y450="生产中",Y450="阻塞",Z450&lt;&gt;"",AA450&lt;&gt;"",AB450="是")),"已有排期字段缺少机台",IF(AND(X450&lt;&gt;"",Y450="待排"),"已填机台但状态为待排",IF(AND(Y450="生产中",AB450&lt;&gt;"是"),"需确认：生产中未锁定","可导入"))))))</x:f>
      </x:c>
    </x:row>
    <x:row r="451" ht="22" customHeight="1">
      <x:c r="A451" s="186" t="str">
        <x:f>IF(B451="","",ROW()-5)</x:f>
      </x:c>
      <x:c r="B451" s="196"/>
      <x:c r="C451" s="198"/>
      <x:c r="D451" s="196"/>
      <x:c r="E451" s="188"/>
      <x:c r="F451" s="198"/>
      <x:c r="G451" s="202"/>
      <x:c r="H451" s="204"/>
      <x:c r="I451" s="206" t="str">
        <x:f>IF(G451="","",MAX(G451-H451,0))</x:f>
      </x:c>
      <x:c r="J451" s="210"/>
      <x:c r="K451" s="190"/>
      <x:c r="L451" s="208"/>
      <x:c r="M451" s="208"/>
      <x:c r="N451" s="208"/>
      <x:c r="O451" s="208"/>
      <x:c r="P451" s="190"/>
      <x:c r="Q451" s="190"/>
      <x:c r="R451" s="190"/>
      <x:c r="S451" s="190"/>
      <x:c r="T451" s="190"/>
      <x:c r="U451" s="190"/>
      <x:c r="V451" s="212"/>
      <x:c r="W451" s="212"/>
      <x:c r="X451" s="200"/>
      <x:c r="Y451" s="192"/>
      <x:c r="Z451" s="214"/>
      <x:c r="AA451" s="214"/>
      <x:c r="AB451" s="192"/>
      <x:c r="AC451" s="194"/>
      <x:c r="AD451" s="186" t="str">
        <x:f>IF(COUNTA(B451:H451)+COUNTA(J451:AC451)=0,"",IF(OR(B451="",D451="",E451="",G451="",J451=""),"缺少必填项",IF(H451&gt;G451,"完成数大于订单数",IF(AND(X451="",OR(Y451="排队",Y451="生产中",Y451="阻塞",Z451&lt;&gt;"",AA451&lt;&gt;"",AB451="是")),"已有排期字段缺少机台",IF(AND(X451&lt;&gt;"",Y451="待排"),"已填机台但状态为待排",IF(AND(Y451="生产中",AB451&lt;&gt;"是"),"需确认：生产中未锁定","可导入"))))))</x:f>
      </x:c>
    </x:row>
    <x:row r="452" ht="22" customHeight="1">
      <x:c r="A452" s="186" t="str">
        <x:f>IF(B452="","",ROW()-5)</x:f>
      </x:c>
      <x:c r="B452" s="196"/>
      <x:c r="C452" s="198"/>
      <x:c r="D452" s="196"/>
      <x:c r="E452" s="188"/>
      <x:c r="F452" s="198"/>
      <x:c r="G452" s="202"/>
      <x:c r="H452" s="204"/>
      <x:c r="I452" s="206" t="str">
        <x:f>IF(G452="","",MAX(G452-H452,0))</x:f>
      </x:c>
      <x:c r="J452" s="210"/>
      <x:c r="K452" s="190"/>
      <x:c r="L452" s="208"/>
      <x:c r="M452" s="208"/>
      <x:c r="N452" s="208"/>
      <x:c r="O452" s="208"/>
      <x:c r="P452" s="190"/>
      <x:c r="Q452" s="190"/>
      <x:c r="R452" s="190"/>
      <x:c r="S452" s="190"/>
      <x:c r="T452" s="190"/>
      <x:c r="U452" s="190"/>
      <x:c r="V452" s="212"/>
      <x:c r="W452" s="212"/>
      <x:c r="X452" s="200"/>
      <x:c r="Y452" s="192"/>
      <x:c r="Z452" s="214"/>
      <x:c r="AA452" s="214"/>
      <x:c r="AB452" s="192"/>
      <x:c r="AC452" s="194"/>
      <x:c r="AD452" s="186" t="str">
        <x:f>IF(COUNTA(B452:H452)+COUNTA(J452:AC452)=0,"",IF(OR(B452="",D452="",E452="",G452="",J452=""),"缺少必填项",IF(H452&gt;G452,"完成数大于订单数",IF(AND(X452="",OR(Y452="排队",Y452="生产中",Y452="阻塞",Z452&lt;&gt;"",AA452&lt;&gt;"",AB452="是")),"已有排期字段缺少机台",IF(AND(X452&lt;&gt;"",Y452="待排"),"已填机台但状态为待排",IF(AND(Y452="生产中",AB452&lt;&gt;"是"),"需确认：生产中未锁定","可导入"))))))</x:f>
      </x:c>
    </x:row>
    <x:row r="453" ht="22" customHeight="1">
      <x:c r="A453" s="186" t="str">
        <x:f>IF(B453="","",ROW()-5)</x:f>
      </x:c>
      <x:c r="B453" s="196"/>
      <x:c r="C453" s="198"/>
      <x:c r="D453" s="196"/>
      <x:c r="E453" s="188"/>
      <x:c r="F453" s="198"/>
      <x:c r="G453" s="202"/>
      <x:c r="H453" s="204"/>
      <x:c r="I453" s="206" t="str">
        <x:f>IF(G453="","",MAX(G453-H453,0))</x:f>
      </x:c>
      <x:c r="J453" s="210"/>
      <x:c r="K453" s="190"/>
      <x:c r="L453" s="208"/>
      <x:c r="M453" s="208"/>
      <x:c r="N453" s="208"/>
      <x:c r="O453" s="208"/>
      <x:c r="P453" s="190"/>
      <x:c r="Q453" s="190"/>
      <x:c r="R453" s="190"/>
      <x:c r="S453" s="190"/>
      <x:c r="T453" s="190"/>
      <x:c r="U453" s="190"/>
      <x:c r="V453" s="212"/>
      <x:c r="W453" s="212"/>
      <x:c r="X453" s="200"/>
      <x:c r="Y453" s="192"/>
      <x:c r="Z453" s="214"/>
      <x:c r="AA453" s="214"/>
      <x:c r="AB453" s="192"/>
      <x:c r="AC453" s="194"/>
      <x:c r="AD453" s="186" t="str">
        <x:f>IF(COUNTA(B453:H453)+COUNTA(J453:AC453)=0,"",IF(OR(B453="",D453="",E453="",G453="",J453=""),"缺少必填项",IF(H453&gt;G453,"完成数大于订单数",IF(AND(X453="",OR(Y453="排队",Y453="生产中",Y453="阻塞",Z453&lt;&gt;"",AA453&lt;&gt;"",AB453="是")),"已有排期字段缺少机台",IF(AND(X453&lt;&gt;"",Y453="待排"),"已填机台但状态为待排",IF(AND(Y453="生产中",AB453&lt;&gt;"是"),"需确认：生产中未锁定","可导入"))))))</x:f>
      </x:c>
    </x:row>
    <x:row r="454" ht="22" customHeight="1">
      <x:c r="A454" s="186" t="str">
        <x:f>IF(B454="","",ROW()-5)</x:f>
      </x:c>
      <x:c r="B454" s="196"/>
      <x:c r="C454" s="198"/>
      <x:c r="D454" s="196"/>
      <x:c r="E454" s="188"/>
      <x:c r="F454" s="198"/>
      <x:c r="G454" s="202"/>
      <x:c r="H454" s="204"/>
      <x:c r="I454" s="206" t="str">
        <x:f>IF(G454="","",MAX(G454-H454,0))</x:f>
      </x:c>
      <x:c r="J454" s="210"/>
      <x:c r="K454" s="190"/>
      <x:c r="L454" s="208"/>
      <x:c r="M454" s="208"/>
      <x:c r="N454" s="208"/>
      <x:c r="O454" s="208"/>
      <x:c r="P454" s="190"/>
      <x:c r="Q454" s="190"/>
      <x:c r="R454" s="190"/>
      <x:c r="S454" s="190"/>
      <x:c r="T454" s="190"/>
      <x:c r="U454" s="190"/>
      <x:c r="V454" s="212"/>
      <x:c r="W454" s="212"/>
      <x:c r="X454" s="200"/>
      <x:c r="Y454" s="192"/>
      <x:c r="Z454" s="214"/>
      <x:c r="AA454" s="214"/>
      <x:c r="AB454" s="192"/>
      <x:c r="AC454" s="194"/>
      <x:c r="AD454" s="186" t="str">
        <x:f>IF(COUNTA(B454:H454)+COUNTA(J454:AC454)=0,"",IF(OR(B454="",D454="",E454="",G454="",J454=""),"缺少必填项",IF(H454&gt;G454,"完成数大于订单数",IF(AND(X454="",OR(Y454="排队",Y454="生产中",Y454="阻塞",Z454&lt;&gt;"",AA454&lt;&gt;"",AB454="是")),"已有排期字段缺少机台",IF(AND(X454&lt;&gt;"",Y454="待排"),"已填机台但状态为待排",IF(AND(Y454="生产中",AB454&lt;&gt;"是"),"需确认：生产中未锁定","可导入"))))))</x:f>
      </x:c>
    </x:row>
    <x:row r="455" ht="22" customHeight="1">
      <x:c r="A455" s="186" t="str">
        <x:f>IF(B455="","",ROW()-5)</x:f>
      </x:c>
      <x:c r="B455" s="196"/>
      <x:c r="C455" s="198"/>
      <x:c r="D455" s="196"/>
      <x:c r="E455" s="188"/>
      <x:c r="F455" s="198"/>
      <x:c r="G455" s="202"/>
      <x:c r="H455" s="204"/>
      <x:c r="I455" s="206" t="str">
        <x:f>IF(G455="","",MAX(G455-H455,0))</x:f>
      </x:c>
      <x:c r="J455" s="210"/>
      <x:c r="K455" s="190"/>
      <x:c r="L455" s="208"/>
      <x:c r="M455" s="208"/>
      <x:c r="N455" s="208"/>
      <x:c r="O455" s="208"/>
      <x:c r="P455" s="190"/>
      <x:c r="Q455" s="190"/>
      <x:c r="R455" s="190"/>
      <x:c r="S455" s="190"/>
      <x:c r="T455" s="190"/>
      <x:c r="U455" s="190"/>
      <x:c r="V455" s="212"/>
      <x:c r="W455" s="212"/>
      <x:c r="X455" s="200"/>
      <x:c r="Y455" s="192"/>
      <x:c r="Z455" s="214"/>
      <x:c r="AA455" s="214"/>
      <x:c r="AB455" s="192"/>
      <x:c r="AC455" s="194"/>
      <x:c r="AD455" s="186" t="str">
        <x:f>IF(COUNTA(B455:H455)+COUNTA(J455:AC455)=0,"",IF(OR(B455="",D455="",E455="",G455="",J455=""),"缺少必填项",IF(H455&gt;G455,"完成数大于订单数",IF(AND(X455="",OR(Y455="排队",Y455="生产中",Y455="阻塞",Z455&lt;&gt;"",AA455&lt;&gt;"",AB455="是")),"已有排期字段缺少机台",IF(AND(X455&lt;&gt;"",Y455="待排"),"已填机台但状态为待排",IF(AND(Y455="生产中",AB455&lt;&gt;"是"),"需确认：生产中未锁定","可导入"))))))</x:f>
      </x:c>
    </x:row>
    <x:row r="456" ht="22" customHeight="1">
      <x:c r="A456" s="186" t="str">
        <x:f>IF(B456="","",ROW()-5)</x:f>
      </x:c>
      <x:c r="B456" s="196"/>
      <x:c r="C456" s="198"/>
      <x:c r="D456" s="196"/>
      <x:c r="E456" s="188"/>
      <x:c r="F456" s="198"/>
      <x:c r="G456" s="202"/>
      <x:c r="H456" s="204"/>
      <x:c r="I456" s="206" t="str">
        <x:f>IF(G456="","",MAX(G456-H456,0))</x:f>
      </x:c>
      <x:c r="J456" s="210"/>
      <x:c r="K456" s="190"/>
      <x:c r="L456" s="208"/>
      <x:c r="M456" s="208"/>
      <x:c r="N456" s="208"/>
      <x:c r="O456" s="208"/>
      <x:c r="P456" s="190"/>
      <x:c r="Q456" s="190"/>
      <x:c r="R456" s="190"/>
      <x:c r="S456" s="190"/>
      <x:c r="T456" s="190"/>
      <x:c r="U456" s="190"/>
      <x:c r="V456" s="212"/>
      <x:c r="W456" s="212"/>
      <x:c r="X456" s="200"/>
      <x:c r="Y456" s="192"/>
      <x:c r="Z456" s="214"/>
      <x:c r="AA456" s="214"/>
      <x:c r="AB456" s="192"/>
      <x:c r="AC456" s="194"/>
      <x:c r="AD456" s="186" t="str">
        <x:f>IF(COUNTA(B456:H456)+COUNTA(J456:AC456)=0,"",IF(OR(B456="",D456="",E456="",G456="",J456=""),"缺少必填项",IF(H456&gt;G456,"完成数大于订单数",IF(AND(X456="",OR(Y456="排队",Y456="生产中",Y456="阻塞",Z456&lt;&gt;"",AA456&lt;&gt;"",AB456="是")),"已有排期字段缺少机台",IF(AND(X456&lt;&gt;"",Y456="待排"),"已填机台但状态为待排",IF(AND(Y456="生产中",AB456&lt;&gt;"是"),"需确认：生产中未锁定","可导入"))))))</x:f>
      </x:c>
    </x:row>
    <x:row r="457" ht="22" customHeight="1">
      <x:c r="A457" s="186" t="str">
        <x:f>IF(B457="","",ROW()-5)</x:f>
      </x:c>
      <x:c r="B457" s="196"/>
      <x:c r="C457" s="198"/>
      <x:c r="D457" s="196"/>
      <x:c r="E457" s="188"/>
      <x:c r="F457" s="198"/>
      <x:c r="G457" s="202"/>
      <x:c r="H457" s="204"/>
      <x:c r="I457" s="206" t="str">
        <x:f>IF(G457="","",MAX(G457-H457,0))</x:f>
      </x:c>
      <x:c r="J457" s="210"/>
      <x:c r="K457" s="190"/>
      <x:c r="L457" s="208"/>
      <x:c r="M457" s="208"/>
      <x:c r="N457" s="208"/>
      <x:c r="O457" s="208"/>
      <x:c r="P457" s="190"/>
      <x:c r="Q457" s="190"/>
      <x:c r="R457" s="190"/>
      <x:c r="S457" s="190"/>
      <x:c r="T457" s="190"/>
      <x:c r="U457" s="190"/>
      <x:c r="V457" s="212"/>
      <x:c r="W457" s="212"/>
      <x:c r="X457" s="200"/>
      <x:c r="Y457" s="192"/>
      <x:c r="Z457" s="214"/>
      <x:c r="AA457" s="214"/>
      <x:c r="AB457" s="192"/>
      <x:c r="AC457" s="194"/>
      <x:c r="AD457" s="186" t="str">
        <x:f>IF(COUNTA(B457:H457)+COUNTA(J457:AC457)=0,"",IF(OR(B457="",D457="",E457="",G457="",J457=""),"缺少必填项",IF(H457&gt;G457,"完成数大于订单数",IF(AND(X457="",OR(Y457="排队",Y457="生产中",Y457="阻塞",Z457&lt;&gt;"",AA457&lt;&gt;"",AB457="是")),"已有排期字段缺少机台",IF(AND(X457&lt;&gt;"",Y457="待排"),"已填机台但状态为待排",IF(AND(Y457="生产中",AB457&lt;&gt;"是"),"需确认：生产中未锁定","可导入"))))))</x:f>
      </x:c>
    </x:row>
    <x:row r="458" ht="22" customHeight="1">
      <x:c r="A458" s="186" t="str">
        <x:f>IF(B458="","",ROW()-5)</x:f>
      </x:c>
      <x:c r="B458" s="196"/>
      <x:c r="C458" s="198"/>
      <x:c r="D458" s="196"/>
      <x:c r="E458" s="188"/>
      <x:c r="F458" s="198"/>
      <x:c r="G458" s="202"/>
      <x:c r="H458" s="204"/>
      <x:c r="I458" s="206" t="str">
        <x:f>IF(G458="","",MAX(G458-H458,0))</x:f>
      </x:c>
      <x:c r="J458" s="210"/>
      <x:c r="K458" s="190"/>
      <x:c r="L458" s="208"/>
      <x:c r="M458" s="208"/>
      <x:c r="N458" s="208"/>
      <x:c r="O458" s="208"/>
      <x:c r="P458" s="190"/>
      <x:c r="Q458" s="190"/>
      <x:c r="R458" s="190"/>
      <x:c r="S458" s="190"/>
      <x:c r="T458" s="190"/>
      <x:c r="U458" s="190"/>
      <x:c r="V458" s="212"/>
      <x:c r="W458" s="212"/>
      <x:c r="X458" s="200"/>
      <x:c r="Y458" s="192"/>
      <x:c r="Z458" s="214"/>
      <x:c r="AA458" s="214"/>
      <x:c r="AB458" s="192"/>
      <x:c r="AC458" s="194"/>
      <x:c r="AD458" s="186" t="str">
        <x:f>IF(COUNTA(B458:H458)+COUNTA(J458:AC458)=0,"",IF(OR(B458="",D458="",E458="",G458="",J458=""),"缺少必填项",IF(H458&gt;G458,"完成数大于订单数",IF(AND(X458="",OR(Y458="排队",Y458="生产中",Y458="阻塞",Z458&lt;&gt;"",AA458&lt;&gt;"",AB458="是")),"已有排期字段缺少机台",IF(AND(X458&lt;&gt;"",Y458="待排"),"已填机台但状态为待排",IF(AND(Y458="生产中",AB458&lt;&gt;"是"),"需确认：生产中未锁定","可导入"))))))</x:f>
      </x:c>
    </x:row>
    <x:row r="459" ht="22" customHeight="1">
      <x:c r="A459" s="186" t="str">
        <x:f>IF(B459="","",ROW()-5)</x:f>
      </x:c>
      <x:c r="B459" s="196"/>
      <x:c r="C459" s="198"/>
      <x:c r="D459" s="196"/>
      <x:c r="E459" s="188"/>
      <x:c r="F459" s="198"/>
      <x:c r="G459" s="202"/>
      <x:c r="H459" s="204"/>
      <x:c r="I459" s="206" t="str">
        <x:f>IF(G459="","",MAX(G459-H459,0))</x:f>
      </x:c>
      <x:c r="J459" s="210"/>
      <x:c r="K459" s="190"/>
      <x:c r="L459" s="208"/>
      <x:c r="M459" s="208"/>
      <x:c r="N459" s="208"/>
      <x:c r="O459" s="208"/>
      <x:c r="P459" s="190"/>
      <x:c r="Q459" s="190"/>
      <x:c r="R459" s="190"/>
      <x:c r="S459" s="190"/>
      <x:c r="T459" s="190"/>
      <x:c r="U459" s="190"/>
      <x:c r="V459" s="212"/>
      <x:c r="W459" s="212"/>
      <x:c r="X459" s="200"/>
      <x:c r="Y459" s="192"/>
      <x:c r="Z459" s="214"/>
      <x:c r="AA459" s="214"/>
      <x:c r="AB459" s="192"/>
      <x:c r="AC459" s="194"/>
      <x:c r="AD459" s="186" t="str">
        <x:f>IF(COUNTA(B459:H459)+COUNTA(J459:AC459)=0,"",IF(OR(B459="",D459="",E459="",G459="",J459=""),"缺少必填项",IF(H459&gt;G459,"完成数大于订单数",IF(AND(X459="",OR(Y459="排队",Y459="生产中",Y459="阻塞",Z459&lt;&gt;"",AA459&lt;&gt;"",AB459="是")),"已有排期字段缺少机台",IF(AND(X459&lt;&gt;"",Y459="待排"),"已填机台但状态为待排",IF(AND(Y459="生产中",AB459&lt;&gt;"是"),"需确认：生产中未锁定","可导入"))))))</x:f>
      </x:c>
    </x:row>
    <x:row r="460" ht="22" customHeight="1">
      <x:c r="A460" s="186" t="str">
        <x:f>IF(B460="","",ROW()-5)</x:f>
      </x:c>
      <x:c r="B460" s="196"/>
      <x:c r="C460" s="198"/>
      <x:c r="D460" s="196"/>
      <x:c r="E460" s="188"/>
      <x:c r="F460" s="198"/>
      <x:c r="G460" s="202"/>
      <x:c r="H460" s="204"/>
      <x:c r="I460" s="206" t="str">
        <x:f>IF(G460="","",MAX(G460-H460,0))</x:f>
      </x:c>
      <x:c r="J460" s="210"/>
      <x:c r="K460" s="190"/>
      <x:c r="L460" s="208"/>
      <x:c r="M460" s="208"/>
      <x:c r="N460" s="208"/>
      <x:c r="O460" s="208"/>
      <x:c r="P460" s="190"/>
      <x:c r="Q460" s="190"/>
      <x:c r="R460" s="190"/>
      <x:c r="S460" s="190"/>
      <x:c r="T460" s="190"/>
      <x:c r="U460" s="190"/>
      <x:c r="V460" s="212"/>
      <x:c r="W460" s="212"/>
      <x:c r="X460" s="200"/>
      <x:c r="Y460" s="192"/>
      <x:c r="Z460" s="214"/>
      <x:c r="AA460" s="214"/>
      <x:c r="AB460" s="192"/>
      <x:c r="AC460" s="194"/>
      <x:c r="AD460" s="186" t="str">
        <x:f>IF(COUNTA(B460:H460)+COUNTA(J460:AC460)=0,"",IF(OR(B460="",D460="",E460="",G460="",J460=""),"缺少必填项",IF(H460&gt;G460,"完成数大于订单数",IF(AND(X460="",OR(Y460="排队",Y460="生产中",Y460="阻塞",Z460&lt;&gt;"",AA460&lt;&gt;"",AB460="是")),"已有排期字段缺少机台",IF(AND(X460&lt;&gt;"",Y460="待排"),"已填机台但状态为待排",IF(AND(Y460="生产中",AB460&lt;&gt;"是"),"需确认：生产中未锁定","可导入"))))))</x:f>
      </x:c>
    </x:row>
    <x:row r="461" ht="22" customHeight="1">
      <x:c r="A461" s="186" t="str">
        <x:f>IF(B461="","",ROW()-5)</x:f>
      </x:c>
      <x:c r="B461" s="196"/>
      <x:c r="C461" s="198"/>
      <x:c r="D461" s="196"/>
      <x:c r="E461" s="188"/>
      <x:c r="F461" s="198"/>
      <x:c r="G461" s="202"/>
      <x:c r="H461" s="204"/>
      <x:c r="I461" s="206" t="str">
        <x:f>IF(G461="","",MAX(G461-H461,0))</x:f>
      </x:c>
      <x:c r="J461" s="210"/>
      <x:c r="K461" s="190"/>
      <x:c r="L461" s="208"/>
      <x:c r="M461" s="208"/>
      <x:c r="N461" s="208"/>
      <x:c r="O461" s="208"/>
      <x:c r="P461" s="190"/>
      <x:c r="Q461" s="190"/>
      <x:c r="R461" s="190"/>
      <x:c r="S461" s="190"/>
      <x:c r="T461" s="190"/>
      <x:c r="U461" s="190"/>
      <x:c r="V461" s="212"/>
      <x:c r="W461" s="212"/>
      <x:c r="X461" s="200"/>
      <x:c r="Y461" s="192"/>
      <x:c r="Z461" s="214"/>
      <x:c r="AA461" s="214"/>
      <x:c r="AB461" s="192"/>
      <x:c r="AC461" s="194"/>
      <x:c r="AD461" s="186" t="str">
        <x:f>IF(COUNTA(B461:H461)+COUNTA(J461:AC461)=0,"",IF(OR(B461="",D461="",E461="",G461="",J461=""),"缺少必填项",IF(H461&gt;G461,"完成数大于订单数",IF(AND(X461="",OR(Y461="排队",Y461="生产中",Y461="阻塞",Z461&lt;&gt;"",AA461&lt;&gt;"",AB461="是")),"已有排期字段缺少机台",IF(AND(X461&lt;&gt;"",Y461="待排"),"已填机台但状态为待排",IF(AND(Y461="生产中",AB461&lt;&gt;"是"),"需确认：生产中未锁定","可导入"))))))</x:f>
      </x:c>
    </x:row>
    <x:row r="462" ht="22" customHeight="1">
      <x:c r="A462" s="186" t="str">
        <x:f>IF(B462="","",ROW()-5)</x:f>
      </x:c>
      <x:c r="B462" s="196"/>
      <x:c r="C462" s="198"/>
      <x:c r="D462" s="196"/>
      <x:c r="E462" s="188"/>
      <x:c r="F462" s="198"/>
      <x:c r="G462" s="202"/>
      <x:c r="H462" s="204"/>
      <x:c r="I462" s="206" t="str">
        <x:f>IF(G462="","",MAX(G462-H462,0))</x:f>
      </x:c>
      <x:c r="J462" s="210"/>
      <x:c r="K462" s="190"/>
      <x:c r="L462" s="208"/>
      <x:c r="M462" s="208"/>
      <x:c r="N462" s="208"/>
      <x:c r="O462" s="208"/>
      <x:c r="P462" s="190"/>
      <x:c r="Q462" s="190"/>
      <x:c r="R462" s="190"/>
      <x:c r="S462" s="190"/>
      <x:c r="T462" s="190"/>
      <x:c r="U462" s="190"/>
      <x:c r="V462" s="212"/>
      <x:c r="W462" s="212"/>
      <x:c r="X462" s="200"/>
      <x:c r="Y462" s="192"/>
      <x:c r="Z462" s="214"/>
      <x:c r="AA462" s="214"/>
      <x:c r="AB462" s="192"/>
      <x:c r="AC462" s="194"/>
      <x:c r="AD462" s="186" t="str">
        <x:f>IF(COUNTA(B462:H462)+COUNTA(J462:AC462)=0,"",IF(OR(B462="",D462="",E462="",G462="",J462=""),"缺少必填项",IF(H462&gt;G462,"完成数大于订单数",IF(AND(X462="",OR(Y462="排队",Y462="生产中",Y462="阻塞",Z462&lt;&gt;"",AA462&lt;&gt;"",AB462="是")),"已有排期字段缺少机台",IF(AND(X462&lt;&gt;"",Y462="待排"),"已填机台但状态为待排",IF(AND(Y462="生产中",AB462&lt;&gt;"是"),"需确认：生产中未锁定","可导入"))))))</x:f>
      </x:c>
    </x:row>
    <x:row r="463" ht="22" customHeight="1">
      <x:c r="A463" s="186" t="str">
        <x:f>IF(B463="","",ROW()-5)</x:f>
      </x:c>
      <x:c r="B463" s="196"/>
      <x:c r="C463" s="198"/>
      <x:c r="D463" s="196"/>
      <x:c r="E463" s="188"/>
      <x:c r="F463" s="198"/>
      <x:c r="G463" s="202"/>
      <x:c r="H463" s="204"/>
      <x:c r="I463" s="206" t="str">
        <x:f>IF(G463="","",MAX(G463-H463,0))</x:f>
      </x:c>
      <x:c r="J463" s="210"/>
      <x:c r="K463" s="190"/>
      <x:c r="L463" s="208"/>
      <x:c r="M463" s="208"/>
      <x:c r="N463" s="208"/>
      <x:c r="O463" s="208"/>
      <x:c r="P463" s="190"/>
      <x:c r="Q463" s="190"/>
      <x:c r="R463" s="190"/>
      <x:c r="S463" s="190"/>
      <x:c r="T463" s="190"/>
      <x:c r="U463" s="190"/>
      <x:c r="V463" s="212"/>
      <x:c r="W463" s="212"/>
      <x:c r="X463" s="200"/>
      <x:c r="Y463" s="192"/>
      <x:c r="Z463" s="214"/>
      <x:c r="AA463" s="214"/>
      <x:c r="AB463" s="192"/>
      <x:c r="AC463" s="194"/>
      <x:c r="AD463" s="186" t="str">
        <x:f>IF(COUNTA(B463:H463)+COUNTA(J463:AC463)=0,"",IF(OR(B463="",D463="",E463="",G463="",J463=""),"缺少必填项",IF(H463&gt;G463,"完成数大于订单数",IF(AND(X463="",OR(Y463="排队",Y463="生产中",Y463="阻塞",Z463&lt;&gt;"",AA463&lt;&gt;"",AB463="是")),"已有排期字段缺少机台",IF(AND(X463&lt;&gt;"",Y463="待排"),"已填机台但状态为待排",IF(AND(Y463="生产中",AB463&lt;&gt;"是"),"需确认：生产中未锁定","可导入"))))))</x:f>
      </x:c>
    </x:row>
    <x:row r="464" ht="22" customHeight="1">
      <x:c r="A464" s="186" t="str">
        <x:f>IF(B464="","",ROW()-5)</x:f>
      </x:c>
      <x:c r="B464" s="196"/>
      <x:c r="C464" s="198"/>
      <x:c r="D464" s="196"/>
      <x:c r="E464" s="188"/>
      <x:c r="F464" s="198"/>
      <x:c r="G464" s="202"/>
      <x:c r="H464" s="204"/>
      <x:c r="I464" s="206" t="str">
        <x:f>IF(G464="","",MAX(G464-H464,0))</x:f>
      </x:c>
      <x:c r="J464" s="210"/>
      <x:c r="K464" s="190"/>
      <x:c r="L464" s="208"/>
      <x:c r="M464" s="208"/>
      <x:c r="N464" s="208"/>
      <x:c r="O464" s="208"/>
      <x:c r="P464" s="190"/>
      <x:c r="Q464" s="190"/>
      <x:c r="R464" s="190"/>
      <x:c r="S464" s="190"/>
      <x:c r="T464" s="190"/>
      <x:c r="U464" s="190"/>
      <x:c r="V464" s="212"/>
      <x:c r="W464" s="212"/>
      <x:c r="X464" s="200"/>
      <x:c r="Y464" s="192"/>
      <x:c r="Z464" s="214"/>
      <x:c r="AA464" s="214"/>
      <x:c r="AB464" s="192"/>
      <x:c r="AC464" s="194"/>
      <x:c r="AD464" s="186" t="str">
        <x:f>IF(COUNTA(B464:H464)+COUNTA(J464:AC464)=0,"",IF(OR(B464="",D464="",E464="",G464="",J464=""),"缺少必填项",IF(H464&gt;G464,"完成数大于订单数",IF(AND(X464="",OR(Y464="排队",Y464="生产中",Y464="阻塞",Z464&lt;&gt;"",AA464&lt;&gt;"",AB464="是")),"已有排期字段缺少机台",IF(AND(X464&lt;&gt;"",Y464="待排"),"已填机台但状态为待排",IF(AND(Y464="生产中",AB464&lt;&gt;"是"),"需确认：生产中未锁定","可导入"))))))</x:f>
      </x:c>
    </x:row>
    <x:row r="465" ht="22" customHeight="1">
      <x:c r="A465" s="186" t="str">
        <x:f>IF(B465="","",ROW()-5)</x:f>
      </x:c>
      <x:c r="B465" s="196"/>
      <x:c r="C465" s="198"/>
      <x:c r="D465" s="196"/>
      <x:c r="E465" s="188"/>
      <x:c r="F465" s="198"/>
      <x:c r="G465" s="202"/>
      <x:c r="H465" s="204"/>
      <x:c r="I465" s="206" t="str">
        <x:f>IF(G465="","",MAX(G465-H465,0))</x:f>
      </x:c>
      <x:c r="J465" s="210"/>
      <x:c r="K465" s="190"/>
      <x:c r="L465" s="208"/>
      <x:c r="M465" s="208"/>
      <x:c r="N465" s="208"/>
      <x:c r="O465" s="208"/>
      <x:c r="P465" s="190"/>
      <x:c r="Q465" s="190"/>
      <x:c r="R465" s="190"/>
      <x:c r="S465" s="190"/>
      <x:c r="T465" s="190"/>
      <x:c r="U465" s="190"/>
      <x:c r="V465" s="212"/>
      <x:c r="W465" s="212"/>
      <x:c r="X465" s="200"/>
      <x:c r="Y465" s="192"/>
      <x:c r="Z465" s="214"/>
      <x:c r="AA465" s="214"/>
      <x:c r="AB465" s="192"/>
      <x:c r="AC465" s="194"/>
      <x:c r="AD465" s="186" t="str">
        <x:f>IF(COUNTA(B465:H465)+COUNTA(J465:AC465)=0,"",IF(OR(B465="",D465="",E465="",G465="",J465=""),"缺少必填项",IF(H465&gt;G465,"完成数大于订单数",IF(AND(X465="",OR(Y465="排队",Y465="生产中",Y465="阻塞",Z465&lt;&gt;"",AA465&lt;&gt;"",AB465="是")),"已有排期字段缺少机台",IF(AND(X465&lt;&gt;"",Y465="待排"),"已填机台但状态为待排",IF(AND(Y465="生产中",AB465&lt;&gt;"是"),"需确认：生产中未锁定","可导入"))))))</x:f>
      </x:c>
    </x:row>
    <x:row r="466" ht="22" customHeight="1">
      <x:c r="A466" s="186" t="str">
        <x:f>IF(B466="","",ROW()-5)</x:f>
      </x:c>
      <x:c r="B466" s="196"/>
      <x:c r="C466" s="198"/>
      <x:c r="D466" s="196"/>
      <x:c r="E466" s="188"/>
      <x:c r="F466" s="198"/>
      <x:c r="G466" s="202"/>
      <x:c r="H466" s="204"/>
      <x:c r="I466" s="206" t="str">
        <x:f>IF(G466="","",MAX(G466-H466,0))</x:f>
      </x:c>
      <x:c r="J466" s="210"/>
      <x:c r="K466" s="190"/>
      <x:c r="L466" s="208"/>
      <x:c r="M466" s="208"/>
      <x:c r="N466" s="208"/>
      <x:c r="O466" s="208"/>
      <x:c r="P466" s="190"/>
      <x:c r="Q466" s="190"/>
      <x:c r="R466" s="190"/>
      <x:c r="S466" s="190"/>
      <x:c r="T466" s="190"/>
      <x:c r="U466" s="190"/>
      <x:c r="V466" s="212"/>
      <x:c r="W466" s="212"/>
      <x:c r="X466" s="200"/>
      <x:c r="Y466" s="192"/>
      <x:c r="Z466" s="214"/>
      <x:c r="AA466" s="214"/>
      <x:c r="AB466" s="192"/>
      <x:c r="AC466" s="194"/>
      <x:c r="AD466" s="186" t="str">
        <x:f>IF(COUNTA(B466:H466)+COUNTA(J466:AC466)=0,"",IF(OR(B466="",D466="",E466="",G466="",J466=""),"缺少必填项",IF(H466&gt;G466,"完成数大于订单数",IF(AND(X466="",OR(Y466="排队",Y466="生产中",Y466="阻塞",Z466&lt;&gt;"",AA466&lt;&gt;"",AB466="是")),"已有排期字段缺少机台",IF(AND(X466&lt;&gt;"",Y466="待排"),"已填机台但状态为待排",IF(AND(Y466="生产中",AB466&lt;&gt;"是"),"需确认：生产中未锁定","可导入"))))))</x:f>
      </x:c>
    </x:row>
    <x:row r="467" ht="22" customHeight="1">
      <x:c r="A467" s="186" t="str">
        <x:f>IF(B467="","",ROW()-5)</x:f>
      </x:c>
      <x:c r="B467" s="196"/>
      <x:c r="C467" s="198"/>
      <x:c r="D467" s="196"/>
      <x:c r="E467" s="188"/>
      <x:c r="F467" s="198"/>
      <x:c r="G467" s="202"/>
      <x:c r="H467" s="204"/>
      <x:c r="I467" s="206" t="str">
        <x:f>IF(G467="","",MAX(G467-H467,0))</x:f>
      </x:c>
      <x:c r="J467" s="210"/>
      <x:c r="K467" s="190"/>
      <x:c r="L467" s="208"/>
      <x:c r="M467" s="208"/>
      <x:c r="N467" s="208"/>
      <x:c r="O467" s="208"/>
      <x:c r="P467" s="190"/>
      <x:c r="Q467" s="190"/>
      <x:c r="R467" s="190"/>
      <x:c r="S467" s="190"/>
      <x:c r="T467" s="190"/>
      <x:c r="U467" s="190"/>
      <x:c r="V467" s="212"/>
      <x:c r="W467" s="212"/>
      <x:c r="X467" s="200"/>
      <x:c r="Y467" s="192"/>
      <x:c r="Z467" s="214"/>
      <x:c r="AA467" s="214"/>
      <x:c r="AB467" s="192"/>
      <x:c r="AC467" s="194"/>
      <x:c r="AD467" s="186" t="str">
        <x:f>IF(COUNTA(B467:H467)+COUNTA(J467:AC467)=0,"",IF(OR(B467="",D467="",E467="",G467="",J467=""),"缺少必填项",IF(H467&gt;G467,"完成数大于订单数",IF(AND(X467="",OR(Y467="排队",Y467="生产中",Y467="阻塞",Z467&lt;&gt;"",AA467&lt;&gt;"",AB467="是")),"已有排期字段缺少机台",IF(AND(X467&lt;&gt;"",Y467="待排"),"已填机台但状态为待排",IF(AND(Y467="生产中",AB467&lt;&gt;"是"),"需确认：生产中未锁定","可导入"))))))</x:f>
      </x:c>
    </x:row>
    <x:row r="468" ht="22" customHeight="1">
      <x:c r="A468" s="186" t="str">
        <x:f>IF(B468="","",ROW()-5)</x:f>
      </x:c>
      <x:c r="B468" s="196"/>
      <x:c r="C468" s="198"/>
      <x:c r="D468" s="196"/>
      <x:c r="E468" s="188"/>
      <x:c r="F468" s="198"/>
      <x:c r="G468" s="202"/>
      <x:c r="H468" s="204"/>
      <x:c r="I468" s="206" t="str">
        <x:f>IF(G468="","",MAX(G468-H468,0))</x:f>
      </x:c>
      <x:c r="J468" s="210"/>
      <x:c r="K468" s="190"/>
      <x:c r="L468" s="208"/>
      <x:c r="M468" s="208"/>
      <x:c r="N468" s="208"/>
      <x:c r="O468" s="208"/>
      <x:c r="P468" s="190"/>
      <x:c r="Q468" s="190"/>
      <x:c r="R468" s="190"/>
      <x:c r="S468" s="190"/>
      <x:c r="T468" s="190"/>
      <x:c r="U468" s="190"/>
      <x:c r="V468" s="212"/>
      <x:c r="W468" s="212"/>
      <x:c r="X468" s="200"/>
      <x:c r="Y468" s="192"/>
      <x:c r="Z468" s="214"/>
      <x:c r="AA468" s="214"/>
      <x:c r="AB468" s="192"/>
      <x:c r="AC468" s="194"/>
      <x:c r="AD468" s="186" t="str">
        <x:f>IF(COUNTA(B468:H468)+COUNTA(J468:AC468)=0,"",IF(OR(B468="",D468="",E468="",G468="",J468=""),"缺少必填项",IF(H468&gt;G468,"完成数大于订单数",IF(AND(X468="",OR(Y468="排队",Y468="生产中",Y468="阻塞",Z468&lt;&gt;"",AA468&lt;&gt;"",AB468="是")),"已有排期字段缺少机台",IF(AND(X468&lt;&gt;"",Y468="待排"),"已填机台但状态为待排",IF(AND(Y468="生产中",AB468&lt;&gt;"是"),"需确认：生产中未锁定","可导入"))))))</x:f>
      </x:c>
    </x:row>
    <x:row r="469" ht="22" customHeight="1">
      <x:c r="A469" s="186" t="str">
        <x:f>IF(B469="","",ROW()-5)</x:f>
      </x:c>
      <x:c r="B469" s="196"/>
      <x:c r="C469" s="198"/>
      <x:c r="D469" s="196"/>
      <x:c r="E469" s="188"/>
      <x:c r="F469" s="198"/>
      <x:c r="G469" s="202"/>
      <x:c r="H469" s="204"/>
      <x:c r="I469" s="206" t="str">
        <x:f>IF(G469="","",MAX(G469-H469,0))</x:f>
      </x:c>
      <x:c r="J469" s="210"/>
      <x:c r="K469" s="190"/>
      <x:c r="L469" s="208"/>
      <x:c r="M469" s="208"/>
      <x:c r="N469" s="208"/>
      <x:c r="O469" s="208"/>
      <x:c r="P469" s="190"/>
      <x:c r="Q469" s="190"/>
      <x:c r="R469" s="190"/>
      <x:c r="S469" s="190"/>
      <x:c r="T469" s="190"/>
      <x:c r="U469" s="190"/>
      <x:c r="V469" s="212"/>
      <x:c r="W469" s="212"/>
      <x:c r="X469" s="200"/>
      <x:c r="Y469" s="192"/>
      <x:c r="Z469" s="214"/>
      <x:c r="AA469" s="214"/>
      <x:c r="AB469" s="192"/>
      <x:c r="AC469" s="194"/>
      <x:c r="AD469" s="186" t="str">
        <x:f>IF(COUNTA(B469:H469)+COUNTA(J469:AC469)=0,"",IF(OR(B469="",D469="",E469="",G469="",J469=""),"缺少必填项",IF(H469&gt;G469,"完成数大于订单数",IF(AND(X469="",OR(Y469="排队",Y469="生产中",Y469="阻塞",Z469&lt;&gt;"",AA469&lt;&gt;"",AB469="是")),"已有排期字段缺少机台",IF(AND(X469&lt;&gt;"",Y469="待排"),"已填机台但状态为待排",IF(AND(Y469="生产中",AB469&lt;&gt;"是"),"需确认：生产中未锁定","可导入"))))))</x:f>
      </x:c>
    </x:row>
    <x:row r="470" ht="22" customHeight="1">
      <x:c r="A470" s="186" t="str">
        <x:f>IF(B470="","",ROW()-5)</x:f>
      </x:c>
      <x:c r="B470" s="196"/>
      <x:c r="C470" s="198"/>
      <x:c r="D470" s="196"/>
      <x:c r="E470" s="188"/>
      <x:c r="F470" s="198"/>
      <x:c r="G470" s="202"/>
      <x:c r="H470" s="204"/>
      <x:c r="I470" s="206" t="str">
        <x:f>IF(G470="","",MAX(G470-H470,0))</x:f>
      </x:c>
      <x:c r="J470" s="210"/>
      <x:c r="K470" s="190"/>
      <x:c r="L470" s="208"/>
      <x:c r="M470" s="208"/>
      <x:c r="N470" s="208"/>
      <x:c r="O470" s="208"/>
      <x:c r="P470" s="190"/>
      <x:c r="Q470" s="190"/>
      <x:c r="R470" s="190"/>
      <x:c r="S470" s="190"/>
      <x:c r="T470" s="190"/>
      <x:c r="U470" s="190"/>
      <x:c r="V470" s="212"/>
      <x:c r="W470" s="212"/>
      <x:c r="X470" s="200"/>
      <x:c r="Y470" s="192"/>
      <x:c r="Z470" s="214"/>
      <x:c r="AA470" s="214"/>
      <x:c r="AB470" s="192"/>
      <x:c r="AC470" s="194"/>
      <x:c r="AD470" s="186" t="str">
        <x:f>IF(COUNTA(B470:H470)+COUNTA(J470:AC470)=0,"",IF(OR(B470="",D470="",E470="",G470="",J470=""),"缺少必填项",IF(H470&gt;G470,"完成数大于订单数",IF(AND(X470="",OR(Y470="排队",Y470="生产中",Y470="阻塞",Z470&lt;&gt;"",AA470&lt;&gt;"",AB470="是")),"已有排期字段缺少机台",IF(AND(X470&lt;&gt;"",Y470="待排"),"已填机台但状态为待排",IF(AND(Y470="生产中",AB470&lt;&gt;"是"),"需确认：生产中未锁定","可导入"))))))</x:f>
      </x:c>
    </x:row>
    <x:row r="471" ht="22" customHeight="1">
      <x:c r="A471" s="186" t="str">
        <x:f>IF(B471="","",ROW()-5)</x:f>
      </x:c>
      <x:c r="B471" s="196"/>
      <x:c r="C471" s="198"/>
      <x:c r="D471" s="196"/>
      <x:c r="E471" s="188"/>
      <x:c r="F471" s="198"/>
      <x:c r="G471" s="202"/>
      <x:c r="H471" s="204"/>
      <x:c r="I471" s="206" t="str">
        <x:f>IF(G471="","",MAX(G471-H471,0))</x:f>
      </x:c>
      <x:c r="J471" s="210"/>
      <x:c r="K471" s="190"/>
      <x:c r="L471" s="208"/>
      <x:c r="M471" s="208"/>
      <x:c r="N471" s="208"/>
      <x:c r="O471" s="208"/>
      <x:c r="P471" s="190"/>
      <x:c r="Q471" s="190"/>
      <x:c r="R471" s="190"/>
      <x:c r="S471" s="190"/>
      <x:c r="T471" s="190"/>
      <x:c r="U471" s="190"/>
      <x:c r="V471" s="212"/>
      <x:c r="W471" s="212"/>
      <x:c r="X471" s="200"/>
      <x:c r="Y471" s="192"/>
      <x:c r="Z471" s="214"/>
      <x:c r="AA471" s="214"/>
      <x:c r="AB471" s="192"/>
      <x:c r="AC471" s="194"/>
      <x:c r="AD471" s="186" t="str">
        <x:f>IF(COUNTA(B471:H471)+COUNTA(J471:AC471)=0,"",IF(OR(B471="",D471="",E471="",G471="",J471=""),"缺少必填项",IF(H471&gt;G471,"完成数大于订单数",IF(AND(X471="",OR(Y471="排队",Y471="生产中",Y471="阻塞",Z471&lt;&gt;"",AA471&lt;&gt;"",AB471="是")),"已有排期字段缺少机台",IF(AND(X471&lt;&gt;"",Y471="待排"),"已填机台但状态为待排",IF(AND(Y471="生产中",AB471&lt;&gt;"是"),"需确认：生产中未锁定","可导入"))))))</x:f>
      </x:c>
    </x:row>
    <x:row r="472" ht="22" customHeight="1">
      <x:c r="A472" s="186" t="str">
        <x:f>IF(B472="","",ROW()-5)</x:f>
      </x:c>
      <x:c r="B472" s="196"/>
      <x:c r="C472" s="198"/>
      <x:c r="D472" s="196"/>
      <x:c r="E472" s="188"/>
      <x:c r="F472" s="198"/>
      <x:c r="G472" s="202"/>
      <x:c r="H472" s="204"/>
      <x:c r="I472" s="206" t="str">
        <x:f>IF(G472="","",MAX(G472-H472,0))</x:f>
      </x:c>
      <x:c r="J472" s="210"/>
      <x:c r="K472" s="190"/>
      <x:c r="L472" s="208"/>
      <x:c r="M472" s="208"/>
      <x:c r="N472" s="208"/>
      <x:c r="O472" s="208"/>
      <x:c r="P472" s="190"/>
      <x:c r="Q472" s="190"/>
      <x:c r="R472" s="190"/>
      <x:c r="S472" s="190"/>
      <x:c r="T472" s="190"/>
      <x:c r="U472" s="190"/>
      <x:c r="V472" s="212"/>
      <x:c r="W472" s="212"/>
      <x:c r="X472" s="200"/>
      <x:c r="Y472" s="192"/>
      <x:c r="Z472" s="214"/>
      <x:c r="AA472" s="214"/>
      <x:c r="AB472" s="192"/>
      <x:c r="AC472" s="194"/>
      <x:c r="AD472" s="186" t="str">
        <x:f>IF(COUNTA(B472:H472)+COUNTA(J472:AC472)=0,"",IF(OR(B472="",D472="",E472="",G472="",J472=""),"缺少必填项",IF(H472&gt;G472,"完成数大于订单数",IF(AND(X472="",OR(Y472="排队",Y472="生产中",Y472="阻塞",Z472&lt;&gt;"",AA472&lt;&gt;"",AB472="是")),"已有排期字段缺少机台",IF(AND(X472&lt;&gt;"",Y472="待排"),"已填机台但状态为待排",IF(AND(Y472="生产中",AB472&lt;&gt;"是"),"需确认：生产中未锁定","可导入"))))))</x:f>
      </x:c>
    </x:row>
    <x:row r="473" ht="22" customHeight="1">
      <x:c r="A473" s="186" t="str">
        <x:f>IF(B473="","",ROW()-5)</x:f>
      </x:c>
      <x:c r="B473" s="196"/>
      <x:c r="C473" s="198"/>
      <x:c r="D473" s="196"/>
      <x:c r="E473" s="188"/>
      <x:c r="F473" s="198"/>
      <x:c r="G473" s="202"/>
      <x:c r="H473" s="204"/>
      <x:c r="I473" s="206" t="str">
        <x:f>IF(G473="","",MAX(G473-H473,0))</x:f>
      </x:c>
      <x:c r="J473" s="210"/>
      <x:c r="K473" s="190"/>
      <x:c r="L473" s="208"/>
      <x:c r="M473" s="208"/>
      <x:c r="N473" s="208"/>
      <x:c r="O473" s="208"/>
      <x:c r="P473" s="190"/>
      <x:c r="Q473" s="190"/>
      <x:c r="R473" s="190"/>
      <x:c r="S473" s="190"/>
      <x:c r="T473" s="190"/>
      <x:c r="U473" s="190"/>
      <x:c r="V473" s="212"/>
      <x:c r="W473" s="212"/>
      <x:c r="X473" s="200"/>
      <x:c r="Y473" s="192"/>
      <x:c r="Z473" s="214"/>
      <x:c r="AA473" s="214"/>
      <x:c r="AB473" s="192"/>
      <x:c r="AC473" s="194"/>
      <x:c r="AD473" s="186" t="str">
        <x:f>IF(COUNTA(B473:H473)+COUNTA(J473:AC473)=0,"",IF(OR(B473="",D473="",E473="",G473="",J473=""),"缺少必填项",IF(H473&gt;G473,"完成数大于订单数",IF(AND(X473="",OR(Y473="排队",Y473="生产中",Y473="阻塞",Z473&lt;&gt;"",AA473&lt;&gt;"",AB473="是")),"已有排期字段缺少机台",IF(AND(X473&lt;&gt;"",Y473="待排"),"已填机台但状态为待排",IF(AND(Y473="生产中",AB473&lt;&gt;"是"),"需确认：生产中未锁定","可导入"))))))</x:f>
      </x:c>
    </x:row>
    <x:row r="474" ht="22" customHeight="1">
      <x:c r="A474" s="186" t="str">
        <x:f>IF(B474="","",ROW()-5)</x:f>
      </x:c>
      <x:c r="B474" s="196"/>
      <x:c r="C474" s="198"/>
      <x:c r="D474" s="196"/>
      <x:c r="E474" s="188"/>
      <x:c r="F474" s="198"/>
      <x:c r="G474" s="202"/>
      <x:c r="H474" s="204"/>
      <x:c r="I474" s="206" t="str">
        <x:f>IF(G474="","",MAX(G474-H474,0))</x:f>
      </x:c>
      <x:c r="J474" s="210"/>
      <x:c r="K474" s="190"/>
      <x:c r="L474" s="208"/>
      <x:c r="M474" s="208"/>
      <x:c r="N474" s="208"/>
      <x:c r="O474" s="208"/>
      <x:c r="P474" s="190"/>
      <x:c r="Q474" s="190"/>
      <x:c r="R474" s="190"/>
      <x:c r="S474" s="190"/>
      <x:c r="T474" s="190"/>
      <x:c r="U474" s="190"/>
      <x:c r="V474" s="212"/>
      <x:c r="W474" s="212"/>
      <x:c r="X474" s="200"/>
      <x:c r="Y474" s="192"/>
      <x:c r="Z474" s="214"/>
      <x:c r="AA474" s="214"/>
      <x:c r="AB474" s="192"/>
      <x:c r="AC474" s="194"/>
      <x:c r="AD474" s="186" t="str">
        <x:f>IF(COUNTA(B474:H474)+COUNTA(J474:AC474)=0,"",IF(OR(B474="",D474="",E474="",G474="",J474=""),"缺少必填项",IF(H474&gt;G474,"完成数大于订单数",IF(AND(X474="",OR(Y474="排队",Y474="生产中",Y474="阻塞",Z474&lt;&gt;"",AA474&lt;&gt;"",AB474="是")),"已有排期字段缺少机台",IF(AND(X474&lt;&gt;"",Y474="待排"),"已填机台但状态为待排",IF(AND(Y474="生产中",AB474&lt;&gt;"是"),"需确认：生产中未锁定","可导入"))))))</x:f>
      </x:c>
    </x:row>
    <x:row r="475" ht="22" customHeight="1">
      <x:c r="A475" s="186" t="str">
        <x:f>IF(B475="","",ROW()-5)</x:f>
      </x:c>
      <x:c r="B475" s="196"/>
      <x:c r="C475" s="198"/>
      <x:c r="D475" s="196"/>
      <x:c r="E475" s="188"/>
      <x:c r="F475" s="198"/>
      <x:c r="G475" s="202"/>
      <x:c r="H475" s="204"/>
      <x:c r="I475" s="206" t="str">
        <x:f>IF(G475="","",MAX(G475-H475,0))</x:f>
      </x:c>
      <x:c r="J475" s="210"/>
      <x:c r="K475" s="190"/>
      <x:c r="L475" s="208"/>
      <x:c r="M475" s="208"/>
      <x:c r="N475" s="208"/>
      <x:c r="O475" s="208"/>
      <x:c r="P475" s="190"/>
      <x:c r="Q475" s="190"/>
      <x:c r="R475" s="190"/>
      <x:c r="S475" s="190"/>
      <x:c r="T475" s="190"/>
      <x:c r="U475" s="190"/>
      <x:c r="V475" s="212"/>
      <x:c r="W475" s="212"/>
      <x:c r="X475" s="200"/>
      <x:c r="Y475" s="192"/>
      <x:c r="Z475" s="214"/>
      <x:c r="AA475" s="214"/>
      <x:c r="AB475" s="192"/>
      <x:c r="AC475" s="194"/>
      <x:c r="AD475" s="186" t="str">
        <x:f>IF(COUNTA(B475:H475)+COUNTA(J475:AC475)=0,"",IF(OR(B475="",D475="",E475="",G475="",J475=""),"缺少必填项",IF(H475&gt;G475,"完成数大于订单数",IF(AND(X475="",OR(Y475="排队",Y475="生产中",Y475="阻塞",Z475&lt;&gt;"",AA475&lt;&gt;"",AB475="是")),"已有排期字段缺少机台",IF(AND(X475&lt;&gt;"",Y475="待排"),"已填机台但状态为待排",IF(AND(Y475="生产中",AB475&lt;&gt;"是"),"需确认：生产中未锁定","可导入"))))))</x:f>
      </x:c>
    </x:row>
    <x:row r="476" ht="22" customHeight="1">
      <x:c r="A476" s="186" t="str">
        <x:f>IF(B476="","",ROW()-5)</x:f>
      </x:c>
      <x:c r="B476" s="196"/>
      <x:c r="C476" s="198"/>
      <x:c r="D476" s="196"/>
      <x:c r="E476" s="188"/>
      <x:c r="F476" s="198"/>
      <x:c r="G476" s="202"/>
      <x:c r="H476" s="204"/>
      <x:c r="I476" s="206" t="str">
        <x:f>IF(G476="","",MAX(G476-H476,0))</x:f>
      </x:c>
      <x:c r="J476" s="210"/>
      <x:c r="K476" s="190"/>
      <x:c r="L476" s="208"/>
      <x:c r="M476" s="208"/>
      <x:c r="N476" s="208"/>
      <x:c r="O476" s="208"/>
      <x:c r="P476" s="190"/>
      <x:c r="Q476" s="190"/>
      <x:c r="R476" s="190"/>
      <x:c r="S476" s="190"/>
      <x:c r="T476" s="190"/>
      <x:c r="U476" s="190"/>
      <x:c r="V476" s="212"/>
      <x:c r="W476" s="212"/>
      <x:c r="X476" s="200"/>
      <x:c r="Y476" s="192"/>
      <x:c r="Z476" s="214"/>
      <x:c r="AA476" s="214"/>
      <x:c r="AB476" s="192"/>
      <x:c r="AC476" s="194"/>
      <x:c r="AD476" s="186" t="str">
        <x:f>IF(COUNTA(B476:H476)+COUNTA(J476:AC476)=0,"",IF(OR(B476="",D476="",E476="",G476="",J476=""),"缺少必填项",IF(H476&gt;G476,"完成数大于订单数",IF(AND(X476="",OR(Y476="排队",Y476="生产中",Y476="阻塞",Z476&lt;&gt;"",AA476&lt;&gt;"",AB476="是")),"已有排期字段缺少机台",IF(AND(X476&lt;&gt;"",Y476="待排"),"已填机台但状态为待排",IF(AND(Y476="生产中",AB476&lt;&gt;"是"),"需确认：生产中未锁定","可导入"))))))</x:f>
      </x:c>
    </x:row>
    <x:row r="477" ht="22" customHeight="1">
      <x:c r="A477" s="186" t="str">
        <x:f>IF(B477="","",ROW()-5)</x:f>
      </x:c>
      <x:c r="B477" s="196"/>
      <x:c r="C477" s="198"/>
      <x:c r="D477" s="196"/>
      <x:c r="E477" s="188"/>
      <x:c r="F477" s="198"/>
      <x:c r="G477" s="202"/>
      <x:c r="H477" s="204"/>
      <x:c r="I477" s="206" t="str">
        <x:f>IF(G477="","",MAX(G477-H477,0))</x:f>
      </x:c>
      <x:c r="J477" s="210"/>
      <x:c r="K477" s="190"/>
      <x:c r="L477" s="208"/>
      <x:c r="M477" s="208"/>
      <x:c r="N477" s="208"/>
      <x:c r="O477" s="208"/>
      <x:c r="P477" s="190"/>
      <x:c r="Q477" s="190"/>
      <x:c r="R477" s="190"/>
      <x:c r="S477" s="190"/>
      <x:c r="T477" s="190"/>
      <x:c r="U477" s="190"/>
      <x:c r="V477" s="212"/>
      <x:c r="W477" s="212"/>
      <x:c r="X477" s="200"/>
      <x:c r="Y477" s="192"/>
      <x:c r="Z477" s="214"/>
      <x:c r="AA477" s="214"/>
      <x:c r="AB477" s="192"/>
      <x:c r="AC477" s="194"/>
      <x:c r="AD477" s="186" t="str">
        <x:f>IF(COUNTA(B477:H477)+COUNTA(J477:AC477)=0,"",IF(OR(B477="",D477="",E477="",G477="",J477=""),"缺少必填项",IF(H477&gt;G477,"完成数大于订单数",IF(AND(X477="",OR(Y477="排队",Y477="生产中",Y477="阻塞",Z477&lt;&gt;"",AA477&lt;&gt;"",AB477="是")),"已有排期字段缺少机台",IF(AND(X477&lt;&gt;"",Y477="待排"),"已填机台但状态为待排",IF(AND(Y477="生产中",AB477&lt;&gt;"是"),"需确认：生产中未锁定","可导入"))))))</x:f>
      </x:c>
    </x:row>
    <x:row r="478" ht="22" customHeight="1">
      <x:c r="A478" s="186" t="str">
        <x:f>IF(B478="","",ROW()-5)</x:f>
      </x:c>
      <x:c r="B478" s="196"/>
      <x:c r="C478" s="198"/>
      <x:c r="D478" s="196"/>
      <x:c r="E478" s="188"/>
      <x:c r="F478" s="198"/>
      <x:c r="G478" s="202"/>
      <x:c r="H478" s="204"/>
      <x:c r="I478" s="206" t="str">
        <x:f>IF(G478="","",MAX(G478-H478,0))</x:f>
      </x:c>
      <x:c r="J478" s="210"/>
      <x:c r="K478" s="190"/>
      <x:c r="L478" s="208"/>
      <x:c r="M478" s="208"/>
      <x:c r="N478" s="208"/>
      <x:c r="O478" s="208"/>
      <x:c r="P478" s="190"/>
      <x:c r="Q478" s="190"/>
      <x:c r="R478" s="190"/>
      <x:c r="S478" s="190"/>
      <x:c r="T478" s="190"/>
      <x:c r="U478" s="190"/>
      <x:c r="V478" s="212"/>
      <x:c r="W478" s="212"/>
      <x:c r="X478" s="200"/>
      <x:c r="Y478" s="192"/>
      <x:c r="Z478" s="214"/>
      <x:c r="AA478" s="214"/>
      <x:c r="AB478" s="192"/>
      <x:c r="AC478" s="194"/>
      <x:c r="AD478" s="186" t="str">
        <x:f>IF(COUNTA(B478:H478)+COUNTA(J478:AC478)=0,"",IF(OR(B478="",D478="",E478="",G478="",J478=""),"缺少必填项",IF(H478&gt;G478,"完成数大于订单数",IF(AND(X478="",OR(Y478="排队",Y478="生产中",Y478="阻塞",Z478&lt;&gt;"",AA478&lt;&gt;"",AB478="是")),"已有排期字段缺少机台",IF(AND(X478&lt;&gt;"",Y478="待排"),"已填机台但状态为待排",IF(AND(Y478="生产中",AB478&lt;&gt;"是"),"需确认：生产中未锁定","可导入"))))))</x:f>
      </x:c>
    </x:row>
    <x:row r="479" ht="22" customHeight="1">
      <x:c r="A479" s="186" t="str">
        <x:f>IF(B479="","",ROW()-5)</x:f>
      </x:c>
      <x:c r="B479" s="196"/>
      <x:c r="C479" s="198"/>
      <x:c r="D479" s="196"/>
      <x:c r="E479" s="188"/>
      <x:c r="F479" s="198"/>
      <x:c r="G479" s="202"/>
      <x:c r="H479" s="204"/>
      <x:c r="I479" s="206" t="str">
        <x:f>IF(G479="","",MAX(G479-H479,0))</x:f>
      </x:c>
      <x:c r="J479" s="210"/>
      <x:c r="K479" s="190"/>
      <x:c r="L479" s="208"/>
      <x:c r="M479" s="208"/>
      <x:c r="N479" s="208"/>
      <x:c r="O479" s="208"/>
      <x:c r="P479" s="190"/>
      <x:c r="Q479" s="190"/>
      <x:c r="R479" s="190"/>
      <x:c r="S479" s="190"/>
      <x:c r="T479" s="190"/>
      <x:c r="U479" s="190"/>
      <x:c r="V479" s="212"/>
      <x:c r="W479" s="212"/>
      <x:c r="X479" s="200"/>
      <x:c r="Y479" s="192"/>
      <x:c r="Z479" s="214"/>
      <x:c r="AA479" s="214"/>
      <x:c r="AB479" s="192"/>
      <x:c r="AC479" s="194"/>
      <x:c r="AD479" s="186" t="str">
        <x:f>IF(COUNTA(B479:H479)+COUNTA(J479:AC479)=0,"",IF(OR(B479="",D479="",E479="",G479="",J479=""),"缺少必填项",IF(H479&gt;G479,"完成数大于订单数",IF(AND(X479="",OR(Y479="排队",Y479="生产中",Y479="阻塞",Z479&lt;&gt;"",AA479&lt;&gt;"",AB479="是")),"已有排期字段缺少机台",IF(AND(X479&lt;&gt;"",Y479="待排"),"已填机台但状态为待排",IF(AND(Y479="生产中",AB479&lt;&gt;"是"),"需确认：生产中未锁定","可导入"))))))</x:f>
      </x:c>
    </x:row>
    <x:row r="480" ht="22" customHeight="1">
      <x:c r="A480" s="186" t="str">
        <x:f>IF(B480="","",ROW()-5)</x:f>
      </x:c>
      <x:c r="B480" s="196"/>
      <x:c r="C480" s="198"/>
      <x:c r="D480" s="196"/>
      <x:c r="E480" s="188"/>
      <x:c r="F480" s="198"/>
      <x:c r="G480" s="202"/>
      <x:c r="H480" s="204"/>
      <x:c r="I480" s="206" t="str">
        <x:f>IF(G480="","",MAX(G480-H480,0))</x:f>
      </x:c>
      <x:c r="J480" s="210"/>
      <x:c r="K480" s="190"/>
      <x:c r="L480" s="208"/>
      <x:c r="M480" s="208"/>
      <x:c r="N480" s="208"/>
      <x:c r="O480" s="208"/>
      <x:c r="P480" s="190"/>
      <x:c r="Q480" s="190"/>
      <x:c r="R480" s="190"/>
      <x:c r="S480" s="190"/>
      <x:c r="T480" s="190"/>
      <x:c r="U480" s="190"/>
      <x:c r="V480" s="212"/>
      <x:c r="W480" s="212"/>
      <x:c r="X480" s="200"/>
      <x:c r="Y480" s="192"/>
      <x:c r="Z480" s="214"/>
      <x:c r="AA480" s="214"/>
      <x:c r="AB480" s="192"/>
      <x:c r="AC480" s="194"/>
      <x:c r="AD480" s="186" t="str">
        <x:f>IF(COUNTA(B480:H480)+COUNTA(J480:AC480)=0,"",IF(OR(B480="",D480="",E480="",G480="",J480=""),"缺少必填项",IF(H480&gt;G480,"完成数大于订单数",IF(AND(X480="",OR(Y480="排队",Y480="生产中",Y480="阻塞",Z480&lt;&gt;"",AA480&lt;&gt;"",AB480="是")),"已有排期字段缺少机台",IF(AND(X480&lt;&gt;"",Y480="待排"),"已填机台但状态为待排",IF(AND(Y480="生产中",AB480&lt;&gt;"是"),"需确认：生产中未锁定","可导入"))))))</x:f>
      </x:c>
    </x:row>
    <x:row r="481" ht="22" customHeight="1">
      <x:c r="A481" s="186" t="str">
        <x:f>IF(B481="","",ROW()-5)</x:f>
      </x:c>
      <x:c r="B481" s="196"/>
      <x:c r="C481" s="198"/>
      <x:c r="D481" s="196"/>
      <x:c r="E481" s="188"/>
      <x:c r="F481" s="198"/>
      <x:c r="G481" s="202"/>
      <x:c r="H481" s="204"/>
      <x:c r="I481" s="206" t="str">
        <x:f>IF(G481="","",MAX(G481-H481,0))</x:f>
      </x:c>
      <x:c r="J481" s="210"/>
      <x:c r="K481" s="190"/>
      <x:c r="L481" s="208"/>
      <x:c r="M481" s="208"/>
      <x:c r="N481" s="208"/>
      <x:c r="O481" s="208"/>
      <x:c r="P481" s="190"/>
      <x:c r="Q481" s="190"/>
      <x:c r="R481" s="190"/>
      <x:c r="S481" s="190"/>
      <x:c r="T481" s="190"/>
      <x:c r="U481" s="190"/>
      <x:c r="V481" s="212"/>
      <x:c r="W481" s="212"/>
      <x:c r="X481" s="200"/>
      <x:c r="Y481" s="192"/>
      <x:c r="Z481" s="214"/>
      <x:c r="AA481" s="214"/>
      <x:c r="AB481" s="192"/>
      <x:c r="AC481" s="194"/>
      <x:c r="AD481" s="186" t="str">
        <x:f>IF(COUNTA(B481:H481)+COUNTA(J481:AC481)=0,"",IF(OR(B481="",D481="",E481="",G481="",J481=""),"缺少必填项",IF(H481&gt;G481,"完成数大于订单数",IF(AND(X481="",OR(Y481="排队",Y481="生产中",Y481="阻塞",Z481&lt;&gt;"",AA481&lt;&gt;"",AB481="是")),"已有排期字段缺少机台",IF(AND(X481&lt;&gt;"",Y481="待排"),"已填机台但状态为待排",IF(AND(Y481="生产中",AB481&lt;&gt;"是"),"需确认：生产中未锁定","可导入"))))))</x:f>
      </x:c>
    </x:row>
    <x:row r="482" ht="22" customHeight="1">
      <x:c r="A482" s="186" t="str">
        <x:f>IF(B482="","",ROW()-5)</x:f>
      </x:c>
      <x:c r="B482" s="196"/>
      <x:c r="C482" s="198"/>
      <x:c r="D482" s="196"/>
      <x:c r="E482" s="188"/>
      <x:c r="F482" s="198"/>
      <x:c r="G482" s="202"/>
      <x:c r="H482" s="204"/>
      <x:c r="I482" s="206" t="str">
        <x:f>IF(G482="","",MAX(G482-H482,0))</x:f>
      </x:c>
      <x:c r="J482" s="210"/>
      <x:c r="K482" s="190"/>
      <x:c r="L482" s="208"/>
      <x:c r="M482" s="208"/>
      <x:c r="N482" s="208"/>
      <x:c r="O482" s="208"/>
      <x:c r="P482" s="190"/>
      <x:c r="Q482" s="190"/>
      <x:c r="R482" s="190"/>
      <x:c r="S482" s="190"/>
      <x:c r="T482" s="190"/>
      <x:c r="U482" s="190"/>
      <x:c r="V482" s="212"/>
      <x:c r="W482" s="212"/>
      <x:c r="X482" s="200"/>
      <x:c r="Y482" s="192"/>
      <x:c r="Z482" s="214"/>
      <x:c r="AA482" s="214"/>
      <x:c r="AB482" s="192"/>
      <x:c r="AC482" s="194"/>
      <x:c r="AD482" s="186" t="str">
        <x:f>IF(COUNTA(B482:H482)+COUNTA(J482:AC482)=0,"",IF(OR(B482="",D482="",E482="",G482="",J482=""),"缺少必填项",IF(H482&gt;G482,"完成数大于订单数",IF(AND(X482="",OR(Y482="排队",Y482="生产中",Y482="阻塞",Z482&lt;&gt;"",AA482&lt;&gt;"",AB482="是")),"已有排期字段缺少机台",IF(AND(X482&lt;&gt;"",Y482="待排"),"已填机台但状态为待排",IF(AND(Y482="生产中",AB482&lt;&gt;"是"),"需确认：生产中未锁定","可导入"))))))</x:f>
      </x:c>
    </x:row>
    <x:row r="483" ht="22" customHeight="1">
      <x:c r="A483" s="186" t="str">
        <x:f>IF(B483="","",ROW()-5)</x:f>
      </x:c>
      <x:c r="B483" s="196"/>
      <x:c r="C483" s="198"/>
      <x:c r="D483" s="196"/>
      <x:c r="E483" s="188"/>
      <x:c r="F483" s="198"/>
      <x:c r="G483" s="202"/>
      <x:c r="H483" s="204"/>
      <x:c r="I483" s="206" t="str">
        <x:f>IF(G483="","",MAX(G483-H483,0))</x:f>
      </x:c>
      <x:c r="J483" s="210"/>
      <x:c r="K483" s="190"/>
      <x:c r="L483" s="208"/>
      <x:c r="M483" s="208"/>
      <x:c r="N483" s="208"/>
      <x:c r="O483" s="208"/>
      <x:c r="P483" s="190"/>
      <x:c r="Q483" s="190"/>
      <x:c r="R483" s="190"/>
      <x:c r="S483" s="190"/>
      <x:c r="T483" s="190"/>
      <x:c r="U483" s="190"/>
      <x:c r="V483" s="212"/>
      <x:c r="W483" s="212"/>
      <x:c r="X483" s="200"/>
      <x:c r="Y483" s="192"/>
      <x:c r="Z483" s="214"/>
      <x:c r="AA483" s="214"/>
      <x:c r="AB483" s="192"/>
      <x:c r="AC483" s="194"/>
      <x:c r="AD483" s="186" t="str">
        <x:f>IF(COUNTA(B483:H483)+COUNTA(J483:AC483)=0,"",IF(OR(B483="",D483="",E483="",G483="",J483=""),"缺少必填项",IF(H483&gt;G483,"完成数大于订单数",IF(AND(X483="",OR(Y483="排队",Y483="生产中",Y483="阻塞",Z483&lt;&gt;"",AA483&lt;&gt;"",AB483="是")),"已有排期字段缺少机台",IF(AND(X483&lt;&gt;"",Y483="待排"),"已填机台但状态为待排",IF(AND(Y483="生产中",AB483&lt;&gt;"是"),"需确认：生产中未锁定","可导入"))))))</x:f>
      </x:c>
    </x:row>
    <x:row r="484" ht="22" customHeight="1">
      <x:c r="A484" s="186" t="str">
        <x:f>IF(B484="","",ROW()-5)</x:f>
      </x:c>
      <x:c r="B484" s="196"/>
      <x:c r="C484" s="198"/>
      <x:c r="D484" s="196"/>
      <x:c r="E484" s="188"/>
      <x:c r="F484" s="198"/>
      <x:c r="G484" s="202"/>
      <x:c r="H484" s="204"/>
      <x:c r="I484" s="206" t="str">
        <x:f>IF(G484="","",MAX(G484-H484,0))</x:f>
      </x:c>
      <x:c r="J484" s="210"/>
      <x:c r="K484" s="190"/>
      <x:c r="L484" s="208"/>
      <x:c r="M484" s="208"/>
      <x:c r="N484" s="208"/>
      <x:c r="O484" s="208"/>
      <x:c r="P484" s="190"/>
      <x:c r="Q484" s="190"/>
      <x:c r="R484" s="190"/>
      <x:c r="S484" s="190"/>
      <x:c r="T484" s="190"/>
      <x:c r="U484" s="190"/>
      <x:c r="V484" s="212"/>
      <x:c r="W484" s="212"/>
      <x:c r="X484" s="200"/>
      <x:c r="Y484" s="192"/>
      <x:c r="Z484" s="214"/>
      <x:c r="AA484" s="214"/>
      <x:c r="AB484" s="192"/>
      <x:c r="AC484" s="194"/>
      <x:c r="AD484" s="186" t="str">
        <x:f>IF(COUNTA(B484:H484)+COUNTA(J484:AC484)=0,"",IF(OR(B484="",D484="",E484="",G484="",J484=""),"缺少必填项",IF(H484&gt;G484,"完成数大于订单数",IF(AND(X484="",OR(Y484="排队",Y484="生产中",Y484="阻塞",Z484&lt;&gt;"",AA484&lt;&gt;"",AB484="是")),"已有排期字段缺少机台",IF(AND(X484&lt;&gt;"",Y484="待排"),"已填机台但状态为待排",IF(AND(Y484="生产中",AB484&lt;&gt;"是"),"需确认：生产中未锁定","可导入"))))))</x:f>
      </x:c>
    </x:row>
    <x:row r="485" ht="22" customHeight="1">
      <x:c r="A485" s="186" t="str">
        <x:f>IF(B485="","",ROW()-5)</x:f>
      </x:c>
      <x:c r="B485" s="196"/>
      <x:c r="C485" s="198"/>
      <x:c r="D485" s="196"/>
      <x:c r="E485" s="188"/>
      <x:c r="F485" s="198"/>
      <x:c r="G485" s="202"/>
      <x:c r="H485" s="204"/>
      <x:c r="I485" s="206" t="str">
        <x:f>IF(G485="","",MAX(G485-H485,0))</x:f>
      </x:c>
      <x:c r="J485" s="210"/>
      <x:c r="K485" s="190"/>
      <x:c r="L485" s="208"/>
      <x:c r="M485" s="208"/>
      <x:c r="N485" s="208"/>
      <x:c r="O485" s="208"/>
      <x:c r="P485" s="190"/>
      <x:c r="Q485" s="190"/>
      <x:c r="R485" s="190"/>
      <x:c r="S485" s="190"/>
      <x:c r="T485" s="190"/>
      <x:c r="U485" s="190"/>
      <x:c r="V485" s="212"/>
      <x:c r="W485" s="212"/>
      <x:c r="X485" s="200"/>
      <x:c r="Y485" s="192"/>
      <x:c r="Z485" s="214"/>
      <x:c r="AA485" s="214"/>
      <x:c r="AB485" s="192"/>
      <x:c r="AC485" s="194"/>
      <x:c r="AD485" s="186" t="str">
        <x:f>IF(COUNTA(B485:H485)+COUNTA(J485:AC485)=0,"",IF(OR(B485="",D485="",E485="",G485="",J485=""),"缺少必填项",IF(H485&gt;G485,"完成数大于订单数",IF(AND(X485="",OR(Y485="排队",Y485="生产中",Y485="阻塞",Z485&lt;&gt;"",AA485&lt;&gt;"",AB485="是")),"已有排期字段缺少机台",IF(AND(X485&lt;&gt;"",Y485="待排"),"已填机台但状态为待排",IF(AND(Y485="生产中",AB485&lt;&gt;"是"),"需确认：生产中未锁定","可导入"))))))</x:f>
      </x:c>
    </x:row>
    <x:row r="486" ht="22" customHeight="1">
      <x:c r="A486" s="186" t="str">
        <x:f>IF(B486="","",ROW()-5)</x:f>
      </x:c>
      <x:c r="B486" s="196"/>
      <x:c r="C486" s="198"/>
      <x:c r="D486" s="196"/>
      <x:c r="E486" s="188"/>
      <x:c r="F486" s="198"/>
      <x:c r="G486" s="202"/>
      <x:c r="H486" s="204"/>
      <x:c r="I486" s="206" t="str">
        <x:f>IF(G486="","",MAX(G486-H486,0))</x:f>
      </x:c>
      <x:c r="J486" s="210"/>
      <x:c r="K486" s="190"/>
      <x:c r="L486" s="208"/>
      <x:c r="M486" s="208"/>
      <x:c r="N486" s="208"/>
      <x:c r="O486" s="208"/>
      <x:c r="P486" s="190"/>
      <x:c r="Q486" s="190"/>
      <x:c r="R486" s="190"/>
      <x:c r="S486" s="190"/>
      <x:c r="T486" s="190"/>
      <x:c r="U486" s="190"/>
      <x:c r="V486" s="212"/>
      <x:c r="W486" s="212"/>
      <x:c r="X486" s="200"/>
      <x:c r="Y486" s="192"/>
      <x:c r="Z486" s="214"/>
      <x:c r="AA486" s="214"/>
      <x:c r="AB486" s="192"/>
      <x:c r="AC486" s="194"/>
      <x:c r="AD486" s="186" t="str">
        <x:f>IF(COUNTA(B486:H486)+COUNTA(J486:AC486)=0,"",IF(OR(B486="",D486="",E486="",G486="",J486=""),"缺少必填项",IF(H486&gt;G486,"完成数大于订单数",IF(AND(X486="",OR(Y486="排队",Y486="生产中",Y486="阻塞",Z486&lt;&gt;"",AA486&lt;&gt;"",AB486="是")),"已有排期字段缺少机台",IF(AND(X486&lt;&gt;"",Y486="待排"),"已填机台但状态为待排",IF(AND(Y486="生产中",AB486&lt;&gt;"是"),"需确认：生产中未锁定","可导入"))))))</x:f>
      </x:c>
    </x:row>
    <x:row r="487" ht="22" customHeight="1">
      <x:c r="A487" s="186" t="str">
        <x:f>IF(B487="","",ROW()-5)</x:f>
      </x:c>
      <x:c r="B487" s="196"/>
      <x:c r="C487" s="198"/>
      <x:c r="D487" s="196"/>
      <x:c r="E487" s="188"/>
      <x:c r="F487" s="198"/>
      <x:c r="G487" s="202"/>
      <x:c r="H487" s="204"/>
      <x:c r="I487" s="206" t="str">
        <x:f>IF(G487="","",MAX(G487-H487,0))</x:f>
      </x:c>
      <x:c r="J487" s="210"/>
      <x:c r="K487" s="190"/>
      <x:c r="L487" s="208"/>
      <x:c r="M487" s="208"/>
      <x:c r="N487" s="208"/>
      <x:c r="O487" s="208"/>
      <x:c r="P487" s="190"/>
      <x:c r="Q487" s="190"/>
      <x:c r="R487" s="190"/>
      <x:c r="S487" s="190"/>
      <x:c r="T487" s="190"/>
      <x:c r="U487" s="190"/>
      <x:c r="V487" s="212"/>
      <x:c r="W487" s="212"/>
      <x:c r="X487" s="200"/>
      <x:c r="Y487" s="192"/>
      <x:c r="Z487" s="214"/>
      <x:c r="AA487" s="214"/>
      <x:c r="AB487" s="192"/>
      <x:c r="AC487" s="194"/>
      <x:c r="AD487" s="186" t="str">
        <x:f>IF(COUNTA(B487:H487)+COUNTA(J487:AC487)=0,"",IF(OR(B487="",D487="",E487="",G487="",J487=""),"缺少必填项",IF(H487&gt;G487,"完成数大于订单数",IF(AND(X487="",OR(Y487="排队",Y487="生产中",Y487="阻塞",Z487&lt;&gt;"",AA487&lt;&gt;"",AB487="是")),"已有排期字段缺少机台",IF(AND(X487&lt;&gt;"",Y487="待排"),"已填机台但状态为待排",IF(AND(Y487="生产中",AB487&lt;&gt;"是"),"需确认：生产中未锁定","可导入"))))))</x:f>
      </x:c>
    </x:row>
    <x:row r="488" ht="22" customHeight="1">
      <x:c r="A488" s="186" t="str">
        <x:f>IF(B488="","",ROW()-5)</x:f>
      </x:c>
      <x:c r="B488" s="196"/>
      <x:c r="C488" s="198"/>
      <x:c r="D488" s="196"/>
      <x:c r="E488" s="188"/>
      <x:c r="F488" s="198"/>
      <x:c r="G488" s="202"/>
      <x:c r="H488" s="204"/>
      <x:c r="I488" s="206" t="str">
        <x:f>IF(G488="","",MAX(G488-H488,0))</x:f>
      </x:c>
      <x:c r="J488" s="210"/>
      <x:c r="K488" s="190"/>
      <x:c r="L488" s="208"/>
      <x:c r="M488" s="208"/>
      <x:c r="N488" s="208"/>
      <x:c r="O488" s="208"/>
      <x:c r="P488" s="190"/>
      <x:c r="Q488" s="190"/>
      <x:c r="R488" s="190"/>
      <x:c r="S488" s="190"/>
      <x:c r="T488" s="190"/>
      <x:c r="U488" s="190"/>
      <x:c r="V488" s="212"/>
      <x:c r="W488" s="212"/>
      <x:c r="X488" s="200"/>
      <x:c r="Y488" s="192"/>
      <x:c r="Z488" s="214"/>
      <x:c r="AA488" s="214"/>
      <x:c r="AB488" s="192"/>
      <x:c r="AC488" s="194"/>
      <x:c r="AD488" s="186" t="str">
        <x:f>IF(COUNTA(B488:H488)+COUNTA(J488:AC488)=0,"",IF(OR(B488="",D488="",E488="",G488="",J488=""),"缺少必填项",IF(H488&gt;G488,"完成数大于订单数",IF(AND(X488="",OR(Y488="排队",Y488="生产中",Y488="阻塞",Z488&lt;&gt;"",AA488&lt;&gt;"",AB488="是")),"已有排期字段缺少机台",IF(AND(X488&lt;&gt;"",Y488="待排"),"已填机台但状态为待排",IF(AND(Y488="生产中",AB488&lt;&gt;"是"),"需确认：生产中未锁定","可导入"))))))</x:f>
      </x:c>
    </x:row>
    <x:row r="489" ht="22" customHeight="1">
      <x:c r="A489" s="186" t="str">
        <x:f>IF(B489="","",ROW()-5)</x:f>
      </x:c>
      <x:c r="B489" s="196"/>
      <x:c r="C489" s="198"/>
      <x:c r="D489" s="196"/>
      <x:c r="E489" s="188"/>
      <x:c r="F489" s="198"/>
      <x:c r="G489" s="202"/>
      <x:c r="H489" s="204"/>
      <x:c r="I489" s="206" t="str">
        <x:f>IF(G489="","",MAX(G489-H489,0))</x:f>
      </x:c>
      <x:c r="J489" s="210"/>
      <x:c r="K489" s="190"/>
      <x:c r="L489" s="208"/>
      <x:c r="M489" s="208"/>
      <x:c r="N489" s="208"/>
      <x:c r="O489" s="208"/>
      <x:c r="P489" s="190"/>
      <x:c r="Q489" s="190"/>
      <x:c r="R489" s="190"/>
      <x:c r="S489" s="190"/>
      <x:c r="T489" s="190"/>
      <x:c r="U489" s="190"/>
      <x:c r="V489" s="212"/>
      <x:c r="W489" s="212"/>
      <x:c r="X489" s="200"/>
      <x:c r="Y489" s="192"/>
      <x:c r="Z489" s="214"/>
      <x:c r="AA489" s="214"/>
      <x:c r="AB489" s="192"/>
      <x:c r="AC489" s="194"/>
      <x:c r="AD489" s="186" t="str">
        <x:f>IF(COUNTA(B489:H489)+COUNTA(J489:AC489)=0,"",IF(OR(B489="",D489="",E489="",G489="",J489=""),"缺少必填项",IF(H489&gt;G489,"完成数大于订单数",IF(AND(X489="",OR(Y489="排队",Y489="生产中",Y489="阻塞",Z489&lt;&gt;"",AA489&lt;&gt;"",AB489="是")),"已有排期字段缺少机台",IF(AND(X489&lt;&gt;"",Y489="待排"),"已填机台但状态为待排",IF(AND(Y489="生产中",AB489&lt;&gt;"是"),"需确认：生产中未锁定","可导入"))))))</x:f>
      </x:c>
    </x:row>
    <x:row r="490" ht="22" customHeight="1">
      <x:c r="A490" s="186" t="str">
        <x:f>IF(B490="","",ROW()-5)</x:f>
      </x:c>
      <x:c r="B490" s="196"/>
      <x:c r="C490" s="198"/>
      <x:c r="D490" s="196"/>
      <x:c r="E490" s="188"/>
      <x:c r="F490" s="198"/>
      <x:c r="G490" s="202"/>
      <x:c r="H490" s="204"/>
      <x:c r="I490" s="206" t="str">
        <x:f>IF(G490="","",MAX(G490-H490,0))</x:f>
      </x:c>
      <x:c r="J490" s="210"/>
      <x:c r="K490" s="190"/>
      <x:c r="L490" s="208"/>
      <x:c r="M490" s="208"/>
      <x:c r="N490" s="208"/>
      <x:c r="O490" s="208"/>
      <x:c r="P490" s="190"/>
      <x:c r="Q490" s="190"/>
      <x:c r="R490" s="190"/>
      <x:c r="S490" s="190"/>
      <x:c r="T490" s="190"/>
      <x:c r="U490" s="190"/>
      <x:c r="V490" s="212"/>
      <x:c r="W490" s="212"/>
      <x:c r="X490" s="200"/>
      <x:c r="Y490" s="192"/>
      <x:c r="Z490" s="214"/>
      <x:c r="AA490" s="214"/>
      <x:c r="AB490" s="192"/>
      <x:c r="AC490" s="194"/>
      <x:c r="AD490" s="186" t="str">
        <x:f>IF(COUNTA(B490:H490)+COUNTA(J490:AC490)=0,"",IF(OR(B490="",D490="",E490="",G490="",J490=""),"缺少必填项",IF(H490&gt;G490,"完成数大于订单数",IF(AND(X490="",OR(Y490="排队",Y490="生产中",Y490="阻塞",Z490&lt;&gt;"",AA490&lt;&gt;"",AB490="是")),"已有排期字段缺少机台",IF(AND(X490&lt;&gt;"",Y490="待排"),"已填机台但状态为待排",IF(AND(Y490="生产中",AB490&lt;&gt;"是"),"需确认：生产中未锁定","可导入"))))))</x:f>
      </x:c>
    </x:row>
    <x:row r="491" ht="22" customHeight="1">
      <x:c r="A491" s="186" t="str">
        <x:f>IF(B491="","",ROW()-5)</x:f>
      </x:c>
      <x:c r="B491" s="196"/>
      <x:c r="C491" s="198"/>
      <x:c r="D491" s="196"/>
      <x:c r="E491" s="188"/>
      <x:c r="F491" s="198"/>
      <x:c r="G491" s="202"/>
      <x:c r="H491" s="204"/>
      <x:c r="I491" s="206" t="str">
        <x:f>IF(G491="","",MAX(G491-H491,0))</x:f>
      </x:c>
      <x:c r="J491" s="210"/>
      <x:c r="K491" s="190"/>
      <x:c r="L491" s="208"/>
      <x:c r="M491" s="208"/>
      <x:c r="N491" s="208"/>
      <x:c r="O491" s="208"/>
      <x:c r="P491" s="190"/>
      <x:c r="Q491" s="190"/>
      <x:c r="R491" s="190"/>
      <x:c r="S491" s="190"/>
      <x:c r="T491" s="190"/>
      <x:c r="U491" s="190"/>
      <x:c r="V491" s="212"/>
      <x:c r="W491" s="212"/>
      <x:c r="X491" s="200"/>
      <x:c r="Y491" s="192"/>
      <x:c r="Z491" s="214"/>
      <x:c r="AA491" s="214"/>
      <x:c r="AB491" s="192"/>
      <x:c r="AC491" s="194"/>
      <x:c r="AD491" s="186" t="str">
        <x:f>IF(COUNTA(B491:H491)+COUNTA(J491:AC491)=0,"",IF(OR(B491="",D491="",E491="",G491="",J491=""),"缺少必填项",IF(H491&gt;G491,"完成数大于订单数",IF(AND(X491="",OR(Y491="排队",Y491="生产中",Y491="阻塞",Z491&lt;&gt;"",AA491&lt;&gt;"",AB491="是")),"已有排期字段缺少机台",IF(AND(X491&lt;&gt;"",Y491="待排"),"已填机台但状态为待排",IF(AND(Y491="生产中",AB491&lt;&gt;"是"),"需确认：生产中未锁定","可导入"))))))</x:f>
      </x:c>
    </x:row>
    <x:row r="492" ht="22" customHeight="1">
      <x:c r="A492" s="186" t="str">
        <x:f>IF(B492="","",ROW()-5)</x:f>
      </x:c>
      <x:c r="B492" s="196"/>
      <x:c r="C492" s="198"/>
      <x:c r="D492" s="196"/>
      <x:c r="E492" s="188"/>
      <x:c r="F492" s="198"/>
      <x:c r="G492" s="202"/>
      <x:c r="H492" s="204"/>
      <x:c r="I492" s="206" t="str">
        <x:f>IF(G492="","",MAX(G492-H492,0))</x:f>
      </x:c>
      <x:c r="J492" s="210"/>
      <x:c r="K492" s="190"/>
      <x:c r="L492" s="208"/>
      <x:c r="M492" s="208"/>
      <x:c r="N492" s="208"/>
      <x:c r="O492" s="208"/>
      <x:c r="P492" s="190"/>
      <x:c r="Q492" s="190"/>
      <x:c r="R492" s="190"/>
      <x:c r="S492" s="190"/>
      <x:c r="T492" s="190"/>
      <x:c r="U492" s="190"/>
      <x:c r="V492" s="212"/>
      <x:c r="W492" s="212"/>
      <x:c r="X492" s="200"/>
      <x:c r="Y492" s="192"/>
      <x:c r="Z492" s="214"/>
      <x:c r="AA492" s="214"/>
      <x:c r="AB492" s="192"/>
      <x:c r="AC492" s="194"/>
      <x:c r="AD492" s="186" t="str">
        <x:f>IF(COUNTA(B492:H492)+COUNTA(J492:AC492)=0,"",IF(OR(B492="",D492="",E492="",G492="",J492=""),"缺少必填项",IF(H492&gt;G492,"完成数大于订单数",IF(AND(X492="",OR(Y492="排队",Y492="生产中",Y492="阻塞",Z492&lt;&gt;"",AA492&lt;&gt;"",AB492="是")),"已有排期字段缺少机台",IF(AND(X492&lt;&gt;"",Y492="待排"),"已填机台但状态为待排",IF(AND(Y492="生产中",AB492&lt;&gt;"是"),"需确认：生产中未锁定","可导入"))))))</x:f>
      </x:c>
    </x:row>
    <x:row r="493" ht="22" customHeight="1">
      <x:c r="A493" s="186" t="str">
        <x:f>IF(B493="","",ROW()-5)</x:f>
      </x:c>
      <x:c r="B493" s="196"/>
      <x:c r="C493" s="198"/>
      <x:c r="D493" s="196"/>
      <x:c r="E493" s="188"/>
      <x:c r="F493" s="198"/>
      <x:c r="G493" s="202"/>
      <x:c r="H493" s="204"/>
      <x:c r="I493" s="206" t="str">
        <x:f>IF(G493="","",MAX(G493-H493,0))</x:f>
      </x:c>
      <x:c r="J493" s="210"/>
      <x:c r="K493" s="190"/>
      <x:c r="L493" s="208"/>
      <x:c r="M493" s="208"/>
      <x:c r="N493" s="208"/>
      <x:c r="O493" s="208"/>
      <x:c r="P493" s="190"/>
      <x:c r="Q493" s="190"/>
      <x:c r="R493" s="190"/>
      <x:c r="S493" s="190"/>
      <x:c r="T493" s="190"/>
      <x:c r="U493" s="190"/>
      <x:c r="V493" s="212"/>
      <x:c r="W493" s="212"/>
      <x:c r="X493" s="200"/>
      <x:c r="Y493" s="192"/>
      <x:c r="Z493" s="214"/>
      <x:c r="AA493" s="214"/>
      <x:c r="AB493" s="192"/>
      <x:c r="AC493" s="194"/>
      <x:c r="AD493" s="186" t="str">
        <x:f>IF(COUNTA(B493:H493)+COUNTA(J493:AC493)=0,"",IF(OR(B493="",D493="",E493="",G493="",J493=""),"缺少必填项",IF(H493&gt;G493,"完成数大于订单数",IF(AND(X493="",OR(Y493="排队",Y493="生产中",Y493="阻塞",Z493&lt;&gt;"",AA493&lt;&gt;"",AB493="是")),"已有排期字段缺少机台",IF(AND(X493&lt;&gt;"",Y493="待排"),"已填机台但状态为待排",IF(AND(Y493="生产中",AB493&lt;&gt;"是"),"需确认：生产中未锁定","可导入"))))))</x:f>
      </x:c>
    </x:row>
    <x:row r="494" ht="22" customHeight="1">
      <x:c r="A494" s="186" t="str">
        <x:f>IF(B494="","",ROW()-5)</x:f>
      </x:c>
      <x:c r="B494" s="196"/>
      <x:c r="C494" s="198"/>
      <x:c r="D494" s="196"/>
      <x:c r="E494" s="188"/>
      <x:c r="F494" s="198"/>
      <x:c r="G494" s="202"/>
      <x:c r="H494" s="204"/>
      <x:c r="I494" s="206" t="str">
        <x:f>IF(G494="","",MAX(G494-H494,0))</x:f>
      </x:c>
      <x:c r="J494" s="210"/>
      <x:c r="K494" s="190"/>
      <x:c r="L494" s="208"/>
      <x:c r="M494" s="208"/>
      <x:c r="N494" s="208"/>
      <x:c r="O494" s="208"/>
      <x:c r="P494" s="190"/>
      <x:c r="Q494" s="190"/>
      <x:c r="R494" s="190"/>
      <x:c r="S494" s="190"/>
      <x:c r="T494" s="190"/>
      <x:c r="U494" s="190"/>
      <x:c r="V494" s="212"/>
      <x:c r="W494" s="212"/>
      <x:c r="X494" s="200"/>
      <x:c r="Y494" s="192"/>
      <x:c r="Z494" s="214"/>
      <x:c r="AA494" s="214"/>
      <x:c r="AB494" s="192"/>
      <x:c r="AC494" s="194"/>
      <x:c r="AD494" s="186" t="str">
        <x:f>IF(COUNTA(B494:H494)+COUNTA(J494:AC494)=0,"",IF(OR(B494="",D494="",E494="",G494="",J494=""),"缺少必填项",IF(H494&gt;G494,"完成数大于订单数",IF(AND(X494="",OR(Y494="排队",Y494="生产中",Y494="阻塞",Z494&lt;&gt;"",AA494&lt;&gt;"",AB494="是")),"已有排期字段缺少机台",IF(AND(X494&lt;&gt;"",Y494="待排"),"已填机台但状态为待排",IF(AND(Y494="生产中",AB494&lt;&gt;"是"),"需确认：生产中未锁定","可导入"))))))</x:f>
      </x:c>
    </x:row>
    <x:row r="495" ht="22" customHeight="1">
      <x:c r="A495" s="186" t="str">
        <x:f>IF(B495="","",ROW()-5)</x:f>
      </x:c>
      <x:c r="B495" s="196"/>
      <x:c r="C495" s="198"/>
      <x:c r="D495" s="196"/>
      <x:c r="E495" s="188"/>
      <x:c r="F495" s="198"/>
      <x:c r="G495" s="202"/>
      <x:c r="H495" s="204"/>
      <x:c r="I495" s="206" t="str">
        <x:f>IF(G495="","",MAX(G495-H495,0))</x:f>
      </x:c>
      <x:c r="J495" s="210"/>
      <x:c r="K495" s="190"/>
      <x:c r="L495" s="208"/>
      <x:c r="M495" s="208"/>
      <x:c r="N495" s="208"/>
      <x:c r="O495" s="208"/>
      <x:c r="P495" s="190"/>
      <x:c r="Q495" s="190"/>
      <x:c r="R495" s="190"/>
      <x:c r="S495" s="190"/>
      <x:c r="T495" s="190"/>
      <x:c r="U495" s="190"/>
      <x:c r="V495" s="212"/>
      <x:c r="W495" s="212"/>
      <x:c r="X495" s="200"/>
      <x:c r="Y495" s="192"/>
      <x:c r="Z495" s="214"/>
      <x:c r="AA495" s="214"/>
      <x:c r="AB495" s="192"/>
      <x:c r="AC495" s="194"/>
      <x:c r="AD495" s="186" t="str">
        <x:f>IF(COUNTA(B495:H495)+COUNTA(J495:AC495)=0,"",IF(OR(B495="",D495="",E495="",G495="",J495=""),"缺少必填项",IF(H495&gt;G495,"完成数大于订单数",IF(AND(X495="",OR(Y495="排队",Y495="生产中",Y495="阻塞",Z495&lt;&gt;"",AA495&lt;&gt;"",AB495="是")),"已有排期字段缺少机台",IF(AND(X495&lt;&gt;"",Y495="待排"),"已填机台但状态为待排",IF(AND(Y495="生产中",AB495&lt;&gt;"是"),"需确认：生产中未锁定","可导入"))))))</x:f>
      </x:c>
    </x:row>
    <x:row r="496" ht="22" customHeight="1">
      <x:c r="A496" s="186" t="str">
        <x:f>IF(B496="","",ROW()-5)</x:f>
      </x:c>
      <x:c r="B496" s="196"/>
      <x:c r="C496" s="198"/>
      <x:c r="D496" s="196"/>
      <x:c r="E496" s="188"/>
      <x:c r="F496" s="198"/>
      <x:c r="G496" s="202"/>
      <x:c r="H496" s="204"/>
      <x:c r="I496" s="206" t="str">
        <x:f>IF(G496="","",MAX(G496-H496,0))</x:f>
      </x:c>
      <x:c r="J496" s="210"/>
      <x:c r="K496" s="190"/>
      <x:c r="L496" s="208"/>
      <x:c r="M496" s="208"/>
      <x:c r="N496" s="208"/>
      <x:c r="O496" s="208"/>
      <x:c r="P496" s="190"/>
      <x:c r="Q496" s="190"/>
      <x:c r="R496" s="190"/>
      <x:c r="S496" s="190"/>
      <x:c r="T496" s="190"/>
      <x:c r="U496" s="190"/>
      <x:c r="V496" s="212"/>
      <x:c r="W496" s="212"/>
      <x:c r="X496" s="200"/>
      <x:c r="Y496" s="192"/>
      <x:c r="Z496" s="214"/>
      <x:c r="AA496" s="214"/>
      <x:c r="AB496" s="192"/>
      <x:c r="AC496" s="194"/>
      <x:c r="AD496" s="186" t="str">
        <x:f>IF(COUNTA(B496:H496)+COUNTA(J496:AC496)=0,"",IF(OR(B496="",D496="",E496="",G496="",J496=""),"缺少必填项",IF(H496&gt;G496,"完成数大于订单数",IF(AND(X496="",OR(Y496="排队",Y496="生产中",Y496="阻塞",Z496&lt;&gt;"",AA496&lt;&gt;"",AB496="是")),"已有排期字段缺少机台",IF(AND(X496&lt;&gt;"",Y496="待排"),"已填机台但状态为待排",IF(AND(Y496="生产中",AB496&lt;&gt;"是"),"需确认：生产中未锁定","可导入"))))))</x:f>
      </x:c>
    </x:row>
    <x:row r="497" ht="22" customHeight="1">
      <x:c r="A497" s="186" t="str">
        <x:f>IF(B497="","",ROW()-5)</x:f>
      </x:c>
      <x:c r="B497" s="196"/>
      <x:c r="C497" s="198"/>
      <x:c r="D497" s="196"/>
      <x:c r="E497" s="188"/>
      <x:c r="F497" s="198"/>
      <x:c r="G497" s="202"/>
      <x:c r="H497" s="204"/>
      <x:c r="I497" s="206" t="str">
        <x:f>IF(G497="","",MAX(G497-H497,0))</x:f>
      </x:c>
      <x:c r="J497" s="210"/>
      <x:c r="K497" s="190"/>
      <x:c r="L497" s="208"/>
      <x:c r="M497" s="208"/>
      <x:c r="N497" s="208"/>
      <x:c r="O497" s="208"/>
      <x:c r="P497" s="190"/>
      <x:c r="Q497" s="190"/>
      <x:c r="R497" s="190"/>
      <x:c r="S497" s="190"/>
      <x:c r="T497" s="190"/>
      <x:c r="U497" s="190"/>
      <x:c r="V497" s="212"/>
      <x:c r="W497" s="212"/>
      <x:c r="X497" s="200"/>
      <x:c r="Y497" s="192"/>
      <x:c r="Z497" s="214"/>
      <x:c r="AA497" s="214"/>
      <x:c r="AB497" s="192"/>
      <x:c r="AC497" s="194"/>
      <x:c r="AD497" s="186" t="str">
        <x:f>IF(COUNTA(B497:H497)+COUNTA(J497:AC497)=0,"",IF(OR(B497="",D497="",E497="",G497="",J497=""),"缺少必填项",IF(H497&gt;G497,"完成数大于订单数",IF(AND(X497="",OR(Y497="排队",Y497="生产中",Y497="阻塞",Z497&lt;&gt;"",AA497&lt;&gt;"",AB497="是")),"已有排期字段缺少机台",IF(AND(X497&lt;&gt;"",Y497="待排"),"已填机台但状态为待排",IF(AND(Y497="生产中",AB497&lt;&gt;"是"),"需确认：生产中未锁定","可导入"))))))</x:f>
      </x:c>
    </x:row>
    <x:row r="498" ht="22" customHeight="1">
      <x:c r="A498" s="186" t="str">
        <x:f>IF(B498="","",ROW()-5)</x:f>
      </x:c>
      <x:c r="B498" s="196"/>
      <x:c r="C498" s="198"/>
      <x:c r="D498" s="196"/>
      <x:c r="E498" s="188"/>
      <x:c r="F498" s="198"/>
      <x:c r="G498" s="202"/>
      <x:c r="H498" s="204"/>
      <x:c r="I498" s="206" t="str">
        <x:f>IF(G498="","",MAX(G498-H498,0))</x:f>
      </x:c>
      <x:c r="J498" s="210"/>
      <x:c r="K498" s="190"/>
      <x:c r="L498" s="208"/>
      <x:c r="M498" s="208"/>
      <x:c r="N498" s="208"/>
      <x:c r="O498" s="208"/>
      <x:c r="P498" s="190"/>
      <x:c r="Q498" s="190"/>
      <x:c r="R498" s="190"/>
      <x:c r="S498" s="190"/>
      <x:c r="T498" s="190"/>
      <x:c r="U498" s="190"/>
      <x:c r="V498" s="212"/>
      <x:c r="W498" s="212"/>
      <x:c r="X498" s="200"/>
      <x:c r="Y498" s="192"/>
      <x:c r="Z498" s="214"/>
      <x:c r="AA498" s="214"/>
      <x:c r="AB498" s="192"/>
      <x:c r="AC498" s="194"/>
      <x:c r="AD498" s="186" t="str">
        <x:f>IF(COUNTA(B498:H498)+COUNTA(J498:AC498)=0,"",IF(OR(B498="",D498="",E498="",G498="",J498=""),"缺少必填项",IF(H498&gt;G498,"完成数大于订单数",IF(AND(X498="",OR(Y498="排队",Y498="生产中",Y498="阻塞",Z498&lt;&gt;"",AA498&lt;&gt;"",AB498="是")),"已有排期字段缺少机台",IF(AND(X498&lt;&gt;"",Y498="待排"),"已填机台但状态为待排",IF(AND(Y498="生产中",AB498&lt;&gt;"是"),"需确认：生产中未锁定","可导入"))))))</x:f>
      </x:c>
    </x:row>
    <x:row r="499" ht="22" customHeight="1">
      <x:c r="A499" s="186" t="str">
        <x:f>IF(B499="","",ROW()-5)</x:f>
      </x:c>
      <x:c r="B499" s="196"/>
      <x:c r="C499" s="198"/>
      <x:c r="D499" s="196"/>
      <x:c r="E499" s="188"/>
      <x:c r="F499" s="198"/>
      <x:c r="G499" s="202"/>
      <x:c r="H499" s="204"/>
      <x:c r="I499" s="206" t="str">
        <x:f>IF(G499="","",MAX(G499-H499,0))</x:f>
      </x:c>
      <x:c r="J499" s="210"/>
      <x:c r="K499" s="190"/>
      <x:c r="L499" s="208"/>
      <x:c r="M499" s="208"/>
      <x:c r="N499" s="208"/>
      <x:c r="O499" s="208"/>
      <x:c r="P499" s="190"/>
      <x:c r="Q499" s="190"/>
      <x:c r="R499" s="190"/>
      <x:c r="S499" s="190"/>
      <x:c r="T499" s="190"/>
      <x:c r="U499" s="190"/>
      <x:c r="V499" s="212"/>
      <x:c r="W499" s="212"/>
      <x:c r="X499" s="200"/>
      <x:c r="Y499" s="192"/>
      <x:c r="Z499" s="214"/>
      <x:c r="AA499" s="214"/>
      <x:c r="AB499" s="192"/>
      <x:c r="AC499" s="194"/>
      <x:c r="AD499" s="186" t="str">
        <x:f>IF(COUNTA(B499:H499)+COUNTA(J499:AC499)=0,"",IF(OR(B499="",D499="",E499="",G499="",J499=""),"缺少必填项",IF(H499&gt;G499,"完成数大于订单数",IF(AND(X499="",OR(Y499="排队",Y499="生产中",Y499="阻塞",Z499&lt;&gt;"",AA499&lt;&gt;"",AB499="是")),"已有排期字段缺少机台",IF(AND(X499&lt;&gt;"",Y499="待排"),"已填机台但状态为待排",IF(AND(Y499="生产中",AB499&lt;&gt;"是"),"需确认：生产中未锁定","可导入"))))))</x:f>
      </x:c>
    </x:row>
    <x:row r="500" ht="22" customHeight="1">
      <x:c r="A500" s="186" t="str">
        <x:f>IF(B500="","",ROW()-5)</x:f>
      </x:c>
      <x:c r="B500" s="196"/>
      <x:c r="C500" s="198"/>
      <x:c r="D500" s="196"/>
      <x:c r="E500" s="188"/>
      <x:c r="F500" s="198"/>
      <x:c r="G500" s="202"/>
      <x:c r="H500" s="204"/>
      <x:c r="I500" s="206" t="str">
        <x:f>IF(G500="","",MAX(G500-H500,0))</x:f>
      </x:c>
      <x:c r="J500" s="210"/>
      <x:c r="K500" s="190"/>
      <x:c r="L500" s="208"/>
      <x:c r="M500" s="208"/>
      <x:c r="N500" s="208"/>
      <x:c r="O500" s="208"/>
      <x:c r="P500" s="190"/>
      <x:c r="Q500" s="190"/>
      <x:c r="R500" s="190"/>
      <x:c r="S500" s="190"/>
      <x:c r="T500" s="190"/>
      <x:c r="U500" s="190"/>
      <x:c r="V500" s="212"/>
      <x:c r="W500" s="212"/>
      <x:c r="X500" s="200"/>
      <x:c r="Y500" s="192"/>
      <x:c r="Z500" s="214"/>
      <x:c r="AA500" s="214"/>
      <x:c r="AB500" s="192"/>
      <x:c r="AC500" s="194"/>
      <x:c r="AD500" s="186" t="str">
        <x:f>IF(COUNTA(B500:H500)+COUNTA(J500:AC500)=0,"",IF(OR(B500="",D500="",E500="",G500="",J500=""),"缺少必填项",IF(H500&gt;G500,"完成数大于订单数",IF(AND(X500="",OR(Y500="排队",Y500="生产中",Y500="阻塞",Z500&lt;&gt;"",AA500&lt;&gt;"",AB500="是")),"已有排期字段缺少机台",IF(AND(X500&lt;&gt;"",Y500="待排"),"已填机台但状态为待排",IF(AND(Y500="生产中",AB500&lt;&gt;"是"),"需确认：生产中未锁定","可导入"))))))</x:f>
      </x:c>
    </x:row>
    <x:row r="501" ht="22" customHeight="1">
      <x:c r="A501" s="186" t="str">
        <x:f>IF(B501="","",ROW()-5)</x:f>
      </x:c>
      <x:c r="B501" s="196"/>
      <x:c r="C501" s="198"/>
      <x:c r="D501" s="196"/>
      <x:c r="E501" s="188"/>
      <x:c r="F501" s="198"/>
      <x:c r="G501" s="202"/>
      <x:c r="H501" s="204"/>
      <x:c r="I501" s="206" t="str">
        <x:f>IF(G501="","",MAX(G501-H501,0))</x:f>
      </x:c>
      <x:c r="J501" s="210"/>
      <x:c r="K501" s="190"/>
      <x:c r="L501" s="208"/>
      <x:c r="M501" s="208"/>
      <x:c r="N501" s="208"/>
      <x:c r="O501" s="208"/>
      <x:c r="P501" s="190"/>
      <x:c r="Q501" s="190"/>
      <x:c r="R501" s="190"/>
      <x:c r="S501" s="190"/>
      <x:c r="T501" s="190"/>
      <x:c r="U501" s="190"/>
      <x:c r="V501" s="212"/>
      <x:c r="W501" s="212"/>
      <x:c r="X501" s="200"/>
      <x:c r="Y501" s="192"/>
      <x:c r="Z501" s="214"/>
      <x:c r="AA501" s="214"/>
      <x:c r="AB501" s="192"/>
      <x:c r="AC501" s="194"/>
      <x:c r="AD501" s="186" t="str">
        <x:f>IF(COUNTA(B501:H501)+COUNTA(J501:AC501)=0,"",IF(OR(B501="",D501="",E501="",G501="",J501=""),"缺少必填项",IF(H501&gt;G501,"完成数大于订单数",IF(AND(X501="",OR(Y501="排队",Y501="生产中",Y501="阻塞",Z501&lt;&gt;"",AA501&lt;&gt;"",AB501="是")),"已有排期字段缺少机台",IF(AND(X501&lt;&gt;"",Y501="待排"),"已填机台但状态为待排",IF(AND(Y501="生产中",AB501&lt;&gt;"是"),"需确认：生产中未锁定","可导入"))))))</x:f>
      </x:c>
    </x:row>
    <x:row r="502" ht="22" customHeight="1">
      <x:c r="A502" s="186" t="str">
        <x:f>IF(B502="","",ROW()-5)</x:f>
      </x:c>
      <x:c r="B502" s="196"/>
      <x:c r="C502" s="198"/>
      <x:c r="D502" s="196"/>
      <x:c r="E502" s="188"/>
      <x:c r="F502" s="198"/>
      <x:c r="G502" s="202"/>
      <x:c r="H502" s="204"/>
      <x:c r="I502" s="206" t="str">
        <x:f>IF(G502="","",MAX(G502-H502,0))</x:f>
      </x:c>
      <x:c r="J502" s="210"/>
      <x:c r="K502" s="190"/>
      <x:c r="L502" s="208"/>
      <x:c r="M502" s="208"/>
      <x:c r="N502" s="208"/>
      <x:c r="O502" s="208"/>
      <x:c r="P502" s="190"/>
      <x:c r="Q502" s="190"/>
      <x:c r="R502" s="190"/>
      <x:c r="S502" s="190"/>
      <x:c r="T502" s="190"/>
      <x:c r="U502" s="190"/>
      <x:c r="V502" s="212"/>
      <x:c r="W502" s="212"/>
      <x:c r="X502" s="200"/>
      <x:c r="Y502" s="192"/>
      <x:c r="Z502" s="214"/>
      <x:c r="AA502" s="214"/>
      <x:c r="AB502" s="192"/>
      <x:c r="AC502" s="194"/>
      <x:c r="AD502" s="186" t="str">
        <x:f>IF(COUNTA(B502:H502)+COUNTA(J502:AC502)=0,"",IF(OR(B502="",D502="",E502="",G502="",J502=""),"缺少必填项",IF(H502&gt;G502,"完成数大于订单数",IF(AND(X502="",OR(Y502="排队",Y502="生产中",Y502="阻塞",Z502&lt;&gt;"",AA502&lt;&gt;"",AB502="是")),"已有排期字段缺少机台",IF(AND(X502&lt;&gt;"",Y502="待排"),"已填机台但状态为待排",IF(AND(Y502="生产中",AB502&lt;&gt;"是"),"需确认：生产中未锁定","可导入"))))))</x:f>
      </x:c>
    </x:row>
    <x:row r="503" ht="22" customHeight="1">
      <x:c r="A503" s="186" t="str">
        <x:f>IF(B503="","",ROW()-5)</x:f>
      </x:c>
      <x:c r="B503" s="196"/>
      <x:c r="C503" s="198"/>
      <x:c r="D503" s="196"/>
      <x:c r="E503" s="188"/>
      <x:c r="F503" s="198"/>
      <x:c r="G503" s="202"/>
      <x:c r="H503" s="204"/>
      <x:c r="I503" s="206" t="str">
        <x:f>IF(G503="","",MAX(G503-H503,0))</x:f>
      </x:c>
      <x:c r="J503" s="210"/>
      <x:c r="K503" s="190"/>
      <x:c r="L503" s="208"/>
      <x:c r="M503" s="208"/>
      <x:c r="N503" s="208"/>
      <x:c r="O503" s="208"/>
      <x:c r="P503" s="190"/>
      <x:c r="Q503" s="190"/>
      <x:c r="R503" s="190"/>
      <x:c r="S503" s="190"/>
      <x:c r="T503" s="190"/>
      <x:c r="U503" s="190"/>
      <x:c r="V503" s="212"/>
      <x:c r="W503" s="212"/>
      <x:c r="X503" s="200"/>
      <x:c r="Y503" s="192"/>
      <x:c r="Z503" s="214"/>
      <x:c r="AA503" s="214"/>
      <x:c r="AB503" s="192"/>
      <x:c r="AC503" s="194"/>
      <x:c r="AD503" s="186" t="str">
        <x:f>IF(COUNTA(B503:H503)+COUNTA(J503:AC503)=0,"",IF(OR(B503="",D503="",E503="",G503="",J503=""),"缺少必填项",IF(H503&gt;G503,"完成数大于订单数",IF(AND(X503="",OR(Y503="排队",Y503="生产中",Y503="阻塞",Z503&lt;&gt;"",AA503&lt;&gt;"",AB503="是")),"已有排期字段缺少机台",IF(AND(X503&lt;&gt;"",Y503="待排"),"已填机台但状态为待排",IF(AND(Y503="生产中",AB503&lt;&gt;"是"),"需确认：生产中未锁定","可导入"))))))</x:f>
      </x:c>
    </x:row>
    <x:row r="504" ht="22" customHeight="1">
      <x:c r="A504" s="186" t="str">
        <x:f>IF(B504="","",ROW()-5)</x:f>
      </x:c>
      <x:c r="B504" s="196"/>
      <x:c r="C504" s="198"/>
      <x:c r="D504" s="196"/>
      <x:c r="E504" s="188"/>
      <x:c r="F504" s="198"/>
      <x:c r="G504" s="202"/>
      <x:c r="H504" s="204"/>
      <x:c r="I504" s="206" t="str">
        <x:f>IF(G504="","",MAX(G504-H504,0))</x:f>
      </x:c>
      <x:c r="J504" s="210"/>
      <x:c r="K504" s="190"/>
      <x:c r="L504" s="208"/>
      <x:c r="M504" s="208"/>
      <x:c r="N504" s="208"/>
      <x:c r="O504" s="208"/>
      <x:c r="P504" s="190"/>
      <x:c r="Q504" s="190"/>
      <x:c r="R504" s="190"/>
      <x:c r="S504" s="190"/>
      <x:c r="T504" s="190"/>
      <x:c r="U504" s="190"/>
      <x:c r="V504" s="212"/>
      <x:c r="W504" s="212"/>
      <x:c r="X504" s="200"/>
      <x:c r="Y504" s="192"/>
      <x:c r="Z504" s="214"/>
      <x:c r="AA504" s="214"/>
      <x:c r="AB504" s="192"/>
      <x:c r="AC504" s="194"/>
      <x:c r="AD504" s="186" t="str">
        <x:f>IF(COUNTA(B504:H504)+COUNTA(J504:AC504)=0,"",IF(OR(B504="",D504="",E504="",G504="",J504=""),"缺少必填项",IF(H504&gt;G504,"完成数大于订单数",IF(AND(X504="",OR(Y504="排队",Y504="生产中",Y504="阻塞",Z504&lt;&gt;"",AA504&lt;&gt;"",AB504="是")),"已有排期字段缺少机台",IF(AND(X504&lt;&gt;"",Y504="待排"),"已填机台但状态为待排",IF(AND(Y504="生产中",AB504&lt;&gt;"是"),"需确认：生产中未锁定","可导入"))))))</x:f>
      </x:c>
    </x:row>
    <x:row r="505" ht="22" customHeight="1">
      <x:c r="A505" s="186" t="str">
        <x:f>IF(B505="","",ROW()-5)</x:f>
      </x:c>
      <x:c r="B505" s="196"/>
      <x:c r="C505" s="198"/>
      <x:c r="D505" s="196"/>
      <x:c r="E505" s="188"/>
      <x:c r="F505" s="198"/>
      <x:c r="G505" s="202"/>
      <x:c r="H505" s="204"/>
      <x:c r="I505" s="206" t="str">
        <x:f>IF(G505="","",MAX(G505-H505,0))</x:f>
      </x:c>
      <x:c r="J505" s="210"/>
      <x:c r="K505" s="190"/>
      <x:c r="L505" s="208"/>
      <x:c r="M505" s="208"/>
      <x:c r="N505" s="208"/>
      <x:c r="O505" s="208"/>
      <x:c r="P505" s="190"/>
      <x:c r="Q505" s="190"/>
      <x:c r="R505" s="190"/>
      <x:c r="S505" s="190"/>
      <x:c r="T505" s="190"/>
      <x:c r="U505" s="190"/>
      <x:c r="V505" s="212"/>
      <x:c r="W505" s="212"/>
      <x:c r="X505" s="200"/>
      <x:c r="Y505" s="192"/>
      <x:c r="Z505" s="214"/>
      <x:c r="AA505" s="214"/>
      <x:c r="AB505" s="192"/>
      <x:c r="AC505" s="194"/>
      <x:c r="AD505" s="186" t="str">
        <x:f>IF(COUNTA(B505:H505)+COUNTA(J505:AC505)=0,"",IF(OR(B505="",D505="",E505="",G505="",J505=""),"缺少必填项",IF(H505&gt;G505,"完成数大于订单数",IF(AND(X505="",OR(Y505="排队",Y505="生产中",Y505="阻塞",Z505&lt;&gt;"",AA505&lt;&gt;"",AB505="是")),"已有排期字段缺少机台",IF(AND(X505&lt;&gt;"",Y505="待排"),"已填机台但状态为待排",IF(AND(Y505="生产中",AB505&lt;&gt;"是"),"需确认：生产中未锁定","可导入"))))))</x:f>
      </x:c>
    </x:row>
    <x:row r="506" ht="22" customHeight="1">
      <x:c r="A506" s="186" t="str">
        <x:f>IF(B506="","",ROW()-5)</x:f>
      </x:c>
      <x:c r="B506" s="196"/>
      <x:c r="C506" s="198"/>
      <x:c r="D506" s="196"/>
      <x:c r="E506" s="188"/>
      <x:c r="F506" s="198"/>
      <x:c r="G506" s="202"/>
      <x:c r="H506" s="204"/>
      <x:c r="I506" s="206" t="str">
        <x:f>IF(G506="","",MAX(G506-H506,0))</x:f>
      </x:c>
      <x:c r="J506" s="210"/>
      <x:c r="K506" s="190"/>
      <x:c r="L506" s="208"/>
      <x:c r="M506" s="208"/>
      <x:c r="N506" s="208"/>
      <x:c r="O506" s="208"/>
      <x:c r="P506" s="190"/>
      <x:c r="Q506" s="190"/>
      <x:c r="R506" s="190"/>
      <x:c r="S506" s="190"/>
      <x:c r="T506" s="190"/>
      <x:c r="U506" s="190"/>
      <x:c r="V506" s="212"/>
      <x:c r="W506" s="212"/>
      <x:c r="X506" s="200"/>
      <x:c r="Y506" s="192"/>
      <x:c r="Z506" s="214"/>
      <x:c r="AA506" s="214"/>
      <x:c r="AB506" s="192"/>
      <x:c r="AC506" s="194"/>
      <x:c r="AD506" s="186" t="str">
        <x:f>IF(COUNTA(B506:H506)+COUNTA(J506:AC506)=0,"",IF(OR(B506="",D506="",E506="",G506="",J506=""),"缺少必填项",IF(H506&gt;G506,"完成数大于订单数",IF(AND(X506="",OR(Y506="排队",Y506="生产中",Y506="阻塞",Z506&lt;&gt;"",AA506&lt;&gt;"",AB506="是")),"已有排期字段缺少机台",IF(AND(X506&lt;&gt;"",Y506="待排"),"已填机台但状态为待排",IF(AND(Y506="生产中",AB506&lt;&gt;"是"),"需确认：生产中未锁定","可导入"))))))</x:f>
      </x:c>
    </x:row>
    <x:row r="507" ht="22" customHeight="1">
      <x:c r="A507" s="186" t="str">
        <x:f>IF(B507="","",ROW()-5)</x:f>
      </x:c>
      <x:c r="B507" s="196"/>
      <x:c r="C507" s="198"/>
      <x:c r="D507" s="196"/>
      <x:c r="E507" s="188"/>
      <x:c r="F507" s="198"/>
      <x:c r="G507" s="202"/>
      <x:c r="H507" s="204"/>
      <x:c r="I507" s="206" t="str">
        <x:f>IF(G507="","",MAX(G507-H507,0))</x:f>
      </x:c>
      <x:c r="J507" s="210"/>
      <x:c r="K507" s="190"/>
      <x:c r="L507" s="208"/>
      <x:c r="M507" s="208"/>
      <x:c r="N507" s="208"/>
      <x:c r="O507" s="208"/>
      <x:c r="P507" s="190"/>
      <x:c r="Q507" s="190"/>
      <x:c r="R507" s="190"/>
      <x:c r="S507" s="190"/>
      <x:c r="T507" s="190"/>
      <x:c r="U507" s="190"/>
      <x:c r="V507" s="212"/>
      <x:c r="W507" s="212"/>
      <x:c r="X507" s="200"/>
      <x:c r="Y507" s="192"/>
      <x:c r="Z507" s="214"/>
      <x:c r="AA507" s="214"/>
      <x:c r="AB507" s="192"/>
      <x:c r="AC507" s="194"/>
      <x:c r="AD507" s="186" t="str">
        <x:f>IF(COUNTA(B507:H507)+COUNTA(J507:AC507)=0,"",IF(OR(B507="",D507="",E507="",G507="",J507=""),"缺少必填项",IF(H507&gt;G507,"完成数大于订单数",IF(AND(X507="",OR(Y507="排队",Y507="生产中",Y507="阻塞",Z507&lt;&gt;"",AA507&lt;&gt;"",AB507="是")),"已有排期字段缺少机台",IF(AND(X507&lt;&gt;"",Y507="待排"),"已填机台但状态为待排",IF(AND(Y507="生产中",AB507&lt;&gt;"是"),"需确认：生产中未锁定","可导入"))))))</x:f>
      </x:c>
    </x:row>
    <x:row r="508" ht="22" customHeight="1">
      <x:c r="A508" s="186" t="str">
        <x:f>IF(B508="","",ROW()-5)</x:f>
      </x:c>
      <x:c r="B508" s="196"/>
      <x:c r="C508" s="198"/>
      <x:c r="D508" s="196"/>
      <x:c r="E508" s="188"/>
      <x:c r="F508" s="198"/>
      <x:c r="G508" s="202"/>
      <x:c r="H508" s="204"/>
      <x:c r="I508" s="206" t="str">
        <x:f>IF(G508="","",MAX(G508-H508,0))</x:f>
      </x:c>
      <x:c r="J508" s="210"/>
      <x:c r="K508" s="190"/>
      <x:c r="L508" s="208"/>
      <x:c r="M508" s="208"/>
      <x:c r="N508" s="208"/>
      <x:c r="O508" s="208"/>
      <x:c r="P508" s="190"/>
      <x:c r="Q508" s="190"/>
      <x:c r="R508" s="190"/>
      <x:c r="S508" s="190"/>
      <x:c r="T508" s="190"/>
      <x:c r="U508" s="190"/>
      <x:c r="V508" s="212"/>
      <x:c r="W508" s="212"/>
      <x:c r="X508" s="200"/>
      <x:c r="Y508" s="192"/>
      <x:c r="Z508" s="214"/>
      <x:c r="AA508" s="214"/>
      <x:c r="AB508" s="192"/>
      <x:c r="AC508" s="194"/>
      <x:c r="AD508" s="186" t="str">
        <x:f>IF(COUNTA(B508:H508)+COUNTA(J508:AC508)=0,"",IF(OR(B508="",D508="",E508="",G508="",J508=""),"缺少必填项",IF(H508&gt;G508,"完成数大于订单数",IF(AND(X508="",OR(Y508="排队",Y508="生产中",Y508="阻塞",Z508&lt;&gt;"",AA508&lt;&gt;"",AB508="是")),"已有排期字段缺少机台",IF(AND(X508&lt;&gt;"",Y508="待排"),"已填机台但状态为待排",IF(AND(Y508="生产中",AB508&lt;&gt;"是"),"需确认：生产中未锁定","可导入"))))))</x:f>
      </x:c>
    </x:row>
    <x:row r="509" ht="22" customHeight="1">
      <x:c r="A509" s="186" t="str">
        <x:f>IF(B509="","",ROW()-5)</x:f>
      </x:c>
      <x:c r="B509" s="196"/>
      <x:c r="C509" s="198"/>
      <x:c r="D509" s="196"/>
      <x:c r="E509" s="188"/>
      <x:c r="F509" s="198"/>
      <x:c r="G509" s="202"/>
      <x:c r="H509" s="204"/>
      <x:c r="I509" s="206" t="str">
        <x:f>IF(G509="","",MAX(G509-H509,0))</x:f>
      </x:c>
      <x:c r="J509" s="210"/>
      <x:c r="K509" s="190"/>
      <x:c r="L509" s="208"/>
      <x:c r="M509" s="208"/>
      <x:c r="N509" s="208"/>
      <x:c r="O509" s="208"/>
      <x:c r="P509" s="190"/>
      <x:c r="Q509" s="190"/>
      <x:c r="R509" s="190"/>
      <x:c r="S509" s="190"/>
      <x:c r="T509" s="190"/>
      <x:c r="U509" s="190"/>
      <x:c r="V509" s="212"/>
      <x:c r="W509" s="212"/>
      <x:c r="X509" s="200"/>
      <x:c r="Y509" s="192"/>
      <x:c r="Z509" s="214"/>
      <x:c r="AA509" s="214"/>
      <x:c r="AB509" s="192"/>
      <x:c r="AC509" s="194"/>
      <x:c r="AD509" s="186" t="str">
        <x:f>IF(COUNTA(B509:H509)+COUNTA(J509:AC509)=0,"",IF(OR(B509="",D509="",E509="",G509="",J509=""),"缺少必填项",IF(H509&gt;G509,"完成数大于订单数",IF(AND(X509="",OR(Y509="排队",Y509="生产中",Y509="阻塞",Z509&lt;&gt;"",AA509&lt;&gt;"",AB509="是")),"已有排期字段缺少机台",IF(AND(X509&lt;&gt;"",Y509="待排"),"已填机台但状态为待排",IF(AND(Y509="生产中",AB509&lt;&gt;"是"),"需确认：生产中未锁定","可导入"))))))</x:f>
      </x:c>
    </x:row>
    <x:row r="510" ht="22" customHeight="1">
      <x:c r="A510" s="186" t="str">
        <x:f>IF(B510="","",ROW()-5)</x:f>
      </x:c>
      <x:c r="B510" s="196"/>
      <x:c r="C510" s="198"/>
      <x:c r="D510" s="196"/>
      <x:c r="E510" s="188"/>
      <x:c r="F510" s="198"/>
      <x:c r="G510" s="202"/>
      <x:c r="H510" s="204"/>
      <x:c r="I510" s="206" t="str">
        <x:f>IF(G510="","",MAX(G510-H510,0))</x:f>
      </x:c>
      <x:c r="J510" s="210"/>
      <x:c r="K510" s="190"/>
      <x:c r="L510" s="208"/>
      <x:c r="M510" s="208"/>
      <x:c r="N510" s="208"/>
      <x:c r="O510" s="208"/>
      <x:c r="P510" s="190"/>
      <x:c r="Q510" s="190"/>
      <x:c r="R510" s="190"/>
      <x:c r="S510" s="190"/>
      <x:c r="T510" s="190"/>
      <x:c r="U510" s="190"/>
      <x:c r="V510" s="212"/>
      <x:c r="W510" s="212"/>
      <x:c r="X510" s="200"/>
      <x:c r="Y510" s="192"/>
      <x:c r="Z510" s="214"/>
      <x:c r="AA510" s="214"/>
      <x:c r="AB510" s="192"/>
      <x:c r="AC510" s="194"/>
      <x:c r="AD510" s="186" t="str">
        <x:f>IF(COUNTA(B510:H510)+COUNTA(J510:AC510)=0,"",IF(OR(B510="",D510="",E510="",G510="",J510=""),"缺少必填项",IF(H510&gt;G510,"完成数大于订单数",IF(AND(X510="",OR(Y510="排队",Y510="生产中",Y510="阻塞",Z510&lt;&gt;"",AA510&lt;&gt;"",AB510="是")),"已有排期字段缺少机台",IF(AND(X510&lt;&gt;"",Y510="待排"),"已填机台但状态为待排",IF(AND(Y510="生产中",AB510&lt;&gt;"是"),"需确认：生产中未锁定","可导入"))))))</x:f>
      </x:c>
    </x:row>
    <x:row r="511" ht="22" customHeight="1">
      <x:c r="A511" s="186" t="str">
        <x:f>IF(B511="","",ROW()-5)</x:f>
      </x:c>
      <x:c r="B511" s="196"/>
      <x:c r="C511" s="198"/>
      <x:c r="D511" s="196"/>
      <x:c r="E511" s="188"/>
      <x:c r="F511" s="198"/>
      <x:c r="G511" s="202"/>
      <x:c r="H511" s="204"/>
      <x:c r="I511" s="206" t="str">
        <x:f>IF(G511="","",MAX(G511-H511,0))</x:f>
      </x:c>
      <x:c r="J511" s="210"/>
      <x:c r="K511" s="190"/>
      <x:c r="L511" s="208"/>
      <x:c r="M511" s="208"/>
      <x:c r="N511" s="208"/>
      <x:c r="O511" s="208"/>
      <x:c r="P511" s="190"/>
      <x:c r="Q511" s="190"/>
      <x:c r="R511" s="190"/>
      <x:c r="S511" s="190"/>
      <x:c r="T511" s="190"/>
      <x:c r="U511" s="190"/>
      <x:c r="V511" s="212"/>
      <x:c r="W511" s="212"/>
      <x:c r="X511" s="200"/>
      <x:c r="Y511" s="192"/>
      <x:c r="Z511" s="214"/>
      <x:c r="AA511" s="214"/>
      <x:c r="AB511" s="192"/>
      <x:c r="AC511" s="194"/>
      <x:c r="AD511" s="186" t="str">
        <x:f>IF(COUNTA(B511:H511)+COUNTA(J511:AC511)=0,"",IF(OR(B511="",D511="",E511="",G511="",J511=""),"缺少必填项",IF(H511&gt;G511,"完成数大于订单数",IF(AND(X511="",OR(Y511="排队",Y511="生产中",Y511="阻塞",Z511&lt;&gt;"",AA511&lt;&gt;"",AB511="是")),"已有排期字段缺少机台",IF(AND(X511&lt;&gt;"",Y511="待排"),"已填机台但状态为待排",IF(AND(Y511="生产中",AB511&lt;&gt;"是"),"需确认：生产中未锁定","可导入"))))))</x:f>
      </x:c>
    </x:row>
    <x:row r="512" ht="22" customHeight="1">
      <x:c r="A512" s="186" t="str">
        <x:f>IF(B512="","",ROW()-5)</x:f>
      </x:c>
      <x:c r="B512" s="196"/>
      <x:c r="C512" s="198"/>
      <x:c r="D512" s="196"/>
      <x:c r="E512" s="188"/>
      <x:c r="F512" s="198"/>
      <x:c r="G512" s="202"/>
      <x:c r="H512" s="204"/>
      <x:c r="I512" s="206" t="str">
        <x:f>IF(G512="","",MAX(G512-H512,0))</x:f>
      </x:c>
      <x:c r="J512" s="210"/>
      <x:c r="K512" s="190"/>
      <x:c r="L512" s="208"/>
      <x:c r="M512" s="208"/>
      <x:c r="N512" s="208"/>
      <x:c r="O512" s="208"/>
      <x:c r="P512" s="190"/>
      <x:c r="Q512" s="190"/>
      <x:c r="R512" s="190"/>
      <x:c r="S512" s="190"/>
      <x:c r="T512" s="190"/>
      <x:c r="U512" s="190"/>
      <x:c r="V512" s="212"/>
      <x:c r="W512" s="212"/>
      <x:c r="X512" s="200"/>
      <x:c r="Y512" s="192"/>
      <x:c r="Z512" s="214"/>
      <x:c r="AA512" s="214"/>
      <x:c r="AB512" s="192"/>
      <x:c r="AC512" s="194"/>
      <x:c r="AD512" s="186" t="str">
        <x:f>IF(COUNTA(B512:H512)+COUNTA(J512:AC512)=0,"",IF(OR(B512="",D512="",E512="",G512="",J512=""),"缺少必填项",IF(H512&gt;G512,"完成数大于订单数",IF(AND(X512="",OR(Y512="排队",Y512="生产中",Y512="阻塞",Z512&lt;&gt;"",AA512&lt;&gt;"",AB512="是")),"已有排期字段缺少机台",IF(AND(X512&lt;&gt;"",Y512="待排"),"已填机台但状态为待排",IF(AND(Y512="生产中",AB512&lt;&gt;"是"),"需确认：生产中未锁定","可导入"))))))</x:f>
      </x:c>
    </x:row>
    <x:row r="513" ht="22" customHeight="1">
      <x:c r="A513" s="186" t="str">
        <x:f>IF(B513="","",ROW()-5)</x:f>
      </x:c>
      <x:c r="B513" s="196"/>
      <x:c r="C513" s="198"/>
      <x:c r="D513" s="196"/>
      <x:c r="E513" s="188"/>
      <x:c r="F513" s="198"/>
      <x:c r="G513" s="202"/>
      <x:c r="H513" s="204"/>
      <x:c r="I513" s="206" t="str">
        <x:f>IF(G513="","",MAX(G513-H513,0))</x:f>
      </x:c>
      <x:c r="J513" s="210"/>
      <x:c r="K513" s="190"/>
      <x:c r="L513" s="208"/>
      <x:c r="M513" s="208"/>
      <x:c r="N513" s="208"/>
      <x:c r="O513" s="208"/>
      <x:c r="P513" s="190"/>
      <x:c r="Q513" s="190"/>
      <x:c r="R513" s="190"/>
      <x:c r="S513" s="190"/>
      <x:c r="T513" s="190"/>
      <x:c r="U513" s="190"/>
      <x:c r="V513" s="212"/>
      <x:c r="W513" s="212"/>
      <x:c r="X513" s="200"/>
      <x:c r="Y513" s="192"/>
      <x:c r="Z513" s="214"/>
      <x:c r="AA513" s="214"/>
      <x:c r="AB513" s="192"/>
      <x:c r="AC513" s="194"/>
      <x:c r="AD513" s="186" t="str">
        <x:f>IF(COUNTA(B513:H513)+COUNTA(J513:AC513)=0,"",IF(OR(B513="",D513="",E513="",G513="",J513=""),"缺少必填项",IF(H513&gt;G513,"完成数大于订单数",IF(AND(X513="",OR(Y513="排队",Y513="生产中",Y513="阻塞",Z513&lt;&gt;"",AA513&lt;&gt;"",AB513="是")),"已有排期字段缺少机台",IF(AND(X513&lt;&gt;"",Y513="待排"),"已填机台但状态为待排",IF(AND(Y513="生产中",AB513&lt;&gt;"是"),"需确认：生产中未锁定","可导入"))))))</x:f>
      </x:c>
    </x:row>
    <x:row r="514" ht="22" customHeight="1">
      <x:c r="A514" s="186" t="str">
        <x:f>IF(B514="","",ROW()-5)</x:f>
      </x:c>
      <x:c r="B514" s="196"/>
      <x:c r="C514" s="198"/>
      <x:c r="D514" s="196"/>
      <x:c r="E514" s="188"/>
      <x:c r="F514" s="198"/>
      <x:c r="G514" s="202"/>
      <x:c r="H514" s="204"/>
      <x:c r="I514" s="206" t="str">
        <x:f>IF(G514="","",MAX(G514-H514,0))</x:f>
      </x:c>
      <x:c r="J514" s="210"/>
      <x:c r="K514" s="190"/>
      <x:c r="L514" s="208"/>
      <x:c r="M514" s="208"/>
      <x:c r="N514" s="208"/>
      <x:c r="O514" s="208"/>
      <x:c r="P514" s="190"/>
      <x:c r="Q514" s="190"/>
      <x:c r="R514" s="190"/>
      <x:c r="S514" s="190"/>
      <x:c r="T514" s="190"/>
      <x:c r="U514" s="190"/>
      <x:c r="V514" s="212"/>
      <x:c r="W514" s="212"/>
      <x:c r="X514" s="200"/>
      <x:c r="Y514" s="192"/>
      <x:c r="Z514" s="214"/>
      <x:c r="AA514" s="214"/>
      <x:c r="AB514" s="192"/>
      <x:c r="AC514" s="194"/>
      <x:c r="AD514" s="186" t="str">
        <x:f>IF(COUNTA(B514:H514)+COUNTA(J514:AC514)=0,"",IF(OR(B514="",D514="",E514="",G514="",J514=""),"缺少必填项",IF(H514&gt;G514,"完成数大于订单数",IF(AND(X514="",OR(Y514="排队",Y514="生产中",Y514="阻塞",Z514&lt;&gt;"",AA514&lt;&gt;"",AB514="是")),"已有排期字段缺少机台",IF(AND(X514&lt;&gt;"",Y514="待排"),"已填机台但状态为待排",IF(AND(Y514="生产中",AB514&lt;&gt;"是"),"需确认：生产中未锁定","可导入"))))))</x:f>
      </x:c>
    </x:row>
    <x:row r="515" ht="22" customHeight="1">
      <x:c r="A515" s="186" t="str">
        <x:f>IF(B515="","",ROW()-5)</x:f>
      </x:c>
      <x:c r="B515" s="196"/>
      <x:c r="C515" s="198"/>
      <x:c r="D515" s="196"/>
      <x:c r="E515" s="188"/>
      <x:c r="F515" s="198"/>
      <x:c r="G515" s="202"/>
      <x:c r="H515" s="204"/>
      <x:c r="I515" s="206" t="str">
        <x:f>IF(G515="","",MAX(G515-H515,0))</x:f>
      </x:c>
      <x:c r="J515" s="210"/>
      <x:c r="K515" s="190"/>
      <x:c r="L515" s="208"/>
      <x:c r="M515" s="208"/>
      <x:c r="N515" s="208"/>
      <x:c r="O515" s="208"/>
      <x:c r="P515" s="190"/>
      <x:c r="Q515" s="190"/>
      <x:c r="R515" s="190"/>
      <x:c r="S515" s="190"/>
      <x:c r="T515" s="190"/>
      <x:c r="U515" s="190"/>
      <x:c r="V515" s="212"/>
      <x:c r="W515" s="212"/>
      <x:c r="X515" s="200"/>
      <x:c r="Y515" s="192"/>
      <x:c r="Z515" s="214"/>
      <x:c r="AA515" s="214"/>
      <x:c r="AB515" s="192"/>
      <x:c r="AC515" s="194"/>
      <x:c r="AD515" s="186" t="str">
        <x:f>IF(COUNTA(B515:H515)+COUNTA(J515:AC515)=0,"",IF(OR(B515="",D515="",E515="",G515="",J515=""),"缺少必填项",IF(H515&gt;G515,"完成数大于订单数",IF(AND(X515="",OR(Y515="排队",Y515="生产中",Y515="阻塞",Z515&lt;&gt;"",AA515&lt;&gt;"",AB515="是")),"已有排期字段缺少机台",IF(AND(X515&lt;&gt;"",Y515="待排"),"已填机台但状态为待排",IF(AND(Y515="生产中",AB515&lt;&gt;"是"),"需确认：生产中未锁定","可导入"))))))</x:f>
      </x:c>
    </x:row>
    <x:row r="516" ht="22" customHeight="1">
      <x:c r="A516" s="186" t="str">
        <x:f>IF(B516="","",ROW()-5)</x:f>
      </x:c>
      <x:c r="B516" s="196"/>
      <x:c r="C516" s="198"/>
      <x:c r="D516" s="196"/>
      <x:c r="E516" s="188"/>
      <x:c r="F516" s="198"/>
      <x:c r="G516" s="202"/>
      <x:c r="H516" s="204"/>
      <x:c r="I516" s="206" t="str">
        <x:f>IF(G516="","",MAX(G516-H516,0))</x:f>
      </x:c>
      <x:c r="J516" s="210"/>
      <x:c r="K516" s="190"/>
      <x:c r="L516" s="208"/>
      <x:c r="M516" s="208"/>
      <x:c r="N516" s="208"/>
      <x:c r="O516" s="208"/>
      <x:c r="P516" s="190"/>
      <x:c r="Q516" s="190"/>
      <x:c r="R516" s="190"/>
      <x:c r="S516" s="190"/>
      <x:c r="T516" s="190"/>
      <x:c r="U516" s="190"/>
      <x:c r="V516" s="212"/>
      <x:c r="W516" s="212"/>
      <x:c r="X516" s="200"/>
      <x:c r="Y516" s="192"/>
      <x:c r="Z516" s="214"/>
      <x:c r="AA516" s="214"/>
      <x:c r="AB516" s="192"/>
      <x:c r="AC516" s="194"/>
      <x:c r="AD516" s="186" t="str">
        <x:f>IF(COUNTA(B516:H516)+COUNTA(J516:AC516)=0,"",IF(OR(B516="",D516="",E516="",G516="",J516=""),"缺少必填项",IF(H516&gt;G516,"完成数大于订单数",IF(AND(X516="",OR(Y516="排队",Y516="生产中",Y516="阻塞",Z516&lt;&gt;"",AA516&lt;&gt;"",AB516="是")),"已有排期字段缺少机台",IF(AND(X516&lt;&gt;"",Y516="待排"),"已填机台但状态为待排",IF(AND(Y516="生产中",AB516&lt;&gt;"是"),"需确认：生产中未锁定","可导入"))))))</x:f>
      </x:c>
    </x:row>
    <x:row r="517" ht="22" customHeight="1">
      <x:c r="A517" s="186" t="str">
        <x:f>IF(B517="","",ROW()-5)</x:f>
      </x:c>
      <x:c r="B517" s="196"/>
      <x:c r="C517" s="198"/>
      <x:c r="D517" s="196"/>
      <x:c r="E517" s="188"/>
      <x:c r="F517" s="198"/>
      <x:c r="G517" s="202"/>
      <x:c r="H517" s="204"/>
      <x:c r="I517" s="206" t="str">
        <x:f>IF(G517="","",MAX(G517-H517,0))</x:f>
      </x:c>
      <x:c r="J517" s="210"/>
      <x:c r="K517" s="190"/>
      <x:c r="L517" s="208"/>
      <x:c r="M517" s="208"/>
      <x:c r="N517" s="208"/>
      <x:c r="O517" s="208"/>
      <x:c r="P517" s="190"/>
      <x:c r="Q517" s="190"/>
      <x:c r="R517" s="190"/>
      <x:c r="S517" s="190"/>
      <x:c r="T517" s="190"/>
      <x:c r="U517" s="190"/>
      <x:c r="V517" s="212"/>
      <x:c r="W517" s="212"/>
      <x:c r="X517" s="200"/>
      <x:c r="Y517" s="192"/>
      <x:c r="Z517" s="214"/>
      <x:c r="AA517" s="214"/>
      <x:c r="AB517" s="192"/>
      <x:c r="AC517" s="194"/>
      <x:c r="AD517" s="186" t="str">
        <x:f>IF(COUNTA(B517:H517)+COUNTA(J517:AC517)=0,"",IF(OR(B517="",D517="",E517="",G517="",J517=""),"缺少必填项",IF(H517&gt;G517,"完成数大于订单数",IF(AND(X517="",OR(Y517="排队",Y517="生产中",Y517="阻塞",Z517&lt;&gt;"",AA517&lt;&gt;"",AB517="是")),"已有排期字段缺少机台",IF(AND(X517&lt;&gt;"",Y517="待排"),"已填机台但状态为待排",IF(AND(Y517="生产中",AB517&lt;&gt;"是"),"需确认：生产中未锁定","可导入"))))))</x:f>
      </x:c>
    </x:row>
    <x:row r="518" ht="22" customHeight="1">
      <x:c r="A518" s="186" t="str">
        <x:f>IF(B518="","",ROW()-5)</x:f>
      </x:c>
      <x:c r="B518" s="196"/>
      <x:c r="C518" s="198"/>
      <x:c r="D518" s="196"/>
      <x:c r="E518" s="188"/>
      <x:c r="F518" s="198"/>
      <x:c r="G518" s="202"/>
      <x:c r="H518" s="204"/>
      <x:c r="I518" s="206" t="str">
        <x:f>IF(G518="","",MAX(G518-H518,0))</x:f>
      </x:c>
      <x:c r="J518" s="210"/>
      <x:c r="K518" s="190"/>
      <x:c r="L518" s="208"/>
      <x:c r="M518" s="208"/>
      <x:c r="N518" s="208"/>
      <x:c r="O518" s="208"/>
      <x:c r="P518" s="190"/>
      <x:c r="Q518" s="190"/>
      <x:c r="R518" s="190"/>
      <x:c r="S518" s="190"/>
      <x:c r="T518" s="190"/>
      <x:c r="U518" s="190"/>
      <x:c r="V518" s="212"/>
      <x:c r="W518" s="212"/>
      <x:c r="X518" s="200"/>
      <x:c r="Y518" s="192"/>
      <x:c r="Z518" s="214"/>
      <x:c r="AA518" s="214"/>
      <x:c r="AB518" s="192"/>
      <x:c r="AC518" s="194"/>
      <x:c r="AD518" s="186" t="str">
        <x:f>IF(COUNTA(B518:H518)+COUNTA(J518:AC518)=0,"",IF(OR(B518="",D518="",E518="",G518="",J518=""),"缺少必填项",IF(H518&gt;G518,"完成数大于订单数",IF(AND(X518="",OR(Y518="排队",Y518="生产中",Y518="阻塞",Z518&lt;&gt;"",AA518&lt;&gt;"",AB518="是")),"已有排期字段缺少机台",IF(AND(X518&lt;&gt;"",Y518="待排"),"已填机台但状态为待排",IF(AND(Y518="生产中",AB518&lt;&gt;"是"),"需确认：生产中未锁定","可导入"))))))</x:f>
      </x:c>
    </x:row>
    <x:row r="519" ht="22" customHeight="1">
      <x:c r="A519" s="186" t="str">
        <x:f>IF(B519="","",ROW()-5)</x:f>
      </x:c>
      <x:c r="B519" s="196"/>
      <x:c r="C519" s="198"/>
      <x:c r="D519" s="196"/>
      <x:c r="E519" s="188"/>
      <x:c r="F519" s="198"/>
      <x:c r="G519" s="202"/>
      <x:c r="H519" s="204"/>
      <x:c r="I519" s="206" t="str">
        <x:f>IF(G519="","",MAX(G519-H519,0))</x:f>
      </x:c>
      <x:c r="J519" s="210"/>
      <x:c r="K519" s="190"/>
      <x:c r="L519" s="208"/>
      <x:c r="M519" s="208"/>
      <x:c r="N519" s="208"/>
      <x:c r="O519" s="208"/>
      <x:c r="P519" s="190"/>
      <x:c r="Q519" s="190"/>
      <x:c r="R519" s="190"/>
      <x:c r="S519" s="190"/>
      <x:c r="T519" s="190"/>
      <x:c r="U519" s="190"/>
      <x:c r="V519" s="212"/>
      <x:c r="W519" s="212"/>
      <x:c r="X519" s="200"/>
      <x:c r="Y519" s="192"/>
      <x:c r="Z519" s="214"/>
      <x:c r="AA519" s="214"/>
      <x:c r="AB519" s="192"/>
      <x:c r="AC519" s="194"/>
      <x:c r="AD519" s="186" t="str">
        <x:f>IF(COUNTA(B519:H519)+COUNTA(J519:AC519)=0,"",IF(OR(B519="",D519="",E519="",G519="",J519=""),"缺少必填项",IF(H519&gt;G519,"完成数大于订单数",IF(AND(X519="",OR(Y519="排队",Y519="生产中",Y519="阻塞",Z519&lt;&gt;"",AA519&lt;&gt;"",AB519="是")),"已有排期字段缺少机台",IF(AND(X519&lt;&gt;"",Y519="待排"),"已填机台但状态为待排",IF(AND(Y519="生产中",AB519&lt;&gt;"是"),"需确认：生产中未锁定","可导入"))))))</x:f>
      </x:c>
    </x:row>
    <x:row r="520" ht="22" customHeight="1">
      <x:c r="A520" s="186" t="str">
        <x:f>IF(B520="","",ROW()-5)</x:f>
      </x:c>
      <x:c r="B520" s="196"/>
      <x:c r="C520" s="198"/>
      <x:c r="D520" s="196"/>
      <x:c r="E520" s="188"/>
      <x:c r="F520" s="198"/>
      <x:c r="G520" s="202"/>
      <x:c r="H520" s="204"/>
      <x:c r="I520" s="206" t="str">
        <x:f>IF(G520="","",MAX(G520-H520,0))</x:f>
      </x:c>
      <x:c r="J520" s="210"/>
      <x:c r="K520" s="190"/>
      <x:c r="L520" s="208"/>
      <x:c r="M520" s="208"/>
      <x:c r="N520" s="208"/>
      <x:c r="O520" s="208"/>
      <x:c r="P520" s="190"/>
      <x:c r="Q520" s="190"/>
      <x:c r="R520" s="190"/>
      <x:c r="S520" s="190"/>
      <x:c r="T520" s="190"/>
      <x:c r="U520" s="190"/>
      <x:c r="V520" s="212"/>
      <x:c r="W520" s="212"/>
      <x:c r="X520" s="200"/>
      <x:c r="Y520" s="192"/>
      <x:c r="Z520" s="214"/>
      <x:c r="AA520" s="214"/>
      <x:c r="AB520" s="192"/>
      <x:c r="AC520" s="194"/>
      <x:c r="AD520" s="186" t="str">
        <x:f>IF(COUNTA(B520:H520)+COUNTA(J520:AC520)=0,"",IF(OR(B520="",D520="",E520="",G520="",J520=""),"缺少必填项",IF(H520&gt;G520,"完成数大于订单数",IF(AND(X520="",OR(Y520="排队",Y520="生产中",Y520="阻塞",Z520&lt;&gt;"",AA520&lt;&gt;"",AB520="是")),"已有排期字段缺少机台",IF(AND(X520&lt;&gt;"",Y520="待排"),"已填机台但状态为待排",IF(AND(Y520="生产中",AB520&lt;&gt;"是"),"需确认：生产中未锁定","可导入"))))))</x:f>
      </x:c>
    </x:row>
    <x:row r="521" ht="22" customHeight="1">
      <x:c r="A521" s="186" t="str">
        <x:f>IF(B521="","",ROW()-5)</x:f>
      </x:c>
      <x:c r="B521" s="196"/>
      <x:c r="C521" s="198"/>
      <x:c r="D521" s="196"/>
      <x:c r="E521" s="188"/>
      <x:c r="F521" s="198"/>
      <x:c r="G521" s="202"/>
      <x:c r="H521" s="204"/>
      <x:c r="I521" s="206" t="str">
        <x:f>IF(G521="","",MAX(G521-H521,0))</x:f>
      </x:c>
      <x:c r="J521" s="210"/>
      <x:c r="K521" s="190"/>
      <x:c r="L521" s="208"/>
      <x:c r="M521" s="208"/>
      <x:c r="N521" s="208"/>
      <x:c r="O521" s="208"/>
      <x:c r="P521" s="190"/>
      <x:c r="Q521" s="190"/>
      <x:c r="R521" s="190"/>
      <x:c r="S521" s="190"/>
      <x:c r="T521" s="190"/>
      <x:c r="U521" s="190"/>
      <x:c r="V521" s="212"/>
      <x:c r="W521" s="212"/>
      <x:c r="X521" s="200"/>
      <x:c r="Y521" s="192"/>
      <x:c r="Z521" s="214"/>
      <x:c r="AA521" s="214"/>
      <x:c r="AB521" s="192"/>
      <x:c r="AC521" s="194"/>
      <x:c r="AD521" s="186" t="str">
        <x:f>IF(COUNTA(B521:H521)+COUNTA(J521:AC521)=0,"",IF(OR(B521="",D521="",E521="",G521="",J521=""),"缺少必填项",IF(H521&gt;G521,"完成数大于订单数",IF(AND(X521="",OR(Y521="排队",Y521="生产中",Y521="阻塞",Z521&lt;&gt;"",AA521&lt;&gt;"",AB521="是")),"已有排期字段缺少机台",IF(AND(X521&lt;&gt;"",Y521="待排"),"已填机台但状态为待排",IF(AND(Y521="生产中",AB521&lt;&gt;"是"),"需确认：生产中未锁定","可导入"))))))</x:f>
      </x:c>
    </x:row>
    <x:row r="522" ht="22" customHeight="1">
      <x:c r="A522" s="186" t="str">
        <x:f>IF(B522="","",ROW()-5)</x:f>
      </x:c>
      <x:c r="B522" s="196"/>
      <x:c r="C522" s="198"/>
      <x:c r="D522" s="196"/>
      <x:c r="E522" s="188"/>
      <x:c r="F522" s="198"/>
      <x:c r="G522" s="202"/>
      <x:c r="H522" s="204"/>
      <x:c r="I522" s="206" t="str">
        <x:f>IF(G522="","",MAX(G522-H522,0))</x:f>
      </x:c>
      <x:c r="J522" s="210"/>
      <x:c r="K522" s="190"/>
      <x:c r="L522" s="208"/>
      <x:c r="M522" s="208"/>
      <x:c r="N522" s="208"/>
      <x:c r="O522" s="208"/>
      <x:c r="P522" s="190"/>
      <x:c r="Q522" s="190"/>
      <x:c r="R522" s="190"/>
      <x:c r="S522" s="190"/>
      <x:c r="T522" s="190"/>
      <x:c r="U522" s="190"/>
      <x:c r="V522" s="212"/>
      <x:c r="W522" s="212"/>
      <x:c r="X522" s="200"/>
      <x:c r="Y522" s="192"/>
      <x:c r="Z522" s="214"/>
      <x:c r="AA522" s="214"/>
      <x:c r="AB522" s="192"/>
      <x:c r="AC522" s="194"/>
      <x:c r="AD522" s="186" t="str">
        <x:f>IF(COUNTA(B522:H522)+COUNTA(J522:AC522)=0,"",IF(OR(B522="",D522="",E522="",G522="",J522=""),"缺少必填项",IF(H522&gt;G522,"完成数大于订单数",IF(AND(X522="",OR(Y522="排队",Y522="生产中",Y522="阻塞",Z522&lt;&gt;"",AA522&lt;&gt;"",AB522="是")),"已有排期字段缺少机台",IF(AND(X522&lt;&gt;"",Y522="待排"),"已填机台但状态为待排",IF(AND(Y522="生产中",AB522&lt;&gt;"是"),"需确认：生产中未锁定","可导入"))))))</x:f>
      </x:c>
    </x:row>
    <x:row r="523" ht="22" customHeight="1">
      <x:c r="A523" s="186" t="str">
        <x:f>IF(B523="","",ROW()-5)</x:f>
      </x:c>
      <x:c r="B523" s="196"/>
      <x:c r="C523" s="198"/>
      <x:c r="D523" s="196"/>
      <x:c r="E523" s="188"/>
      <x:c r="F523" s="198"/>
      <x:c r="G523" s="202"/>
      <x:c r="H523" s="204"/>
      <x:c r="I523" s="206" t="str">
        <x:f>IF(G523="","",MAX(G523-H523,0))</x:f>
      </x:c>
      <x:c r="J523" s="210"/>
      <x:c r="K523" s="190"/>
      <x:c r="L523" s="208"/>
      <x:c r="M523" s="208"/>
      <x:c r="N523" s="208"/>
      <x:c r="O523" s="208"/>
      <x:c r="P523" s="190"/>
      <x:c r="Q523" s="190"/>
      <x:c r="R523" s="190"/>
      <x:c r="S523" s="190"/>
      <x:c r="T523" s="190"/>
      <x:c r="U523" s="190"/>
      <x:c r="V523" s="212"/>
      <x:c r="W523" s="212"/>
      <x:c r="X523" s="200"/>
      <x:c r="Y523" s="192"/>
      <x:c r="Z523" s="214"/>
      <x:c r="AA523" s="214"/>
      <x:c r="AB523" s="192"/>
      <x:c r="AC523" s="194"/>
      <x:c r="AD523" s="186" t="str">
        <x:f>IF(COUNTA(B523:H523)+COUNTA(J523:AC523)=0,"",IF(OR(B523="",D523="",E523="",G523="",J523=""),"缺少必填项",IF(H523&gt;G523,"完成数大于订单数",IF(AND(X523="",OR(Y523="排队",Y523="生产中",Y523="阻塞",Z523&lt;&gt;"",AA523&lt;&gt;"",AB523="是")),"已有排期字段缺少机台",IF(AND(X523&lt;&gt;"",Y523="待排"),"已填机台但状态为待排",IF(AND(Y523="生产中",AB523&lt;&gt;"是"),"需确认：生产中未锁定","可导入"))))))</x:f>
      </x:c>
    </x:row>
    <x:row r="524" ht="22" customHeight="1">
      <x:c r="A524" s="186" t="str">
        <x:f>IF(B524="","",ROW()-5)</x:f>
      </x:c>
      <x:c r="B524" s="196"/>
      <x:c r="C524" s="198"/>
      <x:c r="D524" s="196"/>
      <x:c r="E524" s="188"/>
      <x:c r="F524" s="198"/>
      <x:c r="G524" s="202"/>
      <x:c r="H524" s="204"/>
      <x:c r="I524" s="206" t="str">
        <x:f>IF(G524="","",MAX(G524-H524,0))</x:f>
      </x:c>
      <x:c r="J524" s="210"/>
      <x:c r="K524" s="190"/>
      <x:c r="L524" s="208"/>
      <x:c r="M524" s="208"/>
      <x:c r="N524" s="208"/>
      <x:c r="O524" s="208"/>
      <x:c r="P524" s="190"/>
      <x:c r="Q524" s="190"/>
      <x:c r="R524" s="190"/>
      <x:c r="S524" s="190"/>
      <x:c r="T524" s="190"/>
      <x:c r="U524" s="190"/>
      <x:c r="V524" s="212"/>
      <x:c r="W524" s="212"/>
      <x:c r="X524" s="200"/>
      <x:c r="Y524" s="192"/>
      <x:c r="Z524" s="214"/>
      <x:c r="AA524" s="214"/>
      <x:c r="AB524" s="192"/>
      <x:c r="AC524" s="194"/>
      <x:c r="AD524" s="186" t="str">
        <x:f>IF(COUNTA(B524:H524)+COUNTA(J524:AC524)=0,"",IF(OR(B524="",D524="",E524="",G524="",J524=""),"缺少必填项",IF(H524&gt;G524,"完成数大于订单数",IF(AND(X524="",OR(Y524="排队",Y524="生产中",Y524="阻塞",Z524&lt;&gt;"",AA524&lt;&gt;"",AB524="是")),"已有排期字段缺少机台",IF(AND(X524&lt;&gt;"",Y524="待排"),"已填机台但状态为待排",IF(AND(Y524="生产中",AB524&lt;&gt;"是"),"需确认：生产中未锁定","可导入"))))))</x:f>
      </x:c>
    </x:row>
    <x:row r="525" ht="22" customHeight="1">
      <x:c r="A525" s="186" t="str">
        <x:f>IF(B525="","",ROW()-5)</x:f>
      </x:c>
      <x:c r="B525" s="196"/>
      <x:c r="C525" s="198"/>
      <x:c r="D525" s="196"/>
      <x:c r="E525" s="188"/>
      <x:c r="F525" s="198"/>
      <x:c r="G525" s="202"/>
      <x:c r="H525" s="204"/>
      <x:c r="I525" s="206" t="str">
        <x:f>IF(G525="","",MAX(G525-H525,0))</x:f>
      </x:c>
      <x:c r="J525" s="210"/>
      <x:c r="K525" s="190"/>
      <x:c r="L525" s="208"/>
      <x:c r="M525" s="208"/>
      <x:c r="N525" s="208"/>
      <x:c r="O525" s="208"/>
      <x:c r="P525" s="190"/>
      <x:c r="Q525" s="190"/>
      <x:c r="R525" s="190"/>
      <x:c r="S525" s="190"/>
      <x:c r="T525" s="190"/>
      <x:c r="U525" s="190"/>
      <x:c r="V525" s="212"/>
      <x:c r="W525" s="212"/>
      <x:c r="X525" s="200"/>
      <x:c r="Y525" s="192"/>
      <x:c r="Z525" s="214"/>
      <x:c r="AA525" s="214"/>
      <x:c r="AB525" s="192"/>
      <x:c r="AC525" s="194"/>
      <x:c r="AD525" s="186" t="str">
        <x:f>IF(COUNTA(B525:H525)+COUNTA(J525:AC525)=0,"",IF(OR(B525="",D525="",E525="",G525="",J525=""),"缺少必填项",IF(H525&gt;G525,"完成数大于订单数",IF(AND(X525="",OR(Y525="排队",Y525="生产中",Y525="阻塞",Z525&lt;&gt;"",AA525&lt;&gt;"",AB525="是")),"已有排期字段缺少机台",IF(AND(X525&lt;&gt;"",Y525="待排"),"已填机台但状态为待排",IF(AND(Y525="生产中",AB525&lt;&gt;"是"),"需确认：生产中未锁定","可导入"))))))</x:f>
      </x:c>
    </x:row>
    <x:row r="526" ht="22" customHeight="1">
      <x:c r="A526" s="186" t="str">
        <x:f>IF(B526="","",ROW()-5)</x:f>
      </x:c>
      <x:c r="B526" s="196"/>
      <x:c r="C526" s="198"/>
      <x:c r="D526" s="196"/>
      <x:c r="E526" s="188"/>
      <x:c r="F526" s="198"/>
      <x:c r="G526" s="202"/>
      <x:c r="H526" s="204"/>
      <x:c r="I526" s="206" t="str">
        <x:f>IF(G526="","",MAX(G526-H526,0))</x:f>
      </x:c>
      <x:c r="J526" s="210"/>
      <x:c r="K526" s="190"/>
      <x:c r="L526" s="208"/>
      <x:c r="M526" s="208"/>
      <x:c r="N526" s="208"/>
      <x:c r="O526" s="208"/>
      <x:c r="P526" s="190"/>
      <x:c r="Q526" s="190"/>
      <x:c r="R526" s="190"/>
      <x:c r="S526" s="190"/>
      <x:c r="T526" s="190"/>
      <x:c r="U526" s="190"/>
      <x:c r="V526" s="212"/>
      <x:c r="W526" s="212"/>
      <x:c r="X526" s="200"/>
      <x:c r="Y526" s="192"/>
      <x:c r="Z526" s="214"/>
      <x:c r="AA526" s="214"/>
      <x:c r="AB526" s="192"/>
      <x:c r="AC526" s="194"/>
      <x:c r="AD526" s="186" t="str">
        <x:f>IF(COUNTA(B526:H526)+COUNTA(J526:AC526)=0,"",IF(OR(B526="",D526="",E526="",G526="",J526=""),"缺少必填项",IF(H526&gt;G526,"完成数大于订单数",IF(AND(X526="",OR(Y526="排队",Y526="生产中",Y526="阻塞",Z526&lt;&gt;"",AA526&lt;&gt;"",AB526="是")),"已有排期字段缺少机台",IF(AND(X526&lt;&gt;"",Y526="待排"),"已填机台但状态为待排",IF(AND(Y526="生产中",AB526&lt;&gt;"是"),"需确认：生产中未锁定","可导入"))))))</x:f>
      </x:c>
    </x:row>
    <x:row r="527" ht="22" customHeight="1">
      <x:c r="A527" s="186" t="str">
        <x:f>IF(B527="","",ROW()-5)</x:f>
      </x:c>
      <x:c r="B527" s="196"/>
      <x:c r="C527" s="198"/>
      <x:c r="D527" s="196"/>
      <x:c r="E527" s="188"/>
      <x:c r="F527" s="198"/>
      <x:c r="G527" s="202"/>
      <x:c r="H527" s="204"/>
      <x:c r="I527" s="206" t="str">
        <x:f>IF(G527="","",MAX(G527-H527,0))</x:f>
      </x:c>
      <x:c r="J527" s="210"/>
      <x:c r="K527" s="190"/>
      <x:c r="L527" s="208"/>
      <x:c r="M527" s="208"/>
      <x:c r="N527" s="208"/>
      <x:c r="O527" s="208"/>
      <x:c r="P527" s="190"/>
      <x:c r="Q527" s="190"/>
      <x:c r="R527" s="190"/>
      <x:c r="S527" s="190"/>
      <x:c r="T527" s="190"/>
      <x:c r="U527" s="190"/>
      <x:c r="V527" s="212"/>
      <x:c r="W527" s="212"/>
      <x:c r="X527" s="200"/>
      <x:c r="Y527" s="192"/>
      <x:c r="Z527" s="214"/>
      <x:c r="AA527" s="214"/>
      <x:c r="AB527" s="192"/>
      <x:c r="AC527" s="194"/>
      <x:c r="AD527" s="186" t="str">
        <x:f>IF(COUNTA(B527:H527)+COUNTA(J527:AC527)=0,"",IF(OR(B527="",D527="",E527="",G527="",J527=""),"缺少必填项",IF(H527&gt;G527,"完成数大于订单数",IF(AND(X527="",OR(Y527="排队",Y527="生产中",Y527="阻塞",Z527&lt;&gt;"",AA527&lt;&gt;"",AB527="是")),"已有排期字段缺少机台",IF(AND(X527&lt;&gt;"",Y527="待排"),"已填机台但状态为待排",IF(AND(Y527="生产中",AB527&lt;&gt;"是"),"需确认：生产中未锁定","可导入"))))))</x:f>
      </x:c>
    </x:row>
    <x:row r="528" ht="22" customHeight="1">
      <x:c r="A528" s="186" t="str">
        <x:f>IF(B528="","",ROW()-5)</x:f>
      </x:c>
      <x:c r="B528" s="196"/>
      <x:c r="C528" s="198"/>
      <x:c r="D528" s="196"/>
      <x:c r="E528" s="188"/>
      <x:c r="F528" s="198"/>
      <x:c r="G528" s="202"/>
      <x:c r="H528" s="204"/>
      <x:c r="I528" s="206" t="str">
        <x:f>IF(G528="","",MAX(G528-H528,0))</x:f>
      </x:c>
      <x:c r="J528" s="210"/>
      <x:c r="K528" s="190"/>
      <x:c r="L528" s="208"/>
      <x:c r="M528" s="208"/>
      <x:c r="N528" s="208"/>
      <x:c r="O528" s="208"/>
      <x:c r="P528" s="190"/>
      <x:c r="Q528" s="190"/>
      <x:c r="R528" s="190"/>
      <x:c r="S528" s="190"/>
      <x:c r="T528" s="190"/>
      <x:c r="U528" s="190"/>
      <x:c r="V528" s="212"/>
      <x:c r="W528" s="212"/>
      <x:c r="X528" s="200"/>
      <x:c r="Y528" s="192"/>
      <x:c r="Z528" s="214"/>
      <x:c r="AA528" s="214"/>
      <x:c r="AB528" s="192"/>
      <x:c r="AC528" s="194"/>
      <x:c r="AD528" s="186" t="str">
        <x:f>IF(COUNTA(B528:H528)+COUNTA(J528:AC528)=0,"",IF(OR(B528="",D528="",E528="",G528="",J528=""),"缺少必填项",IF(H528&gt;G528,"完成数大于订单数",IF(AND(X528="",OR(Y528="排队",Y528="生产中",Y528="阻塞",Z528&lt;&gt;"",AA528&lt;&gt;"",AB528="是")),"已有排期字段缺少机台",IF(AND(X528&lt;&gt;"",Y528="待排"),"已填机台但状态为待排",IF(AND(Y528="生产中",AB528&lt;&gt;"是"),"需确认：生产中未锁定","可导入"))))))</x:f>
      </x:c>
    </x:row>
    <x:row r="529" ht="22" customHeight="1">
      <x:c r="A529" s="186" t="str">
        <x:f>IF(B529="","",ROW()-5)</x:f>
      </x:c>
      <x:c r="B529" s="196"/>
      <x:c r="C529" s="198"/>
      <x:c r="D529" s="196"/>
      <x:c r="E529" s="188"/>
      <x:c r="F529" s="198"/>
      <x:c r="G529" s="202"/>
      <x:c r="H529" s="204"/>
      <x:c r="I529" s="206" t="str">
        <x:f>IF(G529="","",MAX(G529-H529,0))</x:f>
      </x:c>
      <x:c r="J529" s="210"/>
      <x:c r="K529" s="190"/>
      <x:c r="L529" s="208"/>
      <x:c r="M529" s="208"/>
      <x:c r="N529" s="208"/>
      <x:c r="O529" s="208"/>
      <x:c r="P529" s="190"/>
      <x:c r="Q529" s="190"/>
      <x:c r="R529" s="190"/>
      <x:c r="S529" s="190"/>
      <x:c r="T529" s="190"/>
      <x:c r="U529" s="190"/>
      <x:c r="V529" s="212"/>
      <x:c r="W529" s="212"/>
      <x:c r="X529" s="200"/>
      <x:c r="Y529" s="192"/>
      <x:c r="Z529" s="214"/>
      <x:c r="AA529" s="214"/>
      <x:c r="AB529" s="192"/>
      <x:c r="AC529" s="194"/>
      <x:c r="AD529" s="186" t="str">
        <x:f>IF(COUNTA(B529:H529)+COUNTA(J529:AC529)=0,"",IF(OR(B529="",D529="",E529="",G529="",J529=""),"缺少必填项",IF(H529&gt;G529,"完成数大于订单数",IF(AND(X529="",OR(Y529="排队",Y529="生产中",Y529="阻塞",Z529&lt;&gt;"",AA529&lt;&gt;"",AB529="是")),"已有排期字段缺少机台",IF(AND(X529&lt;&gt;"",Y529="待排"),"已填机台但状态为待排",IF(AND(Y529="生产中",AB529&lt;&gt;"是"),"需确认：生产中未锁定","可导入"))))))</x:f>
      </x:c>
    </x:row>
    <x:row r="530" ht="22" customHeight="1">
      <x:c r="A530" s="186" t="str">
        <x:f>IF(B530="","",ROW()-5)</x:f>
      </x:c>
      <x:c r="B530" s="196"/>
      <x:c r="C530" s="198"/>
      <x:c r="D530" s="196"/>
      <x:c r="E530" s="188"/>
      <x:c r="F530" s="198"/>
      <x:c r="G530" s="202"/>
      <x:c r="H530" s="204"/>
      <x:c r="I530" s="206" t="str">
        <x:f>IF(G530="","",MAX(G530-H530,0))</x:f>
      </x:c>
      <x:c r="J530" s="210"/>
      <x:c r="K530" s="190"/>
      <x:c r="L530" s="208"/>
      <x:c r="M530" s="208"/>
      <x:c r="N530" s="208"/>
      <x:c r="O530" s="208"/>
      <x:c r="P530" s="190"/>
      <x:c r="Q530" s="190"/>
      <x:c r="R530" s="190"/>
      <x:c r="S530" s="190"/>
      <x:c r="T530" s="190"/>
      <x:c r="U530" s="190"/>
      <x:c r="V530" s="212"/>
      <x:c r="W530" s="212"/>
      <x:c r="X530" s="200"/>
      <x:c r="Y530" s="192"/>
      <x:c r="Z530" s="214"/>
      <x:c r="AA530" s="214"/>
      <x:c r="AB530" s="192"/>
      <x:c r="AC530" s="194"/>
      <x:c r="AD530" s="186" t="str">
        <x:f>IF(COUNTA(B530:H530)+COUNTA(J530:AC530)=0,"",IF(OR(B530="",D530="",E530="",G530="",J530=""),"缺少必填项",IF(H530&gt;G530,"完成数大于订单数",IF(AND(X530="",OR(Y530="排队",Y530="生产中",Y530="阻塞",Z530&lt;&gt;"",AA530&lt;&gt;"",AB530="是")),"已有排期字段缺少机台",IF(AND(X530&lt;&gt;"",Y530="待排"),"已填机台但状态为待排",IF(AND(Y530="生产中",AB530&lt;&gt;"是"),"需确认：生产中未锁定","可导入"))))))</x:f>
      </x:c>
    </x:row>
    <x:row r="531" ht="22" customHeight="1">
      <x:c r="A531" s="186" t="str">
        <x:f>IF(B531="","",ROW()-5)</x:f>
      </x:c>
      <x:c r="B531" s="196"/>
      <x:c r="C531" s="198"/>
      <x:c r="D531" s="196"/>
      <x:c r="E531" s="188"/>
      <x:c r="F531" s="198"/>
      <x:c r="G531" s="202"/>
      <x:c r="H531" s="204"/>
      <x:c r="I531" s="206" t="str">
        <x:f>IF(G531="","",MAX(G531-H531,0))</x:f>
      </x:c>
      <x:c r="J531" s="210"/>
      <x:c r="K531" s="190"/>
      <x:c r="L531" s="208"/>
      <x:c r="M531" s="208"/>
      <x:c r="N531" s="208"/>
      <x:c r="O531" s="208"/>
      <x:c r="P531" s="190"/>
      <x:c r="Q531" s="190"/>
      <x:c r="R531" s="190"/>
      <x:c r="S531" s="190"/>
      <x:c r="T531" s="190"/>
      <x:c r="U531" s="190"/>
      <x:c r="V531" s="212"/>
      <x:c r="W531" s="212"/>
      <x:c r="X531" s="200"/>
      <x:c r="Y531" s="192"/>
      <x:c r="Z531" s="214"/>
      <x:c r="AA531" s="214"/>
      <x:c r="AB531" s="192"/>
      <x:c r="AC531" s="194"/>
      <x:c r="AD531" s="186" t="str">
        <x:f>IF(COUNTA(B531:H531)+COUNTA(J531:AC531)=0,"",IF(OR(B531="",D531="",E531="",G531="",J531=""),"缺少必填项",IF(H531&gt;G531,"完成数大于订单数",IF(AND(X531="",OR(Y531="排队",Y531="生产中",Y531="阻塞",Z531&lt;&gt;"",AA531&lt;&gt;"",AB531="是")),"已有排期字段缺少机台",IF(AND(X531&lt;&gt;"",Y531="待排"),"已填机台但状态为待排",IF(AND(Y531="生产中",AB531&lt;&gt;"是"),"需确认：生产中未锁定","可导入"))))))</x:f>
      </x:c>
    </x:row>
    <x:row r="532" ht="22" customHeight="1">
      <x:c r="A532" s="186" t="str">
        <x:f>IF(B532="","",ROW()-5)</x:f>
      </x:c>
      <x:c r="B532" s="196"/>
      <x:c r="C532" s="198"/>
      <x:c r="D532" s="196"/>
      <x:c r="E532" s="188"/>
      <x:c r="F532" s="198"/>
      <x:c r="G532" s="202"/>
      <x:c r="H532" s="204"/>
      <x:c r="I532" s="206" t="str">
        <x:f>IF(G532="","",MAX(G532-H532,0))</x:f>
      </x:c>
      <x:c r="J532" s="210"/>
      <x:c r="K532" s="190"/>
      <x:c r="L532" s="208"/>
      <x:c r="M532" s="208"/>
      <x:c r="N532" s="208"/>
      <x:c r="O532" s="208"/>
      <x:c r="P532" s="190"/>
      <x:c r="Q532" s="190"/>
      <x:c r="R532" s="190"/>
      <x:c r="S532" s="190"/>
      <x:c r="T532" s="190"/>
      <x:c r="U532" s="190"/>
      <x:c r="V532" s="212"/>
      <x:c r="W532" s="212"/>
      <x:c r="X532" s="200"/>
      <x:c r="Y532" s="192"/>
      <x:c r="Z532" s="214"/>
      <x:c r="AA532" s="214"/>
      <x:c r="AB532" s="192"/>
      <x:c r="AC532" s="194"/>
      <x:c r="AD532" s="186" t="str">
        <x:f>IF(COUNTA(B532:H532)+COUNTA(J532:AC532)=0,"",IF(OR(B532="",D532="",E532="",G532="",J532=""),"缺少必填项",IF(H532&gt;G532,"完成数大于订单数",IF(AND(X532="",OR(Y532="排队",Y532="生产中",Y532="阻塞",Z532&lt;&gt;"",AA532&lt;&gt;"",AB532="是")),"已有排期字段缺少机台",IF(AND(X532&lt;&gt;"",Y532="待排"),"已填机台但状态为待排",IF(AND(Y532="生产中",AB532&lt;&gt;"是"),"需确认：生产中未锁定","可导入"))))))</x:f>
      </x:c>
    </x:row>
    <x:row r="533" ht="22" customHeight="1">
      <x:c r="A533" s="186" t="str">
        <x:f>IF(B533="","",ROW()-5)</x:f>
      </x:c>
      <x:c r="B533" s="196"/>
      <x:c r="C533" s="198"/>
      <x:c r="D533" s="196"/>
      <x:c r="E533" s="188"/>
      <x:c r="F533" s="198"/>
      <x:c r="G533" s="202"/>
      <x:c r="H533" s="204"/>
      <x:c r="I533" s="206" t="str">
        <x:f>IF(G533="","",MAX(G533-H533,0))</x:f>
      </x:c>
      <x:c r="J533" s="210"/>
      <x:c r="K533" s="190"/>
      <x:c r="L533" s="208"/>
      <x:c r="M533" s="208"/>
      <x:c r="N533" s="208"/>
      <x:c r="O533" s="208"/>
      <x:c r="P533" s="190"/>
      <x:c r="Q533" s="190"/>
      <x:c r="R533" s="190"/>
      <x:c r="S533" s="190"/>
      <x:c r="T533" s="190"/>
      <x:c r="U533" s="190"/>
      <x:c r="V533" s="212"/>
      <x:c r="W533" s="212"/>
      <x:c r="X533" s="200"/>
      <x:c r="Y533" s="192"/>
      <x:c r="Z533" s="214"/>
      <x:c r="AA533" s="214"/>
      <x:c r="AB533" s="192"/>
      <x:c r="AC533" s="194"/>
      <x:c r="AD533" s="186" t="str">
        <x:f>IF(COUNTA(B533:H533)+COUNTA(J533:AC533)=0,"",IF(OR(B533="",D533="",E533="",G533="",J533=""),"缺少必填项",IF(H533&gt;G533,"完成数大于订单数",IF(AND(X533="",OR(Y533="排队",Y533="生产中",Y533="阻塞",Z533&lt;&gt;"",AA533&lt;&gt;"",AB533="是")),"已有排期字段缺少机台",IF(AND(X533&lt;&gt;"",Y533="待排"),"已填机台但状态为待排",IF(AND(Y533="生产中",AB533&lt;&gt;"是"),"需确认：生产中未锁定","可导入"))))))</x:f>
      </x:c>
    </x:row>
    <x:row r="534" ht="22" customHeight="1">
      <x:c r="A534" s="186" t="str">
        <x:f>IF(B534="","",ROW()-5)</x:f>
      </x:c>
      <x:c r="B534" s="196"/>
      <x:c r="C534" s="198"/>
      <x:c r="D534" s="196"/>
      <x:c r="E534" s="188"/>
      <x:c r="F534" s="198"/>
      <x:c r="G534" s="202"/>
      <x:c r="H534" s="204"/>
      <x:c r="I534" s="206" t="str">
        <x:f>IF(G534="","",MAX(G534-H534,0))</x:f>
      </x:c>
      <x:c r="J534" s="210"/>
      <x:c r="K534" s="190"/>
      <x:c r="L534" s="208"/>
      <x:c r="M534" s="208"/>
      <x:c r="N534" s="208"/>
      <x:c r="O534" s="208"/>
      <x:c r="P534" s="190"/>
      <x:c r="Q534" s="190"/>
      <x:c r="R534" s="190"/>
      <x:c r="S534" s="190"/>
      <x:c r="T534" s="190"/>
      <x:c r="U534" s="190"/>
      <x:c r="V534" s="212"/>
      <x:c r="W534" s="212"/>
      <x:c r="X534" s="200"/>
      <x:c r="Y534" s="192"/>
      <x:c r="Z534" s="214"/>
      <x:c r="AA534" s="214"/>
      <x:c r="AB534" s="192"/>
      <x:c r="AC534" s="194"/>
      <x:c r="AD534" s="186" t="str">
        <x:f>IF(COUNTA(B534:H534)+COUNTA(J534:AC534)=0,"",IF(OR(B534="",D534="",E534="",G534="",J534=""),"缺少必填项",IF(H534&gt;G534,"完成数大于订单数",IF(AND(X534="",OR(Y534="排队",Y534="生产中",Y534="阻塞",Z534&lt;&gt;"",AA534&lt;&gt;"",AB534="是")),"已有排期字段缺少机台",IF(AND(X534&lt;&gt;"",Y534="待排"),"已填机台但状态为待排",IF(AND(Y534="生产中",AB534&lt;&gt;"是"),"需确认：生产中未锁定","可导入"))))))</x:f>
      </x:c>
    </x:row>
    <x:row r="535" ht="22" customHeight="1">
      <x:c r="A535" s="186" t="str">
        <x:f>IF(B535="","",ROW()-5)</x:f>
      </x:c>
      <x:c r="B535" s="196"/>
      <x:c r="C535" s="198"/>
      <x:c r="D535" s="196"/>
      <x:c r="E535" s="188"/>
      <x:c r="F535" s="198"/>
      <x:c r="G535" s="202"/>
      <x:c r="H535" s="204"/>
      <x:c r="I535" s="206" t="str">
        <x:f>IF(G535="","",MAX(G535-H535,0))</x:f>
      </x:c>
      <x:c r="J535" s="210"/>
      <x:c r="K535" s="190"/>
      <x:c r="L535" s="208"/>
      <x:c r="M535" s="208"/>
      <x:c r="N535" s="208"/>
      <x:c r="O535" s="208"/>
      <x:c r="P535" s="190"/>
      <x:c r="Q535" s="190"/>
      <x:c r="R535" s="190"/>
      <x:c r="S535" s="190"/>
      <x:c r="T535" s="190"/>
      <x:c r="U535" s="190"/>
      <x:c r="V535" s="212"/>
      <x:c r="W535" s="212"/>
      <x:c r="X535" s="200"/>
      <x:c r="Y535" s="192"/>
      <x:c r="Z535" s="214"/>
      <x:c r="AA535" s="214"/>
      <x:c r="AB535" s="192"/>
      <x:c r="AC535" s="194"/>
      <x:c r="AD535" s="186" t="str">
        <x:f>IF(COUNTA(B535:H535)+COUNTA(J535:AC535)=0,"",IF(OR(B535="",D535="",E535="",G535="",J535=""),"缺少必填项",IF(H535&gt;G535,"完成数大于订单数",IF(AND(X535="",OR(Y535="排队",Y535="生产中",Y535="阻塞",Z535&lt;&gt;"",AA535&lt;&gt;"",AB535="是")),"已有排期字段缺少机台",IF(AND(X535&lt;&gt;"",Y535="待排"),"已填机台但状态为待排",IF(AND(Y535="生产中",AB535&lt;&gt;"是"),"需确认：生产中未锁定","可导入"))))))</x:f>
      </x:c>
    </x:row>
    <x:row r="536" ht="22" customHeight="1">
      <x:c r="A536" s="186" t="str">
        <x:f>IF(B536="","",ROW()-5)</x:f>
      </x:c>
      <x:c r="B536" s="196"/>
      <x:c r="C536" s="198"/>
      <x:c r="D536" s="196"/>
      <x:c r="E536" s="188"/>
      <x:c r="F536" s="198"/>
      <x:c r="G536" s="202"/>
      <x:c r="H536" s="204"/>
      <x:c r="I536" s="206" t="str">
        <x:f>IF(G536="","",MAX(G536-H536,0))</x:f>
      </x:c>
      <x:c r="J536" s="210"/>
      <x:c r="K536" s="190"/>
      <x:c r="L536" s="208"/>
      <x:c r="M536" s="208"/>
      <x:c r="N536" s="208"/>
      <x:c r="O536" s="208"/>
      <x:c r="P536" s="190"/>
      <x:c r="Q536" s="190"/>
      <x:c r="R536" s="190"/>
      <x:c r="S536" s="190"/>
      <x:c r="T536" s="190"/>
      <x:c r="U536" s="190"/>
      <x:c r="V536" s="212"/>
      <x:c r="W536" s="212"/>
      <x:c r="X536" s="200"/>
      <x:c r="Y536" s="192"/>
      <x:c r="Z536" s="214"/>
      <x:c r="AA536" s="214"/>
      <x:c r="AB536" s="192"/>
      <x:c r="AC536" s="194"/>
      <x:c r="AD536" s="186" t="str">
        <x:f>IF(COUNTA(B536:H536)+COUNTA(J536:AC536)=0,"",IF(OR(B536="",D536="",E536="",G536="",J536=""),"缺少必填项",IF(H536&gt;G536,"完成数大于订单数",IF(AND(X536="",OR(Y536="排队",Y536="生产中",Y536="阻塞",Z536&lt;&gt;"",AA536&lt;&gt;"",AB536="是")),"已有排期字段缺少机台",IF(AND(X536&lt;&gt;"",Y536="待排"),"已填机台但状态为待排",IF(AND(Y536="生产中",AB536&lt;&gt;"是"),"需确认：生产中未锁定","可导入"))))))</x:f>
      </x:c>
    </x:row>
    <x:row r="537" ht="22" customHeight="1">
      <x:c r="A537" s="186" t="str">
        <x:f>IF(B537="","",ROW()-5)</x:f>
      </x:c>
      <x:c r="B537" s="196"/>
      <x:c r="C537" s="198"/>
      <x:c r="D537" s="196"/>
      <x:c r="E537" s="188"/>
      <x:c r="F537" s="198"/>
      <x:c r="G537" s="202"/>
      <x:c r="H537" s="204"/>
      <x:c r="I537" s="206" t="str">
        <x:f>IF(G537="","",MAX(G537-H537,0))</x:f>
      </x:c>
      <x:c r="J537" s="210"/>
      <x:c r="K537" s="190"/>
      <x:c r="L537" s="208"/>
      <x:c r="M537" s="208"/>
      <x:c r="N537" s="208"/>
      <x:c r="O537" s="208"/>
      <x:c r="P537" s="190"/>
      <x:c r="Q537" s="190"/>
      <x:c r="R537" s="190"/>
      <x:c r="S537" s="190"/>
      <x:c r="T537" s="190"/>
      <x:c r="U537" s="190"/>
      <x:c r="V537" s="212"/>
      <x:c r="W537" s="212"/>
      <x:c r="X537" s="200"/>
      <x:c r="Y537" s="192"/>
      <x:c r="Z537" s="214"/>
      <x:c r="AA537" s="214"/>
      <x:c r="AB537" s="192"/>
      <x:c r="AC537" s="194"/>
      <x:c r="AD537" s="186" t="str">
        <x:f>IF(COUNTA(B537:H537)+COUNTA(J537:AC537)=0,"",IF(OR(B537="",D537="",E537="",G537="",J537=""),"缺少必填项",IF(H537&gt;G537,"完成数大于订单数",IF(AND(X537="",OR(Y537="排队",Y537="生产中",Y537="阻塞",Z537&lt;&gt;"",AA537&lt;&gt;"",AB537="是")),"已有排期字段缺少机台",IF(AND(X537&lt;&gt;"",Y537="待排"),"已填机台但状态为待排",IF(AND(Y537="生产中",AB537&lt;&gt;"是"),"需确认：生产中未锁定","可导入"))))))</x:f>
      </x:c>
    </x:row>
    <x:row r="538" ht="22" customHeight="1">
      <x:c r="A538" s="186" t="str">
        <x:f>IF(B538="","",ROW()-5)</x:f>
      </x:c>
      <x:c r="B538" s="196"/>
      <x:c r="C538" s="198"/>
      <x:c r="D538" s="196"/>
      <x:c r="E538" s="188"/>
      <x:c r="F538" s="198"/>
      <x:c r="G538" s="202"/>
      <x:c r="H538" s="204"/>
      <x:c r="I538" s="206" t="str">
        <x:f>IF(G538="","",MAX(G538-H538,0))</x:f>
      </x:c>
      <x:c r="J538" s="210"/>
      <x:c r="K538" s="190"/>
      <x:c r="L538" s="208"/>
      <x:c r="M538" s="208"/>
      <x:c r="N538" s="208"/>
      <x:c r="O538" s="208"/>
      <x:c r="P538" s="190"/>
      <x:c r="Q538" s="190"/>
      <x:c r="R538" s="190"/>
      <x:c r="S538" s="190"/>
      <x:c r="T538" s="190"/>
      <x:c r="U538" s="190"/>
      <x:c r="V538" s="212"/>
      <x:c r="W538" s="212"/>
      <x:c r="X538" s="200"/>
      <x:c r="Y538" s="192"/>
      <x:c r="Z538" s="214"/>
      <x:c r="AA538" s="214"/>
      <x:c r="AB538" s="192"/>
      <x:c r="AC538" s="194"/>
      <x:c r="AD538" s="186" t="str">
        <x:f>IF(COUNTA(B538:H538)+COUNTA(J538:AC538)=0,"",IF(OR(B538="",D538="",E538="",G538="",J538=""),"缺少必填项",IF(H538&gt;G538,"完成数大于订单数",IF(AND(X538="",OR(Y538="排队",Y538="生产中",Y538="阻塞",Z538&lt;&gt;"",AA538&lt;&gt;"",AB538="是")),"已有排期字段缺少机台",IF(AND(X538&lt;&gt;"",Y538="待排"),"已填机台但状态为待排",IF(AND(Y538="生产中",AB538&lt;&gt;"是"),"需确认：生产中未锁定","可导入"))))))</x:f>
      </x:c>
    </x:row>
    <x:row r="539" ht="22" customHeight="1">
      <x:c r="A539" s="186" t="str">
        <x:f>IF(B539="","",ROW()-5)</x:f>
      </x:c>
      <x:c r="B539" s="196"/>
      <x:c r="C539" s="198"/>
      <x:c r="D539" s="196"/>
      <x:c r="E539" s="188"/>
      <x:c r="F539" s="198"/>
      <x:c r="G539" s="202"/>
      <x:c r="H539" s="204"/>
      <x:c r="I539" s="206" t="str">
        <x:f>IF(G539="","",MAX(G539-H539,0))</x:f>
      </x:c>
      <x:c r="J539" s="210"/>
      <x:c r="K539" s="190"/>
      <x:c r="L539" s="208"/>
      <x:c r="M539" s="208"/>
      <x:c r="N539" s="208"/>
      <x:c r="O539" s="208"/>
      <x:c r="P539" s="190"/>
      <x:c r="Q539" s="190"/>
      <x:c r="R539" s="190"/>
      <x:c r="S539" s="190"/>
      <x:c r="T539" s="190"/>
      <x:c r="U539" s="190"/>
      <x:c r="V539" s="212"/>
      <x:c r="W539" s="212"/>
      <x:c r="X539" s="200"/>
      <x:c r="Y539" s="192"/>
      <x:c r="Z539" s="214"/>
      <x:c r="AA539" s="214"/>
      <x:c r="AB539" s="192"/>
      <x:c r="AC539" s="194"/>
      <x:c r="AD539" s="186" t="str">
        <x:f>IF(COUNTA(B539:H539)+COUNTA(J539:AC539)=0,"",IF(OR(B539="",D539="",E539="",G539="",J539=""),"缺少必填项",IF(H539&gt;G539,"完成数大于订单数",IF(AND(X539="",OR(Y539="排队",Y539="生产中",Y539="阻塞",Z539&lt;&gt;"",AA539&lt;&gt;"",AB539="是")),"已有排期字段缺少机台",IF(AND(X539&lt;&gt;"",Y539="待排"),"已填机台但状态为待排",IF(AND(Y539="生产中",AB539&lt;&gt;"是"),"需确认：生产中未锁定","可导入"))))))</x:f>
      </x:c>
    </x:row>
    <x:row r="540" ht="22" customHeight="1">
      <x:c r="A540" s="186" t="str">
        <x:f>IF(B540="","",ROW()-5)</x:f>
      </x:c>
      <x:c r="B540" s="196"/>
      <x:c r="C540" s="198"/>
      <x:c r="D540" s="196"/>
      <x:c r="E540" s="188"/>
      <x:c r="F540" s="198"/>
      <x:c r="G540" s="202"/>
      <x:c r="H540" s="204"/>
      <x:c r="I540" s="206" t="str">
        <x:f>IF(G540="","",MAX(G540-H540,0))</x:f>
      </x:c>
      <x:c r="J540" s="210"/>
      <x:c r="K540" s="190"/>
      <x:c r="L540" s="208"/>
      <x:c r="M540" s="208"/>
      <x:c r="N540" s="208"/>
      <x:c r="O540" s="208"/>
      <x:c r="P540" s="190"/>
      <x:c r="Q540" s="190"/>
      <x:c r="R540" s="190"/>
      <x:c r="S540" s="190"/>
      <x:c r="T540" s="190"/>
      <x:c r="U540" s="190"/>
      <x:c r="V540" s="212"/>
      <x:c r="W540" s="212"/>
      <x:c r="X540" s="200"/>
      <x:c r="Y540" s="192"/>
      <x:c r="Z540" s="214"/>
      <x:c r="AA540" s="214"/>
      <x:c r="AB540" s="192"/>
      <x:c r="AC540" s="194"/>
      <x:c r="AD540" s="186" t="str">
        <x:f>IF(COUNTA(B540:H540)+COUNTA(J540:AC540)=0,"",IF(OR(B540="",D540="",E540="",G540="",J540=""),"缺少必填项",IF(H540&gt;G540,"完成数大于订单数",IF(AND(X540="",OR(Y540="排队",Y540="生产中",Y540="阻塞",Z540&lt;&gt;"",AA540&lt;&gt;"",AB540="是")),"已有排期字段缺少机台",IF(AND(X540&lt;&gt;"",Y540="待排"),"已填机台但状态为待排",IF(AND(Y540="生产中",AB540&lt;&gt;"是"),"需确认：生产中未锁定","可导入"))))))</x:f>
      </x:c>
    </x:row>
    <x:row r="541" ht="22" customHeight="1">
      <x:c r="A541" s="186" t="str">
        <x:f>IF(B541="","",ROW()-5)</x:f>
      </x:c>
      <x:c r="B541" s="196"/>
      <x:c r="C541" s="198"/>
      <x:c r="D541" s="196"/>
      <x:c r="E541" s="188"/>
      <x:c r="F541" s="198"/>
      <x:c r="G541" s="202"/>
      <x:c r="H541" s="204"/>
      <x:c r="I541" s="206" t="str">
        <x:f>IF(G541="","",MAX(G541-H541,0))</x:f>
      </x:c>
      <x:c r="J541" s="210"/>
      <x:c r="K541" s="190"/>
      <x:c r="L541" s="208"/>
      <x:c r="M541" s="208"/>
      <x:c r="N541" s="208"/>
      <x:c r="O541" s="208"/>
      <x:c r="P541" s="190"/>
      <x:c r="Q541" s="190"/>
      <x:c r="R541" s="190"/>
      <x:c r="S541" s="190"/>
      <x:c r="T541" s="190"/>
      <x:c r="U541" s="190"/>
      <x:c r="V541" s="212"/>
      <x:c r="W541" s="212"/>
      <x:c r="X541" s="200"/>
      <x:c r="Y541" s="192"/>
      <x:c r="Z541" s="214"/>
      <x:c r="AA541" s="214"/>
      <x:c r="AB541" s="192"/>
      <x:c r="AC541" s="194"/>
      <x:c r="AD541" s="186" t="str">
        <x:f>IF(COUNTA(B541:H541)+COUNTA(J541:AC541)=0,"",IF(OR(B541="",D541="",E541="",G541="",J541=""),"缺少必填项",IF(H541&gt;G541,"完成数大于订单数",IF(AND(X541="",OR(Y541="排队",Y541="生产中",Y541="阻塞",Z541&lt;&gt;"",AA541&lt;&gt;"",AB541="是")),"已有排期字段缺少机台",IF(AND(X541&lt;&gt;"",Y541="待排"),"已填机台但状态为待排",IF(AND(Y541="生产中",AB541&lt;&gt;"是"),"需确认：生产中未锁定","可导入"))))))</x:f>
      </x:c>
    </x:row>
    <x:row r="542" ht="22" customHeight="1">
      <x:c r="A542" s="186" t="str">
        <x:f>IF(B542="","",ROW()-5)</x:f>
      </x:c>
      <x:c r="B542" s="196"/>
      <x:c r="C542" s="198"/>
      <x:c r="D542" s="196"/>
      <x:c r="E542" s="188"/>
      <x:c r="F542" s="198"/>
      <x:c r="G542" s="202"/>
      <x:c r="H542" s="204"/>
      <x:c r="I542" s="206" t="str">
        <x:f>IF(G542="","",MAX(G542-H542,0))</x:f>
      </x:c>
      <x:c r="J542" s="210"/>
      <x:c r="K542" s="190"/>
      <x:c r="L542" s="208"/>
      <x:c r="M542" s="208"/>
      <x:c r="N542" s="208"/>
      <x:c r="O542" s="208"/>
      <x:c r="P542" s="190"/>
      <x:c r="Q542" s="190"/>
      <x:c r="R542" s="190"/>
      <x:c r="S542" s="190"/>
      <x:c r="T542" s="190"/>
      <x:c r="U542" s="190"/>
      <x:c r="V542" s="212"/>
      <x:c r="W542" s="212"/>
      <x:c r="X542" s="200"/>
      <x:c r="Y542" s="192"/>
      <x:c r="Z542" s="214"/>
      <x:c r="AA542" s="214"/>
      <x:c r="AB542" s="192"/>
      <x:c r="AC542" s="194"/>
      <x:c r="AD542" s="186" t="str">
        <x:f>IF(COUNTA(B542:H542)+COUNTA(J542:AC542)=0,"",IF(OR(B542="",D542="",E542="",G542="",J542=""),"缺少必填项",IF(H542&gt;G542,"完成数大于订单数",IF(AND(X542="",OR(Y542="排队",Y542="生产中",Y542="阻塞",Z542&lt;&gt;"",AA542&lt;&gt;"",AB542="是")),"已有排期字段缺少机台",IF(AND(X542&lt;&gt;"",Y542="待排"),"已填机台但状态为待排",IF(AND(Y542="生产中",AB542&lt;&gt;"是"),"需确认：生产中未锁定","可导入"))))))</x:f>
      </x:c>
    </x:row>
    <x:row r="543" ht="22" customHeight="1">
      <x:c r="A543" s="186" t="str">
        <x:f>IF(B543="","",ROW()-5)</x:f>
      </x:c>
      <x:c r="B543" s="196"/>
      <x:c r="C543" s="198"/>
      <x:c r="D543" s="196"/>
      <x:c r="E543" s="188"/>
      <x:c r="F543" s="198"/>
      <x:c r="G543" s="202"/>
      <x:c r="H543" s="204"/>
      <x:c r="I543" s="206" t="str">
        <x:f>IF(G543="","",MAX(G543-H543,0))</x:f>
      </x:c>
      <x:c r="J543" s="210"/>
      <x:c r="K543" s="190"/>
      <x:c r="L543" s="208"/>
      <x:c r="M543" s="208"/>
      <x:c r="N543" s="208"/>
      <x:c r="O543" s="208"/>
      <x:c r="P543" s="190"/>
      <x:c r="Q543" s="190"/>
      <x:c r="R543" s="190"/>
      <x:c r="S543" s="190"/>
      <x:c r="T543" s="190"/>
      <x:c r="U543" s="190"/>
      <x:c r="V543" s="212"/>
      <x:c r="W543" s="212"/>
      <x:c r="X543" s="200"/>
      <x:c r="Y543" s="192"/>
      <x:c r="Z543" s="214"/>
      <x:c r="AA543" s="214"/>
      <x:c r="AB543" s="192"/>
      <x:c r="AC543" s="194"/>
      <x:c r="AD543" s="186" t="str">
        <x:f>IF(COUNTA(B543:H543)+COUNTA(J543:AC543)=0,"",IF(OR(B543="",D543="",E543="",G543="",J543=""),"缺少必填项",IF(H543&gt;G543,"完成数大于订单数",IF(AND(X543="",OR(Y543="排队",Y543="生产中",Y543="阻塞",Z543&lt;&gt;"",AA543&lt;&gt;"",AB543="是")),"已有排期字段缺少机台",IF(AND(X543&lt;&gt;"",Y543="待排"),"已填机台但状态为待排",IF(AND(Y543="生产中",AB543&lt;&gt;"是"),"需确认：生产中未锁定","可导入"))))))</x:f>
      </x:c>
    </x:row>
    <x:row r="544" ht="22" customHeight="1">
      <x:c r="A544" s="186" t="str">
        <x:f>IF(B544="","",ROW()-5)</x:f>
      </x:c>
      <x:c r="B544" s="196"/>
      <x:c r="C544" s="198"/>
      <x:c r="D544" s="196"/>
      <x:c r="E544" s="188"/>
      <x:c r="F544" s="198"/>
      <x:c r="G544" s="202"/>
      <x:c r="H544" s="204"/>
      <x:c r="I544" s="206" t="str">
        <x:f>IF(G544="","",MAX(G544-H544,0))</x:f>
      </x:c>
      <x:c r="J544" s="210"/>
      <x:c r="K544" s="190"/>
      <x:c r="L544" s="208"/>
      <x:c r="M544" s="208"/>
      <x:c r="N544" s="208"/>
      <x:c r="O544" s="208"/>
      <x:c r="P544" s="190"/>
      <x:c r="Q544" s="190"/>
      <x:c r="R544" s="190"/>
      <x:c r="S544" s="190"/>
      <x:c r="T544" s="190"/>
      <x:c r="U544" s="190"/>
      <x:c r="V544" s="212"/>
      <x:c r="W544" s="212"/>
      <x:c r="X544" s="200"/>
      <x:c r="Y544" s="192"/>
      <x:c r="Z544" s="214"/>
      <x:c r="AA544" s="214"/>
      <x:c r="AB544" s="192"/>
      <x:c r="AC544" s="194"/>
      <x:c r="AD544" s="186" t="str">
        <x:f>IF(COUNTA(B544:H544)+COUNTA(J544:AC544)=0,"",IF(OR(B544="",D544="",E544="",G544="",J544=""),"缺少必填项",IF(H544&gt;G544,"完成数大于订单数",IF(AND(X544="",OR(Y544="排队",Y544="生产中",Y544="阻塞",Z544&lt;&gt;"",AA544&lt;&gt;"",AB544="是")),"已有排期字段缺少机台",IF(AND(X544&lt;&gt;"",Y544="待排"),"已填机台但状态为待排",IF(AND(Y544="生产中",AB544&lt;&gt;"是"),"需确认：生产中未锁定","可导入"))))))</x:f>
      </x:c>
    </x:row>
    <x:row r="545" ht="22" customHeight="1">
      <x:c r="A545" s="186" t="str">
        <x:f>IF(B545="","",ROW()-5)</x:f>
      </x:c>
      <x:c r="B545" s="196"/>
      <x:c r="C545" s="198"/>
      <x:c r="D545" s="196"/>
      <x:c r="E545" s="188"/>
      <x:c r="F545" s="198"/>
      <x:c r="G545" s="202"/>
      <x:c r="H545" s="204"/>
      <x:c r="I545" s="206" t="str">
        <x:f>IF(G545="","",MAX(G545-H545,0))</x:f>
      </x:c>
      <x:c r="J545" s="210"/>
      <x:c r="K545" s="190"/>
      <x:c r="L545" s="208"/>
      <x:c r="M545" s="208"/>
      <x:c r="N545" s="208"/>
      <x:c r="O545" s="208"/>
      <x:c r="P545" s="190"/>
      <x:c r="Q545" s="190"/>
      <x:c r="R545" s="190"/>
      <x:c r="S545" s="190"/>
      <x:c r="T545" s="190"/>
      <x:c r="U545" s="190"/>
      <x:c r="V545" s="212"/>
      <x:c r="W545" s="212"/>
      <x:c r="X545" s="200"/>
      <x:c r="Y545" s="192"/>
      <x:c r="Z545" s="214"/>
      <x:c r="AA545" s="214"/>
      <x:c r="AB545" s="192"/>
      <x:c r="AC545" s="194"/>
      <x:c r="AD545" s="186" t="str">
        <x:f>IF(COUNTA(B545:H545)+COUNTA(J545:AC545)=0,"",IF(OR(B545="",D545="",E545="",G545="",J545=""),"缺少必填项",IF(H545&gt;G545,"完成数大于订单数",IF(AND(X545="",OR(Y545="排队",Y545="生产中",Y545="阻塞",Z545&lt;&gt;"",AA545&lt;&gt;"",AB545="是")),"已有排期字段缺少机台",IF(AND(X545&lt;&gt;"",Y545="待排"),"已填机台但状态为待排",IF(AND(Y545="生产中",AB545&lt;&gt;"是"),"需确认：生产中未锁定","可导入"))))))</x:f>
      </x:c>
    </x:row>
    <x:row r="546" ht="22" customHeight="1">
      <x:c r="A546" s="186" t="str">
        <x:f>IF(B546="","",ROW()-5)</x:f>
      </x:c>
      <x:c r="B546" s="196"/>
      <x:c r="C546" s="198"/>
      <x:c r="D546" s="196"/>
      <x:c r="E546" s="188"/>
      <x:c r="F546" s="198"/>
      <x:c r="G546" s="202"/>
      <x:c r="H546" s="204"/>
      <x:c r="I546" s="206" t="str">
        <x:f>IF(G546="","",MAX(G546-H546,0))</x:f>
      </x:c>
      <x:c r="J546" s="210"/>
      <x:c r="K546" s="190"/>
      <x:c r="L546" s="208"/>
      <x:c r="M546" s="208"/>
      <x:c r="N546" s="208"/>
      <x:c r="O546" s="208"/>
      <x:c r="P546" s="190"/>
      <x:c r="Q546" s="190"/>
      <x:c r="R546" s="190"/>
      <x:c r="S546" s="190"/>
      <x:c r="T546" s="190"/>
      <x:c r="U546" s="190"/>
      <x:c r="V546" s="212"/>
      <x:c r="W546" s="212"/>
      <x:c r="X546" s="200"/>
      <x:c r="Y546" s="192"/>
      <x:c r="Z546" s="214"/>
      <x:c r="AA546" s="214"/>
      <x:c r="AB546" s="192"/>
      <x:c r="AC546" s="194"/>
      <x:c r="AD546" s="186" t="str">
        <x:f>IF(COUNTA(B546:H546)+COUNTA(J546:AC546)=0,"",IF(OR(B546="",D546="",E546="",G546="",J546=""),"缺少必填项",IF(H546&gt;G546,"完成数大于订单数",IF(AND(X546="",OR(Y546="排队",Y546="生产中",Y546="阻塞",Z546&lt;&gt;"",AA546&lt;&gt;"",AB546="是")),"已有排期字段缺少机台",IF(AND(X546&lt;&gt;"",Y546="待排"),"已填机台但状态为待排",IF(AND(Y546="生产中",AB546&lt;&gt;"是"),"需确认：生产中未锁定","可导入"))))))</x:f>
      </x:c>
    </x:row>
    <x:row r="547" ht="22" customHeight="1">
      <x:c r="A547" s="186" t="str">
        <x:f>IF(B547="","",ROW()-5)</x:f>
      </x:c>
      <x:c r="B547" s="196"/>
      <x:c r="C547" s="198"/>
      <x:c r="D547" s="196"/>
      <x:c r="E547" s="188"/>
      <x:c r="F547" s="198"/>
      <x:c r="G547" s="202"/>
      <x:c r="H547" s="204"/>
      <x:c r="I547" s="206" t="str">
        <x:f>IF(G547="","",MAX(G547-H547,0))</x:f>
      </x:c>
      <x:c r="J547" s="210"/>
      <x:c r="K547" s="190"/>
      <x:c r="L547" s="208"/>
      <x:c r="M547" s="208"/>
      <x:c r="N547" s="208"/>
      <x:c r="O547" s="208"/>
      <x:c r="P547" s="190"/>
      <x:c r="Q547" s="190"/>
      <x:c r="R547" s="190"/>
      <x:c r="S547" s="190"/>
      <x:c r="T547" s="190"/>
      <x:c r="U547" s="190"/>
      <x:c r="V547" s="212"/>
      <x:c r="W547" s="212"/>
      <x:c r="X547" s="200"/>
      <x:c r="Y547" s="192"/>
      <x:c r="Z547" s="214"/>
      <x:c r="AA547" s="214"/>
      <x:c r="AB547" s="192"/>
      <x:c r="AC547" s="194"/>
      <x:c r="AD547" s="186" t="str">
        <x:f>IF(COUNTA(B547:H547)+COUNTA(J547:AC547)=0,"",IF(OR(B547="",D547="",E547="",G547="",J547=""),"缺少必填项",IF(H547&gt;G547,"完成数大于订单数",IF(AND(X547="",OR(Y547="排队",Y547="生产中",Y547="阻塞",Z547&lt;&gt;"",AA547&lt;&gt;"",AB547="是")),"已有排期字段缺少机台",IF(AND(X547&lt;&gt;"",Y547="待排"),"已填机台但状态为待排",IF(AND(Y547="生产中",AB547&lt;&gt;"是"),"需确认：生产中未锁定","可导入"))))))</x:f>
      </x:c>
    </x:row>
    <x:row r="548" ht="22" customHeight="1">
      <x:c r="A548" s="186" t="str">
        <x:f>IF(B548="","",ROW()-5)</x:f>
      </x:c>
      <x:c r="B548" s="196"/>
      <x:c r="C548" s="198"/>
      <x:c r="D548" s="196"/>
      <x:c r="E548" s="188"/>
      <x:c r="F548" s="198"/>
      <x:c r="G548" s="202"/>
      <x:c r="H548" s="204"/>
      <x:c r="I548" s="206" t="str">
        <x:f>IF(G548="","",MAX(G548-H548,0))</x:f>
      </x:c>
      <x:c r="J548" s="210"/>
      <x:c r="K548" s="190"/>
      <x:c r="L548" s="208"/>
      <x:c r="M548" s="208"/>
      <x:c r="N548" s="208"/>
      <x:c r="O548" s="208"/>
      <x:c r="P548" s="190"/>
      <x:c r="Q548" s="190"/>
      <x:c r="R548" s="190"/>
      <x:c r="S548" s="190"/>
      <x:c r="T548" s="190"/>
      <x:c r="U548" s="190"/>
      <x:c r="V548" s="212"/>
      <x:c r="W548" s="212"/>
      <x:c r="X548" s="200"/>
      <x:c r="Y548" s="192"/>
      <x:c r="Z548" s="214"/>
      <x:c r="AA548" s="214"/>
      <x:c r="AB548" s="192"/>
      <x:c r="AC548" s="194"/>
      <x:c r="AD548" s="186" t="str">
        <x:f>IF(COUNTA(B548:H548)+COUNTA(J548:AC548)=0,"",IF(OR(B548="",D548="",E548="",G548="",J548=""),"缺少必填项",IF(H548&gt;G548,"完成数大于订单数",IF(AND(X548="",OR(Y548="排队",Y548="生产中",Y548="阻塞",Z548&lt;&gt;"",AA548&lt;&gt;"",AB548="是")),"已有排期字段缺少机台",IF(AND(X548&lt;&gt;"",Y548="待排"),"已填机台但状态为待排",IF(AND(Y548="生产中",AB548&lt;&gt;"是"),"需确认：生产中未锁定","可导入"))))))</x:f>
      </x:c>
    </x:row>
    <x:row r="549" ht="22" customHeight="1">
      <x:c r="A549" s="186" t="str">
        <x:f>IF(B549="","",ROW()-5)</x:f>
      </x:c>
      <x:c r="B549" s="196"/>
      <x:c r="C549" s="198"/>
      <x:c r="D549" s="196"/>
      <x:c r="E549" s="188"/>
      <x:c r="F549" s="198"/>
      <x:c r="G549" s="202"/>
      <x:c r="H549" s="204"/>
      <x:c r="I549" s="206" t="str">
        <x:f>IF(G549="","",MAX(G549-H549,0))</x:f>
      </x:c>
      <x:c r="J549" s="210"/>
      <x:c r="K549" s="190"/>
      <x:c r="L549" s="208"/>
      <x:c r="M549" s="208"/>
      <x:c r="N549" s="208"/>
      <x:c r="O549" s="208"/>
      <x:c r="P549" s="190"/>
      <x:c r="Q549" s="190"/>
      <x:c r="R549" s="190"/>
      <x:c r="S549" s="190"/>
      <x:c r="T549" s="190"/>
      <x:c r="U549" s="190"/>
      <x:c r="V549" s="212"/>
      <x:c r="W549" s="212"/>
      <x:c r="X549" s="200"/>
      <x:c r="Y549" s="192"/>
      <x:c r="Z549" s="214"/>
      <x:c r="AA549" s="214"/>
      <x:c r="AB549" s="192"/>
      <x:c r="AC549" s="194"/>
      <x:c r="AD549" s="186" t="str">
        <x:f>IF(COUNTA(B549:H549)+COUNTA(J549:AC549)=0,"",IF(OR(B549="",D549="",E549="",G549="",J549=""),"缺少必填项",IF(H549&gt;G549,"完成数大于订单数",IF(AND(X549="",OR(Y549="排队",Y549="生产中",Y549="阻塞",Z549&lt;&gt;"",AA549&lt;&gt;"",AB549="是")),"已有排期字段缺少机台",IF(AND(X549&lt;&gt;"",Y549="待排"),"已填机台但状态为待排",IF(AND(Y549="生产中",AB549&lt;&gt;"是"),"需确认：生产中未锁定","可导入"))))))</x:f>
      </x:c>
    </x:row>
    <x:row r="550" ht="22" customHeight="1">
      <x:c r="A550" s="186" t="str">
        <x:f>IF(B550="","",ROW()-5)</x:f>
      </x:c>
      <x:c r="B550" s="196"/>
      <x:c r="C550" s="198"/>
      <x:c r="D550" s="196"/>
      <x:c r="E550" s="188"/>
      <x:c r="F550" s="198"/>
      <x:c r="G550" s="202"/>
      <x:c r="H550" s="204"/>
      <x:c r="I550" s="206" t="str">
        <x:f>IF(G550="","",MAX(G550-H550,0))</x:f>
      </x:c>
      <x:c r="J550" s="210"/>
      <x:c r="K550" s="190"/>
      <x:c r="L550" s="208"/>
      <x:c r="M550" s="208"/>
      <x:c r="N550" s="208"/>
      <x:c r="O550" s="208"/>
      <x:c r="P550" s="190"/>
      <x:c r="Q550" s="190"/>
      <x:c r="R550" s="190"/>
      <x:c r="S550" s="190"/>
      <x:c r="T550" s="190"/>
      <x:c r="U550" s="190"/>
      <x:c r="V550" s="212"/>
      <x:c r="W550" s="212"/>
      <x:c r="X550" s="200"/>
      <x:c r="Y550" s="192"/>
      <x:c r="Z550" s="214"/>
      <x:c r="AA550" s="214"/>
      <x:c r="AB550" s="192"/>
      <x:c r="AC550" s="194"/>
      <x:c r="AD550" s="186" t="str">
        <x:f>IF(COUNTA(B550:H550)+COUNTA(J550:AC550)=0,"",IF(OR(B550="",D550="",E550="",G550="",J550=""),"缺少必填项",IF(H550&gt;G550,"完成数大于订单数",IF(AND(X550="",OR(Y550="排队",Y550="生产中",Y550="阻塞",Z550&lt;&gt;"",AA550&lt;&gt;"",AB550="是")),"已有排期字段缺少机台",IF(AND(X550&lt;&gt;"",Y550="待排"),"已填机台但状态为待排",IF(AND(Y550="生产中",AB550&lt;&gt;"是"),"需确认：生产中未锁定","可导入"))))))</x:f>
      </x:c>
    </x:row>
    <x:row r="551" ht="22" customHeight="1">
      <x:c r="A551" s="186" t="str">
        <x:f>IF(B551="","",ROW()-5)</x:f>
      </x:c>
      <x:c r="B551" s="196"/>
      <x:c r="C551" s="198"/>
      <x:c r="D551" s="196"/>
      <x:c r="E551" s="188"/>
      <x:c r="F551" s="198"/>
      <x:c r="G551" s="202"/>
      <x:c r="H551" s="204"/>
      <x:c r="I551" s="206" t="str">
        <x:f>IF(G551="","",MAX(G551-H551,0))</x:f>
      </x:c>
      <x:c r="J551" s="210"/>
      <x:c r="K551" s="190"/>
      <x:c r="L551" s="208"/>
      <x:c r="M551" s="208"/>
      <x:c r="N551" s="208"/>
      <x:c r="O551" s="208"/>
      <x:c r="P551" s="190"/>
      <x:c r="Q551" s="190"/>
      <x:c r="R551" s="190"/>
      <x:c r="S551" s="190"/>
      <x:c r="T551" s="190"/>
      <x:c r="U551" s="190"/>
      <x:c r="V551" s="212"/>
      <x:c r="W551" s="212"/>
      <x:c r="X551" s="200"/>
      <x:c r="Y551" s="192"/>
      <x:c r="Z551" s="214"/>
      <x:c r="AA551" s="214"/>
      <x:c r="AB551" s="192"/>
      <x:c r="AC551" s="194"/>
      <x:c r="AD551" s="186" t="str">
        <x:f>IF(COUNTA(B551:H551)+COUNTA(J551:AC551)=0,"",IF(OR(B551="",D551="",E551="",G551="",J551=""),"缺少必填项",IF(H551&gt;G551,"完成数大于订单数",IF(AND(X551="",OR(Y551="排队",Y551="生产中",Y551="阻塞",Z551&lt;&gt;"",AA551&lt;&gt;"",AB551="是")),"已有排期字段缺少机台",IF(AND(X551&lt;&gt;"",Y551="待排"),"已填机台但状态为待排",IF(AND(Y551="生产中",AB551&lt;&gt;"是"),"需确认：生产中未锁定","可导入"))))))</x:f>
      </x:c>
    </x:row>
    <x:row r="552" ht="22" customHeight="1">
      <x:c r="A552" s="186" t="str">
        <x:f>IF(B552="","",ROW()-5)</x:f>
      </x:c>
      <x:c r="B552" s="196"/>
      <x:c r="C552" s="198"/>
      <x:c r="D552" s="196"/>
      <x:c r="E552" s="188"/>
      <x:c r="F552" s="198"/>
      <x:c r="G552" s="202"/>
      <x:c r="H552" s="204"/>
      <x:c r="I552" s="206" t="str">
        <x:f>IF(G552="","",MAX(G552-H552,0))</x:f>
      </x:c>
      <x:c r="J552" s="210"/>
      <x:c r="K552" s="190"/>
      <x:c r="L552" s="208"/>
      <x:c r="M552" s="208"/>
      <x:c r="N552" s="208"/>
      <x:c r="O552" s="208"/>
      <x:c r="P552" s="190"/>
      <x:c r="Q552" s="190"/>
      <x:c r="R552" s="190"/>
      <x:c r="S552" s="190"/>
      <x:c r="T552" s="190"/>
      <x:c r="U552" s="190"/>
      <x:c r="V552" s="212"/>
      <x:c r="W552" s="212"/>
      <x:c r="X552" s="200"/>
      <x:c r="Y552" s="192"/>
      <x:c r="Z552" s="214"/>
      <x:c r="AA552" s="214"/>
      <x:c r="AB552" s="192"/>
      <x:c r="AC552" s="194"/>
      <x:c r="AD552" s="186" t="str">
        <x:f>IF(COUNTA(B552:H552)+COUNTA(J552:AC552)=0,"",IF(OR(B552="",D552="",E552="",G552="",J552=""),"缺少必填项",IF(H552&gt;G552,"完成数大于订单数",IF(AND(X552="",OR(Y552="排队",Y552="生产中",Y552="阻塞",Z552&lt;&gt;"",AA552&lt;&gt;"",AB552="是")),"已有排期字段缺少机台",IF(AND(X552&lt;&gt;"",Y552="待排"),"已填机台但状态为待排",IF(AND(Y552="生产中",AB552&lt;&gt;"是"),"需确认：生产中未锁定","可导入"))))))</x:f>
      </x:c>
    </x:row>
    <x:row r="553" ht="22" customHeight="1">
      <x:c r="A553" s="186" t="str">
        <x:f>IF(B553="","",ROW()-5)</x:f>
      </x:c>
      <x:c r="B553" s="196"/>
      <x:c r="C553" s="198"/>
      <x:c r="D553" s="196"/>
      <x:c r="E553" s="188"/>
      <x:c r="F553" s="198"/>
      <x:c r="G553" s="202"/>
      <x:c r="H553" s="204"/>
      <x:c r="I553" s="206" t="str">
        <x:f>IF(G553="","",MAX(G553-H553,0))</x:f>
      </x:c>
      <x:c r="J553" s="210"/>
      <x:c r="K553" s="190"/>
      <x:c r="L553" s="208"/>
      <x:c r="M553" s="208"/>
      <x:c r="N553" s="208"/>
      <x:c r="O553" s="208"/>
      <x:c r="P553" s="190"/>
      <x:c r="Q553" s="190"/>
      <x:c r="R553" s="190"/>
      <x:c r="S553" s="190"/>
      <x:c r="T553" s="190"/>
      <x:c r="U553" s="190"/>
      <x:c r="V553" s="212"/>
      <x:c r="W553" s="212"/>
      <x:c r="X553" s="200"/>
      <x:c r="Y553" s="192"/>
      <x:c r="Z553" s="214"/>
      <x:c r="AA553" s="214"/>
      <x:c r="AB553" s="192"/>
      <x:c r="AC553" s="194"/>
      <x:c r="AD553" s="186" t="str">
        <x:f>IF(COUNTA(B553:H553)+COUNTA(J553:AC553)=0,"",IF(OR(B553="",D553="",E553="",G553="",J553=""),"缺少必填项",IF(H553&gt;G553,"完成数大于订单数",IF(AND(X553="",OR(Y553="排队",Y553="生产中",Y553="阻塞",Z553&lt;&gt;"",AA553&lt;&gt;"",AB553="是")),"已有排期字段缺少机台",IF(AND(X553&lt;&gt;"",Y553="待排"),"已填机台但状态为待排",IF(AND(Y553="生产中",AB553&lt;&gt;"是"),"需确认：生产中未锁定","可导入"))))))</x:f>
      </x:c>
    </x:row>
    <x:row r="554" ht="22" customHeight="1">
      <x:c r="A554" s="186" t="str">
        <x:f>IF(B554="","",ROW()-5)</x:f>
      </x:c>
      <x:c r="B554" s="196"/>
      <x:c r="C554" s="198"/>
      <x:c r="D554" s="196"/>
      <x:c r="E554" s="188"/>
      <x:c r="F554" s="198"/>
      <x:c r="G554" s="202"/>
      <x:c r="H554" s="204"/>
      <x:c r="I554" s="206" t="str">
        <x:f>IF(G554="","",MAX(G554-H554,0))</x:f>
      </x:c>
      <x:c r="J554" s="210"/>
      <x:c r="K554" s="190"/>
      <x:c r="L554" s="208"/>
      <x:c r="M554" s="208"/>
      <x:c r="N554" s="208"/>
      <x:c r="O554" s="208"/>
      <x:c r="P554" s="190"/>
      <x:c r="Q554" s="190"/>
      <x:c r="R554" s="190"/>
      <x:c r="S554" s="190"/>
      <x:c r="T554" s="190"/>
      <x:c r="U554" s="190"/>
      <x:c r="V554" s="212"/>
      <x:c r="W554" s="212"/>
      <x:c r="X554" s="200"/>
      <x:c r="Y554" s="192"/>
      <x:c r="Z554" s="214"/>
      <x:c r="AA554" s="214"/>
      <x:c r="AB554" s="192"/>
      <x:c r="AC554" s="194"/>
      <x:c r="AD554" s="186" t="str">
        <x:f>IF(COUNTA(B554:H554)+COUNTA(J554:AC554)=0,"",IF(OR(B554="",D554="",E554="",G554="",J554=""),"缺少必填项",IF(H554&gt;G554,"完成数大于订单数",IF(AND(X554="",OR(Y554="排队",Y554="生产中",Y554="阻塞",Z554&lt;&gt;"",AA554&lt;&gt;"",AB554="是")),"已有排期字段缺少机台",IF(AND(X554&lt;&gt;"",Y554="待排"),"已填机台但状态为待排",IF(AND(Y554="生产中",AB554&lt;&gt;"是"),"需确认：生产中未锁定","可导入"))))))</x:f>
      </x:c>
    </x:row>
    <x:row r="555" ht="22" customHeight="1">
      <x:c r="A555" s="186" t="str">
        <x:f>IF(B555="","",ROW()-5)</x:f>
      </x:c>
      <x:c r="B555" s="196"/>
      <x:c r="C555" s="198"/>
      <x:c r="D555" s="196"/>
      <x:c r="E555" s="188"/>
      <x:c r="F555" s="198"/>
      <x:c r="G555" s="202"/>
      <x:c r="H555" s="204"/>
      <x:c r="I555" s="206" t="str">
        <x:f>IF(G555="","",MAX(G555-H555,0))</x:f>
      </x:c>
      <x:c r="J555" s="210"/>
      <x:c r="K555" s="190"/>
      <x:c r="L555" s="208"/>
      <x:c r="M555" s="208"/>
      <x:c r="N555" s="208"/>
      <x:c r="O555" s="208"/>
      <x:c r="P555" s="190"/>
      <x:c r="Q555" s="190"/>
      <x:c r="R555" s="190"/>
      <x:c r="S555" s="190"/>
      <x:c r="T555" s="190"/>
      <x:c r="U555" s="190"/>
      <x:c r="V555" s="212"/>
      <x:c r="W555" s="212"/>
      <x:c r="X555" s="200"/>
      <x:c r="Y555" s="192"/>
      <x:c r="Z555" s="214"/>
      <x:c r="AA555" s="214"/>
      <x:c r="AB555" s="192"/>
      <x:c r="AC555" s="194"/>
      <x:c r="AD555" s="186" t="str">
        <x:f>IF(COUNTA(B555:H555)+COUNTA(J555:AC555)=0,"",IF(OR(B555="",D555="",E555="",G555="",J555=""),"缺少必填项",IF(H555&gt;G555,"完成数大于订单数",IF(AND(X555="",OR(Y555="排队",Y555="生产中",Y555="阻塞",Z555&lt;&gt;"",AA555&lt;&gt;"",AB555="是")),"已有排期字段缺少机台",IF(AND(X555&lt;&gt;"",Y555="待排"),"已填机台但状态为待排",IF(AND(Y555="生产中",AB555&lt;&gt;"是"),"需确认：生产中未锁定","可导入"))))))</x:f>
      </x:c>
    </x:row>
    <x:row r="556" ht="22" customHeight="1">
      <x:c r="A556" s="186" t="str">
        <x:f>IF(B556="","",ROW()-5)</x:f>
      </x:c>
      <x:c r="B556" s="196"/>
      <x:c r="C556" s="198"/>
      <x:c r="D556" s="196"/>
      <x:c r="E556" s="188"/>
      <x:c r="F556" s="198"/>
      <x:c r="G556" s="202"/>
      <x:c r="H556" s="204"/>
      <x:c r="I556" s="206" t="str">
        <x:f>IF(G556="","",MAX(G556-H556,0))</x:f>
      </x:c>
      <x:c r="J556" s="210"/>
      <x:c r="K556" s="190"/>
      <x:c r="L556" s="208"/>
      <x:c r="M556" s="208"/>
      <x:c r="N556" s="208"/>
      <x:c r="O556" s="208"/>
      <x:c r="P556" s="190"/>
      <x:c r="Q556" s="190"/>
      <x:c r="R556" s="190"/>
      <x:c r="S556" s="190"/>
      <x:c r="T556" s="190"/>
      <x:c r="U556" s="190"/>
      <x:c r="V556" s="212"/>
      <x:c r="W556" s="212"/>
      <x:c r="X556" s="200"/>
      <x:c r="Y556" s="192"/>
      <x:c r="Z556" s="214"/>
      <x:c r="AA556" s="214"/>
      <x:c r="AB556" s="192"/>
      <x:c r="AC556" s="194"/>
      <x:c r="AD556" s="186" t="str">
        <x:f>IF(COUNTA(B556:H556)+COUNTA(J556:AC556)=0,"",IF(OR(B556="",D556="",E556="",G556="",J556=""),"缺少必填项",IF(H556&gt;G556,"完成数大于订单数",IF(AND(X556="",OR(Y556="排队",Y556="生产中",Y556="阻塞",Z556&lt;&gt;"",AA556&lt;&gt;"",AB556="是")),"已有排期字段缺少机台",IF(AND(X556&lt;&gt;"",Y556="待排"),"已填机台但状态为待排",IF(AND(Y556="生产中",AB556&lt;&gt;"是"),"需确认：生产中未锁定","可导入"))))))</x:f>
      </x:c>
    </x:row>
    <x:row r="557" ht="22" customHeight="1">
      <x:c r="A557" s="186" t="str">
        <x:f>IF(B557="","",ROW()-5)</x:f>
      </x:c>
      <x:c r="B557" s="196"/>
      <x:c r="C557" s="198"/>
      <x:c r="D557" s="196"/>
      <x:c r="E557" s="188"/>
      <x:c r="F557" s="198"/>
      <x:c r="G557" s="202"/>
      <x:c r="H557" s="204"/>
      <x:c r="I557" s="206" t="str">
        <x:f>IF(G557="","",MAX(G557-H557,0))</x:f>
      </x:c>
      <x:c r="J557" s="210"/>
      <x:c r="K557" s="190"/>
      <x:c r="L557" s="208"/>
      <x:c r="M557" s="208"/>
      <x:c r="N557" s="208"/>
      <x:c r="O557" s="208"/>
      <x:c r="P557" s="190"/>
      <x:c r="Q557" s="190"/>
      <x:c r="R557" s="190"/>
      <x:c r="S557" s="190"/>
      <x:c r="T557" s="190"/>
      <x:c r="U557" s="190"/>
      <x:c r="V557" s="212"/>
      <x:c r="W557" s="212"/>
      <x:c r="X557" s="200"/>
      <x:c r="Y557" s="192"/>
      <x:c r="Z557" s="214"/>
      <x:c r="AA557" s="214"/>
      <x:c r="AB557" s="192"/>
      <x:c r="AC557" s="194"/>
      <x:c r="AD557" s="186" t="str">
        <x:f>IF(COUNTA(B557:H557)+COUNTA(J557:AC557)=0,"",IF(OR(B557="",D557="",E557="",G557="",J557=""),"缺少必填项",IF(H557&gt;G557,"完成数大于订单数",IF(AND(X557="",OR(Y557="排队",Y557="生产中",Y557="阻塞",Z557&lt;&gt;"",AA557&lt;&gt;"",AB557="是")),"已有排期字段缺少机台",IF(AND(X557&lt;&gt;"",Y557="待排"),"已填机台但状态为待排",IF(AND(Y557="生产中",AB557&lt;&gt;"是"),"需确认：生产中未锁定","可导入"))))))</x:f>
      </x:c>
    </x:row>
    <x:row r="558" ht="22" customHeight="1">
      <x:c r="A558" s="186" t="str">
        <x:f>IF(B558="","",ROW()-5)</x:f>
      </x:c>
      <x:c r="B558" s="196"/>
      <x:c r="C558" s="198"/>
      <x:c r="D558" s="196"/>
      <x:c r="E558" s="188"/>
      <x:c r="F558" s="198"/>
      <x:c r="G558" s="202"/>
      <x:c r="H558" s="204"/>
      <x:c r="I558" s="206" t="str">
        <x:f>IF(G558="","",MAX(G558-H558,0))</x:f>
      </x:c>
      <x:c r="J558" s="210"/>
      <x:c r="K558" s="190"/>
      <x:c r="L558" s="208"/>
      <x:c r="M558" s="208"/>
      <x:c r="N558" s="208"/>
      <x:c r="O558" s="208"/>
      <x:c r="P558" s="190"/>
      <x:c r="Q558" s="190"/>
      <x:c r="R558" s="190"/>
      <x:c r="S558" s="190"/>
      <x:c r="T558" s="190"/>
      <x:c r="U558" s="190"/>
      <x:c r="V558" s="212"/>
      <x:c r="W558" s="212"/>
      <x:c r="X558" s="200"/>
      <x:c r="Y558" s="192"/>
      <x:c r="Z558" s="214"/>
      <x:c r="AA558" s="214"/>
      <x:c r="AB558" s="192"/>
      <x:c r="AC558" s="194"/>
      <x:c r="AD558" s="186" t="str">
        <x:f>IF(COUNTA(B558:H558)+COUNTA(J558:AC558)=0,"",IF(OR(B558="",D558="",E558="",G558="",J558=""),"缺少必填项",IF(H558&gt;G558,"完成数大于订单数",IF(AND(X558="",OR(Y558="排队",Y558="生产中",Y558="阻塞",Z558&lt;&gt;"",AA558&lt;&gt;"",AB558="是")),"已有排期字段缺少机台",IF(AND(X558&lt;&gt;"",Y558="待排"),"已填机台但状态为待排",IF(AND(Y558="生产中",AB558&lt;&gt;"是"),"需确认：生产中未锁定","可导入"))))))</x:f>
      </x:c>
    </x:row>
    <x:row r="559" ht="22" customHeight="1">
      <x:c r="A559" s="186" t="str">
        <x:f>IF(B559="","",ROW()-5)</x:f>
      </x:c>
      <x:c r="B559" s="196"/>
      <x:c r="C559" s="198"/>
      <x:c r="D559" s="196"/>
      <x:c r="E559" s="188"/>
      <x:c r="F559" s="198"/>
      <x:c r="G559" s="202"/>
      <x:c r="H559" s="204"/>
      <x:c r="I559" s="206" t="str">
        <x:f>IF(G559="","",MAX(G559-H559,0))</x:f>
      </x:c>
      <x:c r="J559" s="210"/>
      <x:c r="K559" s="190"/>
      <x:c r="L559" s="208"/>
      <x:c r="M559" s="208"/>
      <x:c r="N559" s="208"/>
      <x:c r="O559" s="208"/>
      <x:c r="P559" s="190"/>
      <x:c r="Q559" s="190"/>
      <x:c r="R559" s="190"/>
      <x:c r="S559" s="190"/>
      <x:c r="T559" s="190"/>
      <x:c r="U559" s="190"/>
      <x:c r="V559" s="212"/>
      <x:c r="W559" s="212"/>
      <x:c r="X559" s="200"/>
      <x:c r="Y559" s="192"/>
      <x:c r="Z559" s="214"/>
      <x:c r="AA559" s="214"/>
      <x:c r="AB559" s="192"/>
      <x:c r="AC559" s="194"/>
      <x:c r="AD559" s="186" t="str">
        <x:f>IF(COUNTA(B559:H559)+COUNTA(J559:AC559)=0,"",IF(OR(B559="",D559="",E559="",G559="",J559=""),"缺少必填项",IF(H559&gt;G559,"完成数大于订单数",IF(AND(X559="",OR(Y559="排队",Y559="生产中",Y559="阻塞",Z559&lt;&gt;"",AA559&lt;&gt;"",AB559="是")),"已有排期字段缺少机台",IF(AND(X559&lt;&gt;"",Y559="待排"),"已填机台但状态为待排",IF(AND(Y559="生产中",AB559&lt;&gt;"是"),"需确认：生产中未锁定","可导入"))))))</x:f>
      </x:c>
    </x:row>
    <x:row r="560" ht="22" customHeight="1">
      <x:c r="A560" s="186" t="str">
        <x:f>IF(B560="","",ROW()-5)</x:f>
      </x:c>
      <x:c r="B560" s="196"/>
      <x:c r="C560" s="198"/>
      <x:c r="D560" s="196"/>
      <x:c r="E560" s="188"/>
      <x:c r="F560" s="198"/>
      <x:c r="G560" s="202"/>
      <x:c r="H560" s="204"/>
      <x:c r="I560" s="206" t="str">
        <x:f>IF(G560="","",MAX(G560-H560,0))</x:f>
      </x:c>
      <x:c r="J560" s="210"/>
      <x:c r="K560" s="190"/>
      <x:c r="L560" s="208"/>
      <x:c r="M560" s="208"/>
      <x:c r="N560" s="208"/>
      <x:c r="O560" s="208"/>
      <x:c r="P560" s="190"/>
      <x:c r="Q560" s="190"/>
      <x:c r="R560" s="190"/>
      <x:c r="S560" s="190"/>
      <x:c r="T560" s="190"/>
      <x:c r="U560" s="190"/>
      <x:c r="V560" s="212"/>
      <x:c r="W560" s="212"/>
      <x:c r="X560" s="200"/>
      <x:c r="Y560" s="192"/>
      <x:c r="Z560" s="214"/>
      <x:c r="AA560" s="214"/>
      <x:c r="AB560" s="192"/>
      <x:c r="AC560" s="194"/>
      <x:c r="AD560" s="186" t="str">
        <x:f>IF(COUNTA(B560:H560)+COUNTA(J560:AC560)=0,"",IF(OR(B560="",D560="",E560="",G560="",J560=""),"缺少必填项",IF(H560&gt;G560,"完成数大于订单数",IF(AND(X560="",OR(Y560="排队",Y560="生产中",Y560="阻塞",Z560&lt;&gt;"",AA560&lt;&gt;"",AB560="是")),"已有排期字段缺少机台",IF(AND(X560&lt;&gt;"",Y560="待排"),"已填机台但状态为待排",IF(AND(Y560="生产中",AB560&lt;&gt;"是"),"需确认：生产中未锁定","可导入"))))))</x:f>
      </x:c>
    </x:row>
    <x:row r="561" ht="22" customHeight="1">
      <x:c r="A561" s="186" t="str">
        <x:f>IF(B561="","",ROW()-5)</x:f>
      </x:c>
      <x:c r="B561" s="196"/>
      <x:c r="C561" s="198"/>
      <x:c r="D561" s="196"/>
      <x:c r="E561" s="188"/>
      <x:c r="F561" s="198"/>
      <x:c r="G561" s="202"/>
      <x:c r="H561" s="204"/>
      <x:c r="I561" s="206" t="str">
        <x:f>IF(G561="","",MAX(G561-H561,0))</x:f>
      </x:c>
      <x:c r="J561" s="210"/>
      <x:c r="K561" s="190"/>
      <x:c r="L561" s="208"/>
      <x:c r="M561" s="208"/>
      <x:c r="N561" s="208"/>
      <x:c r="O561" s="208"/>
      <x:c r="P561" s="190"/>
      <x:c r="Q561" s="190"/>
      <x:c r="R561" s="190"/>
      <x:c r="S561" s="190"/>
      <x:c r="T561" s="190"/>
      <x:c r="U561" s="190"/>
      <x:c r="V561" s="212"/>
      <x:c r="W561" s="212"/>
      <x:c r="X561" s="200"/>
      <x:c r="Y561" s="192"/>
      <x:c r="Z561" s="214"/>
      <x:c r="AA561" s="214"/>
      <x:c r="AB561" s="192"/>
      <x:c r="AC561" s="194"/>
      <x:c r="AD561" s="186" t="str">
        <x:f>IF(COUNTA(B561:H561)+COUNTA(J561:AC561)=0,"",IF(OR(B561="",D561="",E561="",G561="",J561=""),"缺少必填项",IF(H561&gt;G561,"完成数大于订单数",IF(AND(X561="",OR(Y561="排队",Y561="生产中",Y561="阻塞",Z561&lt;&gt;"",AA561&lt;&gt;"",AB561="是")),"已有排期字段缺少机台",IF(AND(X561&lt;&gt;"",Y561="待排"),"已填机台但状态为待排",IF(AND(Y561="生产中",AB561&lt;&gt;"是"),"需确认：生产中未锁定","可导入"))))))</x:f>
      </x:c>
    </x:row>
    <x:row r="562" ht="22" customHeight="1">
      <x:c r="A562" s="186" t="str">
        <x:f>IF(B562="","",ROW()-5)</x:f>
      </x:c>
      <x:c r="B562" s="196"/>
      <x:c r="C562" s="198"/>
      <x:c r="D562" s="196"/>
      <x:c r="E562" s="188"/>
      <x:c r="F562" s="198"/>
      <x:c r="G562" s="202"/>
      <x:c r="H562" s="204"/>
      <x:c r="I562" s="206" t="str">
        <x:f>IF(G562="","",MAX(G562-H562,0))</x:f>
      </x:c>
      <x:c r="J562" s="210"/>
      <x:c r="K562" s="190"/>
      <x:c r="L562" s="208"/>
      <x:c r="M562" s="208"/>
      <x:c r="N562" s="208"/>
      <x:c r="O562" s="208"/>
      <x:c r="P562" s="190"/>
      <x:c r="Q562" s="190"/>
      <x:c r="R562" s="190"/>
      <x:c r="S562" s="190"/>
      <x:c r="T562" s="190"/>
      <x:c r="U562" s="190"/>
      <x:c r="V562" s="212"/>
      <x:c r="W562" s="212"/>
      <x:c r="X562" s="200"/>
      <x:c r="Y562" s="192"/>
      <x:c r="Z562" s="214"/>
      <x:c r="AA562" s="214"/>
      <x:c r="AB562" s="192"/>
      <x:c r="AC562" s="194"/>
      <x:c r="AD562" s="186" t="str">
        <x:f>IF(COUNTA(B562:H562)+COUNTA(J562:AC562)=0,"",IF(OR(B562="",D562="",E562="",G562="",J562=""),"缺少必填项",IF(H562&gt;G562,"完成数大于订单数",IF(AND(X562="",OR(Y562="排队",Y562="生产中",Y562="阻塞",Z562&lt;&gt;"",AA562&lt;&gt;"",AB562="是")),"已有排期字段缺少机台",IF(AND(X562&lt;&gt;"",Y562="待排"),"已填机台但状态为待排",IF(AND(Y562="生产中",AB562&lt;&gt;"是"),"需确认：生产中未锁定","可导入"))))))</x:f>
      </x:c>
    </x:row>
    <x:row r="563" ht="22" customHeight="1">
      <x:c r="A563" s="186" t="str">
        <x:f>IF(B563="","",ROW()-5)</x:f>
      </x:c>
      <x:c r="B563" s="196"/>
      <x:c r="C563" s="198"/>
      <x:c r="D563" s="196"/>
      <x:c r="E563" s="188"/>
      <x:c r="F563" s="198"/>
      <x:c r="G563" s="202"/>
      <x:c r="H563" s="204"/>
      <x:c r="I563" s="206" t="str">
        <x:f>IF(G563="","",MAX(G563-H563,0))</x:f>
      </x:c>
      <x:c r="J563" s="210"/>
      <x:c r="K563" s="190"/>
      <x:c r="L563" s="208"/>
      <x:c r="M563" s="208"/>
      <x:c r="N563" s="208"/>
      <x:c r="O563" s="208"/>
      <x:c r="P563" s="190"/>
      <x:c r="Q563" s="190"/>
      <x:c r="R563" s="190"/>
      <x:c r="S563" s="190"/>
      <x:c r="T563" s="190"/>
      <x:c r="U563" s="190"/>
      <x:c r="V563" s="212"/>
      <x:c r="W563" s="212"/>
      <x:c r="X563" s="200"/>
      <x:c r="Y563" s="192"/>
      <x:c r="Z563" s="214"/>
      <x:c r="AA563" s="214"/>
      <x:c r="AB563" s="192"/>
      <x:c r="AC563" s="194"/>
      <x:c r="AD563" s="186" t="str">
        <x:f>IF(COUNTA(B563:H563)+COUNTA(J563:AC563)=0,"",IF(OR(B563="",D563="",E563="",G563="",J563=""),"缺少必填项",IF(H563&gt;G563,"完成数大于订单数",IF(AND(X563="",OR(Y563="排队",Y563="生产中",Y563="阻塞",Z563&lt;&gt;"",AA563&lt;&gt;"",AB563="是")),"已有排期字段缺少机台",IF(AND(X563&lt;&gt;"",Y563="待排"),"已填机台但状态为待排",IF(AND(Y563="生产中",AB563&lt;&gt;"是"),"需确认：生产中未锁定","可导入"))))))</x:f>
      </x:c>
    </x:row>
    <x:row r="564" ht="22" customHeight="1">
      <x:c r="A564" s="186" t="str">
        <x:f>IF(B564="","",ROW()-5)</x:f>
      </x:c>
      <x:c r="B564" s="196"/>
      <x:c r="C564" s="198"/>
      <x:c r="D564" s="196"/>
      <x:c r="E564" s="188"/>
      <x:c r="F564" s="198"/>
      <x:c r="G564" s="202"/>
      <x:c r="H564" s="204"/>
      <x:c r="I564" s="206" t="str">
        <x:f>IF(G564="","",MAX(G564-H564,0))</x:f>
      </x:c>
      <x:c r="J564" s="210"/>
      <x:c r="K564" s="190"/>
      <x:c r="L564" s="208"/>
      <x:c r="M564" s="208"/>
      <x:c r="N564" s="208"/>
      <x:c r="O564" s="208"/>
      <x:c r="P564" s="190"/>
      <x:c r="Q564" s="190"/>
      <x:c r="R564" s="190"/>
      <x:c r="S564" s="190"/>
      <x:c r="T564" s="190"/>
      <x:c r="U564" s="190"/>
      <x:c r="V564" s="212"/>
      <x:c r="W564" s="212"/>
      <x:c r="X564" s="200"/>
      <x:c r="Y564" s="192"/>
      <x:c r="Z564" s="214"/>
      <x:c r="AA564" s="214"/>
      <x:c r="AB564" s="192"/>
      <x:c r="AC564" s="194"/>
      <x:c r="AD564" s="186" t="str">
        <x:f>IF(COUNTA(B564:H564)+COUNTA(J564:AC564)=0,"",IF(OR(B564="",D564="",E564="",G564="",J564=""),"缺少必填项",IF(H564&gt;G564,"完成数大于订单数",IF(AND(X564="",OR(Y564="排队",Y564="生产中",Y564="阻塞",Z564&lt;&gt;"",AA564&lt;&gt;"",AB564="是")),"已有排期字段缺少机台",IF(AND(X564&lt;&gt;"",Y564="待排"),"已填机台但状态为待排",IF(AND(Y564="生产中",AB564&lt;&gt;"是"),"需确认：生产中未锁定","可导入"))))))</x:f>
      </x:c>
    </x:row>
    <x:row r="565" ht="22" customHeight="1">
      <x:c r="A565" s="186" t="str">
        <x:f>IF(B565="","",ROW()-5)</x:f>
      </x:c>
      <x:c r="B565" s="196"/>
      <x:c r="C565" s="198"/>
      <x:c r="D565" s="196"/>
      <x:c r="E565" s="188"/>
      <x:c r="F565" s="198"/>
      <x:c r="G565" s="202"/>
      <x:c r="H565" s="204"/>
      <x:c r="I565" s="206" t="str">
        <x:f>IF(G565="","",MAX(G565-H565,0))</x:f>
      </x:c>
      <x:c r="J565" s="210"/>
      <x:c r="K565" s="190"/>
      <x:c r="L565" s="208"/>
      <x:c r="M565" s="208"/>
      <x:c r="N565" s="208"/>
      <x:c r="O565" s="208"/>
      <x:c r="P565" s="190"/>
      <x:c r="Q565" s="190"/>
      <x:c r="R565" s="190"/>
      <x:c r="S565" s="190"/>
      <x:c r="T565" s="190"/>
      <x:c r="U565" s="190"/>
      <x:c r="V565" s="212"/>
      <x:c r="W565" s="212"/>
      <x:c r="X565" s="200"/>
      <x:c r="Y565" s="192"/>
      <x:c r="Z565" s="214"/>
      <x:c r="AA565" s="214"/>
      <x:c r="AB565" s="192"/>
      <x:c r="AC565" s="194"/>
      <x:c r="AD565" s="186" t="str">
        <x:f>IF(COUNTA(B565:H565)+COUNTA(J565:AC565)=0,"",IF(OR(B565="",D565="",E565="",G565="",J565=""),"缺少必填项",IF(H565&gt;G565,"完成数大于订单数",IF(AND(X565="",OR(Y565="排队",Y565="生产中",Y565="阻塞",Z565&lt;&gt;"",AA565&lt;&gt;"",AB565="是")),"已有排期字段缺少机台",IF(AND(X565&lt;&gt;"",Y565="待排"),"已填机台但状态为待排",IF(AND(Y565="生产中",AB565&lt;&gt;"是"),"需确认：生产中未锁定","可导入"))))))</x:f>
      </x:c>
    </x:row>
    <x:row r="566" ht="22" customHeight="1">
      <x:c r="A566" s="186" t="str">
        <x:f>IF(B566="","",ROW()-5)</x:f>
      </x:c>
      <x:c r="B566" s="196"/>
      <x:c r="C566" s="198"/>
      <x:c r="D566" s="196"/>
      <x:c r="E566" s="188"/>
      <x:c r="F566" s="198"/>
      <x:c r="G566" s="202"/>
      <x:c r="H566" s="204"/>
      <x:c r="I566" s="206" t="str">
        <x:f>IF(G566="","",MAX(G566-H566,0))</x:f>
      </x:c>
      <x:c r="J566" s="210"/>
      <x:c r="K566" s="190"/>
      <x:c r="L566" s="208"/>
      <x:c r="M566" s="208"/>
      <x:c r="N566" s="208"/>
      <x:c r="O566" s="208"/>
      <x:c r="P566" s="190"/>
      <x:c r="Q566" s="190"/>
      <x:c r="R566" s="190"/>
      <x:c r="S566" s="190"/>
      <x:c r="T566" s="190"/>
      <x:c r="U566" s="190"/>
      <x:c r="V566" s="212"/>
      <x:c r="W566" s="212"/>
      <x:c r="X566" s="200"/>
      <x:c r="Y566" s="192"/>
      <x:c r="Z566" s="214"/>
      <x:c r="AA566" s="214"/>
      <x:c r="AB566" s="192"/>
      <x:c r="AC566" s="194"/>
      <x:c r="AD566" s="186" t="str">
        <x:f>IF(COUNTA(B566:H566)+COUNTA(J566:AC566)=0,"",IF(OR(B566="",D566="",E566="",G566="",J566=""),"缺少必填项",IF(H566&gt;G566,"完成数大于订单数",IF(AND(X566="",OR(Y566="排队",Y566="生产中",Y566="阻塞",Z566&lt;&gt;"",AA566&lt;&gt;"",AB566="是")),"已有排期字段缺少机台",IF(AND(X566&lt;&gt;"",Y566="待排"),"已填机台但状态为待排",IF(AND(Y566="生产中",AB566&lt;&gt;"是"),"需确认：生产中未锁定","可导入"))))))</x:f>
      </x:c>
    </x:row>
    <x:row r="567" ht="22" customHeight="1">
      <x:c r="A567" s="186" t="str">
        <x:f>IF(B567="","",ROW()-5)</x:f>
      </x:c>
      <x:c r="B567" s="196"/>
      <x:c r="C567" s="198"/>
      <x:c r="D567" s="196"/>
      <x:c r="E567" s="188"/>
      <x:c r="F567" s="198"/>
      <x:c r="G567" s="202"/>
      <x:c r="H567" s="204"/>
      <x:c r="I567" s="206" t="str">
        <x:f>IF(G567="","",MAX(G567-H567,0))</x:f>
      </x:c>
      <x:c r="J567" s="210"/>
      <x:c r="K567" s="190"/>
      <x:c r="L567" s="208"/>
      <x:c r="M567" s="208"/>
      <x:c r="N567" s="208"/>
      <x:c r="O567" s="208"/>
      <x:c r="P567" s="190"/>
      <x:c r="Q567" s="190"/>
      <x:c r="R567" s="190"/>
      <x:c r="S567" s="190"/>
      <x:c r="T567" s="190"/>
      <x:c r="U567" s="190"/>
      <x:c r="V567" s="212"/>
      <x:c r="W567" s="212"/>
      <x:c r="X567" s="200"/>
      <x:c r="Y567" s="192"/>
      <x:c r="Z567" s="214"/>
      <x:c r="AA567" s="214"/>
      <x:c r="AB567" s="192"/>
      <x:c r="AC567" s="194"/>
      <x:c r="AD567" s="186" t="str">
        <x:f>IF(COUNTA(B567:H567)+COUNTA(J567:AC567)=0,"",IF(OR(B567="",D567="",E567="",G567="",J567=""),"缺少必填项",IF(H567&gt;G567,"完成数大于订单数",IF(AND(X567="",OR(Y567="排队",Y567="生产中",Y567="阻塞",Z567&lt;&gt;"",AA567&lt;&gt;"",AB567="是")),"已有排期字段缺少机台",IF(AND(X567&lt;&gt;"",Y567="待排"),"已填机台但状态为待排",IF(AND(Y567="生产中",AB567&lt;&gt;"是"),"需确认：生产中未锁定","可导入"))))))</x:f>
      </x:c>
    </x:row>
    <x:row r="568" ht="22" customHeight="1">
      <x:c r="A568" s="186" t="str">
        <x:f>IF(B568="","",ROW()-5)</x:f>
      </x:c>
      <x:c r="B568" s="196"/>
      <x:c r="C568" s="198"/>
      <x:c r="D568" s="196"/>
      <x:c r="E568" s="188"/>
      <x:c r="F568" s="198"/>
      <x:c r="G568" s="202"/>
      <x:c r="H568" s="204"/>
      <x:c r="I568" s="206" t="str">
        <x:f>IF(G568="","",MAX(G568-H568,0))</x:f>
      </x:c>
      <x:c r="J568" s="210"/>
      <x:c r="K568" s="190"/>
      <x:c r="L568" s="208"/>
      <x:c r="M568" s="208"/>
      <x:c r="N568" s="208"/>
      <x:c r="O568" s="208"/>
      <x:c r="P568" s="190"/>
      <x:c r="Q568" s="190"/>
      <x:c r="R568" s="190"/>
      <x:c r="S568" s="190"/>
      <x:c r="T568" s="190"/>
      <x:c r="U568" s="190"/>
      <x:c r="V568" s="212"/>
      <x:c r="W568" s="212"/>
      <x:c r="X568" s="200"/>
      <x:c r="Y568" s="192"/>
      <x:c r="Z568" s="214"/>
      <x:c r="AA568" s="214"/>
      <x:c r="AB568" s="192"/>
      <x:c r="AC568" s="194"/>
      <x:c r="AD568" s="186" t="str">
        <x:f>IF(COUNTA(B568:H568)+COUNTA(J568:AC568)=0,"",IF(OR(B568="",D568="",E568="",G568="",J568=""),"缺少必填项",IF(H568&gt;G568,"完成数大于订单数",IF(AND(X568="",OR(Y568="排队",Y568="生产中",Y568="阻塞",Z568&lt;&gt;"",AA568&lt;&gt;"",AB568="是")),"已有排期字段缺少机台",IF(AND(X568&lt;&gt;"",Y568="待排"),"已填机台但状态为待排",IF(AND(Y568="生产中",AB568&lt;&gt;"是"),"需确认：生产中未锁定","可导入"))))))</x:f>
      </x:c>
    </x:row>
    <x:row r="569" ht="22" customHeight="1">
      <x:c r="A569" s="186" t="str">
        <x:f>IF(B569="","",ROW()-5)</x:f>
      </x:c>
      <x:c r="B569" s="196"/>
      <x:c r="C569" s="198"/>
      <x:c r="D569" s="196"/>
      <x:c r="E569" s="188"/>
      <x:c r="F569" s="198"/>
      <x:c r="G569" s="202"/>
      <x:c r="H569" s="204"/>
      <x:c r="I569" s="206" t="str">
        <x:f>IF(G569="","",MAX(G569-H569,0))</x:f>
      </x:c>
      <x:c r="J569" s="210"/>
      <x:c r="K569" s="190"/>
      <x:c r="L569" s="208"/>
      <x:c r="M569" s="208"/>
      <x:c r="N569" s="208"/>
      <x:c r="O569" s="208"/>
      <x:c r="P569" s="190"/>
      <x:c r="Q569" s="190"/>
      <x:c r="R569" s="190"/>
      <x:c r="S569" s="190"/>
      <x:c r="T569" s="190"/>
      <x:c r="U569" s="190"/>
      <x:c r="V569" s="212"/>
      <x:c r="W569" s="212"/>
      <x:c r="X569" s="200"/>
      <x:c r="Y569" s="192"/>
      <x:c r="Z569" s="214"/>
      <x:c r="AA569" s="214"/>
      <x:c r="AB569" s="192"/>
      <x:c r="AC569" s="194"/>
      <x:c r="AD569" s="186" t="str">
        <x:f>IF(COUNTA(B569:H569)+COUNTA(J569:AC569)=0,"",IF(OR(B569="",D569="",E569="",G569="",J569=""),"缺少必填项",IF(H569&gt;G569,"完成数大于订单数",IF(AND(X569="",OR(Y569="排队",Y569="生产中",Y569="阻塞",Z569&lt;&gt;"",AA569&lt;&gt;"",AB569="是")),"已有排期字段缺少机台",IF(AND(X569&lt;&gt;"",Y569="待排"),"已填机台但状态为待排",IF(AND(Y569="生产中",AB569&lt;&gt;"是"),"需确认：生产中未锁定","可导入"))))))</x:f>
      </x:c>
    </x:row>
    <x:row r="570" ht="22" customHeight="1">
      <x:c r="A570" s="186" t="str">
        <x:f>IF(B570="","",ROW()-5)</x:f>
      </x:c>
      <x:c r="B570" s="196"/>
      <x:c r="C570" s="198"/>
      <x:c r="D570" s="196"/>
      <x:c r="E570" s="188"/>
      <x:c r="F570" s="198"/>
      <x:c r="G570" s="202"/>
      <x:c r="H570" s="204"/>
      <x:c r="I570" s="206" t="str">
        <x:f>IF(G570="","",MAX(G570-H570,0))</x:f>
      </x:c>
      <x:c r="J570" s="210"/>
      <x:c r="K570" s="190"/>
      <x:c r="L570" s="208"/>
      <x:c r="M570" s="208"/>
      <x:c r="N570" s="208"/>
      <x:c r="O570" s="208"/>
      <x:c r="P570" s="190"/>
      <x:c r="Q570" s="190"/>
      <x:c r="R570" s="190"/>
      <x:c r="S570" s="190"/>
      <x:c r="T570" s="190"/>
      <x:c r="U570" s="190"/>
      <x:c r="V570" s="212"/>
      <x:c r="W570" s="212"/>
      <x:c r="X570" s="200"/>
      <x:c r="Y570" s="192"/>
      <x:c r="Z570" s="214"/>
      <x:c r="AA570" s="214"/>
      <x:c r="AB570" s="192"/>
      <x:c r="AC570" s="194"/>
      <x:c r="AD570" s="186" t="str">
        <x:f>IF(COUNTA(B570:H570)+COUNTA(J570:AC570)=0,"",IF(OR(B570="",D570="",E570="",G570="",J570=""),"缺少必填项",IF(H570&gt;G570,"完成数大于订单数",IF(AND(X570="",OR(Y570="排队",Y570="生产中",Y570="阻塞",Z570&lt;&gt;"",AA570&lt;&gt;"",AB570="是")),"已有排期字段缺少机台",IF(AND(X570&lt;&gt;"",Y570="待排"),"已填机台但状态为待排",IF(AND(Y570="生产中",AB570&lt;&gt;"是"),"需确认：生产中未锁定","可导入"))))))</x:f>
      </x:c>
    </x:row>
    <x:row r="571" ht="22" customHeight="1">
      <x:c r="A571" s="186" t="str">
        <x:f>IF(B571="","",ROW()-5)</x:f>
      </x:c>
      <x:c r="B571" s="196"/>
      <x:c r="C571" s="198"/>
      <x:c r="D571" s="196"/>
      <x:c r="E571" s="188"/>
      <x:c r="F571" s="198"/>
      <x:c r="G571" s="202"/>
      <x:c r="H571" s="204"/>
      <x:c r="I571" s="206" t="str">
        <x:f>IF(G571="","",MAX(G571-H571,0))</x:f>
      </x:c>
      <x:c r="J571" s="210"/>
      <x:c r="K571" s="190"/>
      <x:c r="L571" s="208"/>
      <x:c r="M571" s="208"/>
      <x:c r="N571" s="208"/>
      <x:c r="O571" s="208"/>
      <x:c r="P571" s="190"/>
      <x:c r="Q571" s="190"/>
      <x:c r="R571" s="190"/>
      <x:c r="S571" s="190"/>
      <x:c r="T571" s="190"/>
      <x:c r="U571" s="190"/>
      <x:c r="V571" s="212"/>
      <x:c r="W571" s="212"/>
      <x:c r="X571" s="200"/>
      <x:c r="Y571" s="192"/>
      <x:c r="Z571" s="214"/>
      <x:c r="AA571" s="214"/>
      <x:c r="AB571" s="192"/>
      <x:c r="AC571" s="194"/>
      <x:c r="AD571" s="186" t="str">
        <x:f>IF(COUNTA(B571:H571)+COUNTA(J571:AC571)=0,"",IF(OR(B571="",D571="",E571="",G571="",J571=""),"缺少必填项",IF(H571&gt;G571,"完成数大于订单数",IF(AND(X571="",OR(Y571="排队",Y571="生产中",Y571="阻塞",Z571&lt;&gt;"",AA571&lt;&gt;"",AB571="是")),"已有排期字段缺少机台",IF(AND(X571&lt;&gt;"",Y571="待排"),"已填机台但状态为待排",IF(AND(Y571="生产中",AB571&lt;&gt;"是"),"需确认：生产中未锁定","可导入"))))))</x:f>
      </x:c>
    </x:row>
    <x:row r="572" ht="22" customHeight="1">
      <x:c r="A572" s="186" t="str">
        <x:f>IF(B572="","",ROW()-5)</x:f>
      </x:c>
      <x:c r="B572" s="196"/>
      <x:c r="C572" s="198"/>
      <x:c r="D572" s="196"/>
      <x:c r="E572" s="188"/>
      <x:c r="F572" s="198"/>
      <x:c r="G572" s="202"/>
      <x:c r="H572" s="204"/>
      <x:c r="I572" s="206" t="str">
        <x:f>IF(G572="","",MAX(G572-H572,0))</x:f>
      </x:c>
      <x:c r="J572" s="210"/>
      <x:c r="K572" s="190"/>
      <x:c r="L572" s="208"/>
      <x:c r="M572" s="208"/>
      <x:c r="N572" s="208"/>
      <x:c r="O572" s="208"/>
      <x:c r="P572" s="190"/>
      <x:c r="Q572" s="190"/>
      <x:c r="R572" s="190"/>
      <x:c r="S572" s="190"/>
      <x:c r="T572" s="190"/>
      <x:c r="U572" s="190"/>
      <x:c r="V572" s="212"/>
      <x:c r="W572" s="212"/>
      <x:c r="X572" s="200"/>
      <x:c r="Y572" s="192"/>
      <x:c r="Z572" s="214"/>
      <x:c r="AA572" s="214"/>
      <x:c r="AB572" s="192"/>
      <x:c r="AC572" s="194"/>
      <x:c r="AD572" s="186" t="str">
        <x:f>IF(COUNTA(B572:H572)+COUNTA(J572:AC572)=0,"",IF(OR(B572="",D572="",E572="",G572="",J572=""),"缺少必填项",IF(H572&gt;G572,"完成数大于订单数",IF(AND(X572="",OR(Y572="排队",Y572="生产中",Y572="阻塞",Z572&lt;&gt;"",AA572&lt;&gt;"",AB572="是")),"已有排期字段缺少机台",IF(AND(X572&lt;&gt;"",Y572="待排"),"已填机台但状态为待排",IF(AND(Y572="生产中",AB572&lt;&gt;"是"),"需确认：生产中未锁定","可导入"))))))</x:f>
      </x:c>
    </x:row>
    <x:row r="573" ht="22" customHeight="1">
      <x:c r="A573" s="186" t="str">
        <x:f>IF(B573="","",ROW()-5)</x:f>
      </x:c>
      <x:c r="B573" s="196"/>
      <x:c r="C573" s="198"/>
      <x:c r="D573" s="196"/>
      <x:c r="E573" s="188"/>
      <x:c r="F573" s="198"/>
      <x:c r="G573" s="202"/>
      <x:c r="H573" s="204"/>
      <x:c r="I573" s="206" t="str">
        <x:f>IF(G573="","",MAX(G573-H573,0))</x:f>
      </x:c>
      <x:c r="J573" s="210"/>
      <x:c r="K573" s="190"/>
      <x:c r="L573" s="208"/>
      <x:c r="M573" s="208"/>
      <x:c r="N573" s="208"/>
      <x:c r="O573" s="208"/>
      <x:c r="P573" s="190"/>
      <x:c r="Q573" s="190"/>
      <x:c r="R573" s="190"/>
      <x:c r="S573" s="190"/>
      <x:c r="T573" s="190"/>
      <x:c r="U573" s="190"/>
      <x:c r="V573" s="212"/>
      <x:c r="W573" s="212"/>
      <x:c r="X573" s="200"/>
      <x:c r="Y573" s="192"/>
      <x:c r="Z573" s="214"/>
      <x:c r="AA573" s="214"/>
      <x:c r="AB573" s="192"/>
      <x:c r="AC573" s="194"/>
      <x:c r="AD573" s="186" t="str">
        <x:f>IF(COUNTA(B573:H573)+COUNTA(J573:AC573)=0,"",IF(OR(B573="",D573="",E573="",G573="",J573=""),"缺少必填项",IF(H573&gt;G573,"完成数大于订单数",IF(AND(X573="",OR(Y573="排队",Y573="生产中",Y573="阻塞",Z573&lt;&gt;"",AA573&lt;&gt;"",AB573="是")),"已有排期字段缺少机台",IF(AND(X573&lt;&gt;"",Y573="待排"),"已填机台但状态为待排",IF(AND(Y573="生产中",AB573&lt;&gt;"是"),"需确认：生产中未锁定","可导入"))))))</x:f>
      </x:c>
    </x:row>
    <x:row r="574" ht="22" customHeight="1">
      <x:c r="A574" s="186" t="str">
        <x:f>IF(B574="","",ROW()-5)</x:f>
      </x:c>
      <x:c r="B574" s="196"/>
      <x:c r="C574" s="198"/>
      <x:c r="D574" s="196"/>
      <x:c r="E574" s="188"/>
      <x:c r="F574" s="198"/>
      <x:c r="G574" s="202"/>
      <x:c r="H574" s="204"/>
      <x:c r="I574" s="206" t="str">
        <x:f>IF(G574="","",MAX(G574-H574,0))</x:f>
      </x:c>
      <x:c r="J574" s="210"/>
      <x:c r="K574" s="190"/>
      <x:c r="L574" s="208"/>
      <x:c r="M574" s="208"/>
      <x:c r="N574" s="208"/>
      <x:c r="O574" s="208"/>
      <x:c r="P574" s="190"/>
      <x:c r="Q574" s="190"/>
      <x:c r="R574" s="190"/>
      <x:c r="S574" s="190"/>
      <x:c r="T574" s="190"/>
      <x:c r="U574" s="190"/>
      <x:c r="V574" s="212"/>
      <x:c r="W574" s="212"/>
      <x:c r="X574" s="200"/>
      <x:c r="Y574" s="192"/>
      <x:c r="Z574" s="214"/>
      <x:c r="AA574" s="214"/>
      <x:c r="AB574" s="192"/>
      <x:c r="AC574" s="194"/>
      <x:c r="AD574" s="186" t="str">
        <x:f>IF(COUNTA(B574:H574)+COUNTA(J574:AC574)=0,"",IF(OR(B574="",D574="",E574="",G574="",J574=""),"缺少必填项",IF(H574&gt;G574,"完成数大于订单数",IF(AND(X574="",OR(Y574="排队",Y574="生产中",Y574="阻塞",Z574&lt;&gt;"",AA574&lt;&gt;"",AB574="是")),"已有排期字段缺少机台",IF(AND(X574&lt;&gt;"",Y574="待排"),"已填机台但状态为待排",IF(AND(Y574="生产中",AB574&lt;&gt;"是"),"需确认：生产中未锁定","可导入"))))))</x:f>
      </x:c>
    </x:row>
    <x:row r="575" ht="22" customHeight="1">
      <x:c r="A575" s="186" t="str">
        <x:f>IF(B575="","",ROW()-5)</x:f>
      </x:c>
      <x:c r="B575" s="196"/>
      <x:c r="C575" s="198"/>
      <x:c r="D575" s="196"/>
      <x:c r="E575" s="188"/>
      <x:c r="F575" s="198"/>
      <x:c r="G575" s="202"/>
      <x:c r="H575" s="204"/>
      <x:c r="I575" s="206" t="str">
        <x:f>IF(G575="","",MAX(G575-H575,0))</x:f>
      </x:c>
      <x:c r="J575" s="210"/>
      <x:c r="K575" s="190"/>
      <x:c r="L575" s="208"/>
      <x:c r="M575" s="208"/>
      <x:c r="N575" s="208"/>
      <x:c r="O575" s="208"/>
      <x:c r="P575" s="190"/>
      <x:c r="Q575" s="190"/>
      <x:c r="R575" s="190"/>
      <x:c r="S575" s="190"/>
      <x:c r="T575" s="190"/>
      <x:c r="U575" s="190"/>
      <x:c r="V575" s="212"/>
      <x:c r="W575" s="212"/>
      <x:c r="X575" s="200"/>
      <x:c r="Y575" s="192"/>
      <x:c r="Z575" s="214"/>
      <x:c r="AA575" s="214"/>
      <x:c r="AB575" s="192"/>
      <x:c r="AC575" s="194"/>
      <x:c r="AD575" s="186" t="str">
        <x:f>IF(COUNTA(B575:H575)+COUNTA(J575:AC575)=0,"",IF(OR(B575="",D575="",E575="",G575="",J575=""),"缺少必填项",IF(H575&gt;G575,"完成数大于订单数",IF(AND(X575="",OR(Y575="排队",Y575="生产中",Y575="阻塞",Z575&lt;&gt;"",AA575&lt;&gt;"",AB575="是")),"已有排期字段缺少机台",IF(AND(X575&lt;&gt;"",Y575="待排"),"已填机台但状态为待排",IF(AND(Y575="生产中",AB575&lt;&gt;"是"),"需确认：生产中未锁定","可导入"))))))</x:f>
      </x:c>
    </x:row>
    <x:row r="576" ht="22" customHeight="1">
      <x:c r="A576" s="186" t="str">
        <x:f>IF(B576="","",ROW()-5)</x:f>
      </x:c>
      <x:c r="B576" s="196"/>
      <x:c r="C576" s="198"/>
      <x:c r="D576" s="196"/>
      <x:c r="E576" s="188"/>
      <x:c r="F576" s="198"/>
      <x:c r="G576" s="202"/>
      <x:c r="H576" s="204"/>
      <x:c r="I576" s="206" t="str">
        <x:f>IF(G576="","",MAX(G576-H576,0))</x:f>
      </x:c>
      <x:c r="J576" s="210"/>
      <x:c r="K576" s="190"/>
      <x:c r="L576" s="208"/>
      <x:c r="M576" s="208"/>
      <x:c r="N576" s="208"/>
      <x:c r="O576" s="208"/>
      <x:c r="P576" s="190"/>
      <x:c r="Q576" s="190"/>
      <x:c r="R576" s="190"/>
      <x:c r="S576" s="190"/>
      <x:c r="T576" s="190"/>
      <x:c r="U576" s="190"/>
      <x:c r="V576" s="212"/>
      <x:c r="W576" s="212"/>
      <x:c r="X576" s="200"/>
      <x:c r="Y576" s="192"/>
      <x:c r="Z576" s="214"/>
      <x:c r="AA576" s="214"/>
      <x:c r="AB576" s="192"/>
      <x:c r="AC576" s="194"/>
      <x:c r="AD576" s="186" t="str">
        <x:f>IF(COUNTA(B576:H576)+COUNTA(J576:AC576)=0,"",IF(OR(B576="",D576="",E576="",G576="",J576=""),"缺少必填项",IF(H576&gt;G576,"完成数大于订单数",IF(AND(X576="",OR(Y576="排队",Y576="生产中",Y576="阻塞",Z576&lt;&gt;"",AA576&lt;&gt;"",AB576="是")),"已有排期字段缺少机台",IF(AND(X576&lt;&gt;"",Y576="待排"),"已填机台但状态为待排",IF(AND(Y576="生产中",AB576&lt;&gt;"是"),"需确认：生产中未锁定","可导入"))))))</x:f>
      </x:c>
    </x:row>
    <x:row r="577" ht="22" customHeight="1">
      <x:c r="A577" s="186" t="str">
        <x:f>IF(B577="","",ROW()-5)</x:f>
      </x:c>
      <x:c r="B577" s="196"/>
      <x:c r="C577" s="198"/>
      <x:c r="D577" s="196"/>
      <x:c r="E577" s="188"/>
      <x:c r="F577" s="198"/>
      <x:c r="G577" s="202"/>
      <x:c r="H577" s="204"/>
      <x:c r="I577" s="206" t="str">
        <x:f>IF(G577="","",MAX(G577-H577,0))</x:f>
      </x:c>
      <x:c r="J577" s="210"/>
      <x:c r="K577" s="190"/>
      <x:c r="L577" s="208"/>
      <x:c r="M577" s="208"/>
      <x:c r="N577" s="208"/>
      <x:c r="O577" s="208"/>
      <x:c r="P577" s="190"/>
      <x:c r="Q577" s="190"/>
      <x:c r="R577" s="190"/>
      <x:c r="S577" s="190"/>
      <x:c r="T577" s="190"/>
      <x:c r="U577" s="190"/>
      <x:c r="V577" s="212"/>
      <x:c r="W577" s="212"/>
      <x:c r="X577" s="200"/>
      <x:c r="Y577" s="192"/>
      <x:c r="Z577" s="214"/>
      <x:c r="AA577" s="214"/>
      <x:c r="AB577" s="192"/>
      <x:c r="AC577" s="194"/>
      <x:c r="AD577" s="186" t="str">
        <x:f>IF(COUNTA(B577:H577)+COUNTA(J577:AC577)=0,"",IF(OR(B577="",D577="",E577="",G577="",J577=""),"缺少必填项",IF(H577&gt;G577,"完成数大于订单数",IF(AND(X577="",OR(Y577="排队",Y577="生产中",Y577="阻塞",Z577&lt;&gt;"",AA577&lt;&gt;"",AB577="是")),"已有排期字段缺少机台",IF(AND(X577&lt;&gt;"",Y577="待排"),"已填机台但状态为待排",IF(AND(Y577="生产中",AB577&lt;&gt;"是"),"需确认：生产中未锁定","可导入"))))))</x:f>
      </x:c>
    </x:row>
    <x:row r="578" ht="22" customHeight="1">
      <x:c r="A578" s="186" t="str">
        <x:f>IF(B578="","",ROW()-5)</x:f>
      </x:c>
      <x:c r="B578" s="196"/>
      <x:c r="C578" s="198"/>
      <x:c r="D578" s="196"/>
      <x:c r="E578" s="188"/>
      <x:c r="F578" s="198"/>
      <x:c r="G578" s="202"/>
      <x:c r="H578" s="204"/>
      <x:c r="I578" s="206" t="str">
        <x:f>IF(G578="","",MAX(G578-H578,0))</x:f>
      </x:c>
      <x:c r="J578" s="210"/>
      <x:c r="K578" s="190"/>
      <x:c r="L578" s="208"/>
      <x:c r="M578" s="208"/>
      <x:c r="N578" s="208"/>
      <x:c r="O578" s="208"/>
      <x:c r="P578" s="190"/>
      <x:c r="Q578" s="190"/>
      <x:c r="R578" s="190"/>
      <x:c r="S578" s="190"/>
      <x:c r="T578" s="190"/>
      <x:c r="U578" s="190"/>
      <x:c r="V578" s="212"/>
      <x:c r="W578" s="212"/>
      <x:c r="X578" s="200"/>
      <x:c r="Y578" s="192"/>
      <x:c r="Z578" s="214"/>
      <x:c r="AA578" s="214"/>
      <x:c r="AB578" s="192"/>
      <x:c r="AC578" s="194"/>
      <x:c r="AD578" s="186" t="str">
        <x:f>IF(COUNTA(B578:H578)+COUNTA(J578:AC578)=0,"",IF(OR(B578="",D578="",E578="",G578="",J578=""),"缺少必填项",IF(H578&gt;G578,"完成数大于订单数",IF(AND(X578="",OR(Y578="排队",Y578="生产中",Y578="阻塞",Z578&lt;&gt;"",AA578&lt;&gt;"",AB578="是")),"已有排期字段缺少机台",IF(AND(X578&lt;&gt;"",Y578="待排"),"已填机台但状态为待排",IF(AND(Y578="生产中",AB578&lt;&gt;"是"),"需确认：生产中未锁定","可导入"))))))</x:f>
      </x:c>
    </x:row>
    <x:row r="579" ht="22" customHeight="1">
      <x:c r="A579" s="186" t="str">
        <x:f>IF(B579="","",ROW()-5)</x:f>
      </x:c>
      <x:c r="B579" s="196"/>
      <x:c r="C579" s="198"/>
      <x:c r="D579" s="196"/>
      <x:c r="E579" s="188"/>
      <x:c r="F579" s="198"/>
      <x:c r="G579" s="202"/>
      <x:c r="H579" s="204"/>
      <x:c r="I579" s="206" t="str">
        <x:f>IF(G579="","",MAX(G579-H579,0))</x:f>
      </x:c>
      <x:c r="J579" s="210"/>
      <x:c r="K579" s="190"/>
      <x:c r="L579" s="208"/>
      <x:c r="M579" s="208"/>
      <x:c r="N579" s="208"/>
      <x:c r="O579" s="208"/>
      <x:c r="P579" s="190"/>
      <x:c r="Q579" s="190"/>
      <x:c r="R579" s="190"/>
      <x:c r="S579" s="190"/>
      <x:c r="T579" s="190"/>
      <x:c r="U579" s="190"/>
      <x:c r="V579" s="212"/>
      <x:c r="W579" s="212"/>
      <x:c r="X579" s="200"/>
      <x:c r="Y579" s="192"/>
      <x:c r="Z579" s="214"/>
      <x:c r="AA579" s="214"/>
      <x:c r="AB579" s="192"/>
      <x:c r="AC579" s="194"/>
      <x:c r="AD579" s="186" t="str">
        <x:f>IF(COUNTA(B579:H579)+COUNTA(J579:AC579)=0,"",IF(OR(B579="",D579="",E579="",G579="",J579=""),"缺少必填项",IF(H579&gt;G579,"完成数大于订单数",IF(AND(X579="",OR(Y579="排队",Y579="生产中",Y579="阻塞",Z579&lt;&gt;"",AA579&lt;&gt;"",AB579="是")),"已有排期字段缺少机台",IF(AND(X579&lt;&gt;"",Y579="待排"),"已填机台但状态为待排",IF(AND(Y579="生产中",AB579&lt;&gt;"是"),"需确认：生产中未锁定","可导入"))))))</x:f>
      </x:c>
    </x:row>
    <x:row r="580" ht="22" customHeight="1">
      <x:c r="A580" s="186" t="str">
        <x:f>IF(B580="","",ROW()-5)</x:f>
      </x:c>
      <x:c r="B580" s="196"/>
      <x:c r="C580" s="198"/>
      <x:c r="D580" s="196"/>
      <x:c r="E580" s="188"/>
      <x:c r="F580" s="198"/>
      <x:c r="G580" s="202"/>
      <x:c r="H580" s="204"/>
      <x:c r="I580" s="206" t="str">
        <x:f>IF(G580="","",MAX(G580-H580,0))</x:f>
      </x:c>
      <x:c r="J580" s="210"/>
      <x:c r="K580" s="190"/>
      <x:c r="L580" s="208"/>
      <x:c r="M580" s="208"/>
      <x:c r="N580" s="208"/>
      <x:c r="O580" s="208"/>
      <x:c r="P580" s="190"/>
      <x:c r="Q580" s="190"/>
      <x:c r="R580" s="190"/>
      <x:c r="S580" s="190"/>
      <x:c r="T580" s="190"/>
      <x:c r="U580" s="190"/>
      <x:c r="V580" s="212"/>
      <x:c r="W580" s="212"/>
      <x:c r="X580" s="200"/>
      <x:c r="Y580" s="192"/>
      <x:c r="Z580" s="214"/>
      <x:c r="AA580" s="214"/>
      <x:c r="AB580" s="192"/>
      <x:c r="AC580" s="194"/>
      <x:c r="AD580" s="186" t="str">
        <x:f>IF(COUNTA(B580:H580)+COUNTA(J580:AC580)=0,"",IF(OR(B580="",D580="",E580="",G580="",J580=""),"缺少必填项",IF(H580&gt;G580,"完成数大于订单数",IF(AND(X580="",OR(Y580="排队",Y580="生产中",Y580="阻塞",Z580&lt;&gt;"",AA580&lt;&gt;"",AB580="是")),"已有排期字段缺少机台",IF(AND(X580&lt;&gt;"",Y580="待排"),"已填机台但状态为待排",IF(AND(Y580="生产中",AB580&lt;&gt;"是"),"需确认：生产中未锁定","可导入"))))))</x:f>
      </x:c>
    </x:row>
    <x:row r="581" ht="22" customHeight="1">
      <x:c r="A581" s="186" t="str">
        <x:f>IF(B581="","",ROW()-5)</x:f>
      </x:c>
      <x:c r="B581" s="196"/>
      <x:c r="C581" s="198"/>
      <x:c r="D581" s="196"/>
      <x:c r="E581" s="188"/>
      <x:c r="F581" s="198"/>
      <x:c r="G581" s="202"/>
      <x:c r="H581" s="204"/>
      <x:c r="I581" s="206" t="str">
        <x:f>IF(G581="","",MAX(G581-H581,0))</x:f>
      </x:c>
      <x:c r="J581" s="210"/>
      <x:c r="K581" s="190"/>
      <x:c r="L581" s="208"/>
      <x:c r="M581" s="208"/>
      <x:c r="N581" s="208"/>
      <x:c r="O581" s="208"/>
      <x:c r="P581" s="190"/>
      <x:c r="Q581" s="190"/>
      <x:c r="R581" s="190"/>
      <x:c r="S581" s="190"/>
      <x:c r="T581" s="190"/>
      <x:c r="U581" s="190"/>
      <x:c r="V581" s="212"/>
      <x:c r="W581" s="212"/>
      <x:c r="X581" s="200"/>
      <x:c r="Y581" s="192"/>
      <x:c r="Z581" s="214"/>
      <x:c r="AA581" s="214"/>
      <x:c r="AB581" s="192"/>
      <x:c r="AC581" s="194"/>
      <x:c r="AD581" s="186" t="str">
        <x:f>IF(COUNTA(B581:H581)+COUNTA(J581:AC581)=0,"",IF(OR(B581="",D581="",E581="",G581="",J581=""),"缺少必填项",IF(H581&gt;G581,"完成数大于订单数",IF(AND(X581="",OR(Y581="排队",Y581="生产中",Y581="阻塞",Z581&lt;&gt;"",AA581&lt;&gt;"",AB581="是")),"已有排期字段缺少机台",IF(AND(X581&lt;&gt;"",Y581="待排"),"已填机台但状态为待排",IF(AND(Y581="生产中",AB581&lt;&gt;"是"),"需确认：生产中未锁定","可导入"))))))</x:f>
      </x:c>
    </x:row>
    <x:row r="582" ht="22" customHeight="1">
      <x:c r="A582" s="186" t="str">
        <x:f>IF(B582="","",ROW()-5)</x:f>
      </x:c>
      <x:c r="B582" s="196"/>
      <x:c r="C582" s="198"/>
      <x:c r="D582" s="196"/>
      <x:c r="E582" s="188"/>
      <x:c r="F582" s="198"/>
      <x:c r="G582" s="202"/>
      <x:c r="H582" s="204"/>
      <x:c r="I582" s="206" t="str">
        <x:f>IF(G582="","",MAX(G582-H582,0))</x:f>
      </x:c>
      <x:c r="J582" s="210"/>
      <x:c r="K582" s="190"/>
      <x:c r="L582" s="208"/>
      <x:c r="M582" s="208"/>
      <x:c r="N582" s="208"/>
      <x:c r="O582" s="208"/>
      <x:c r="P582" s="190"/>
      <x:c r="Q582" s="190"/>
      <x:c r="R582" s="190"/>
      <x:c r="S582" s="190"/>
      <x:c r="T582" s="190"/>
      <x:c r="U582" s="190"/>
      <x:c r="V582" s="212"/>
      <x:c r="W582" s="212"/>
      <x:c r="X582" s="200"/>
      <x:c r="Y582" s="192"/>
      <x:c r="Z582" s="214"/>
      <x:c r="AA582" s="214"/>
      <x:c r="AB582" s="192"/>
      <x:c r="AC582" s="194"/>
      <x:c r="AD582" s="186" t="str">
        <x:f>IF(COUNTA(B582:H582)+COUNTA(J582:AC582)=0,"",IF(OR(B582="",D582="",E582="",G582="",J582=""),"缺少必填项",IF(H582&gt;G582,"完成数大于订单数",IF(AND(X582="",OR(Y582="排队",Y582="生产中",Y582="阻塞",Z582&lt;&gt;"",AA582&lt;&gt;"",AB582="是")),"已有排期字段缺少机台",IF(AND(X582&lt;&gt;"",Y582="待排"),"已填机台但状态为待排",IF(AND(Y582="生产中",AB582&lt;&gt;"是"),"需确认：生产中未锁定","可导入"))))))</x:f>
      </x:c>
    </x:row>
    <x:row r="583" ht="22" customHeight="1">
      <x:c r="A583" s="186" t="str">
        <x:f>IF(B583="","",ROW()-5)</x:f>
      </x:c>
      <x:c r="B583" s="196"/>
      <x:c r="C583" s="198"/>
      <x:c r="D583" s="196"/>
      <x:c r="E583" s="188"/>
      <x:c r="F583" s="198"/>
      <x:c r="G583" s="202"/>
      <x:c r="H583" s="204"/>
      <x:c r="I583" s="206" t="str">
        <x:f>IF(G583="","",MAX(G583-H583,0))</x:f>
      </x:c>
      <x:c r="J583" s="210"/>
      <x:c r="K583" s="190"/>
      <x:c r="L583" s="208"/>
      <x:c r="M583" s="208"/>
      <x:c r="N583" s="208"/>
      <x:c r="O583" s="208"/>
      <x:c r="P583" s="190"/>
      <x:c r="Q583" s="190"/>
      <x:c r="R583" s="190"/>
      <x:c r="S583" s="190"/>
      <x:c r="T583" s="190"/>
      <x:c r="U583" s="190"/>
      <x:c r="V583" s="212"/>
      <x:c r="W583" s="212"/>
      <x:c r="X583" s="200"/>
      <x:c r="Y583" s="192"/>
      <x:c r="Z583" s="214"/>
      <x:c r="AA583" s="214"/>
      <x:c r="AB583" s="192"/>
      <x:c r="AC583" s="194"/>
      <x:c r="AD583" s="186" t="str">
        <x:f>IF(COUNTA(B583:H583)+COUNTA(J583:AC583)=0,"",IF(OR(B583="",D583="",E583="",G583="",J583=""),"缺少必填项",IF(H583&gt;G583,"完成数大于订单数",IF(AND(X583="",OR(Y583="排队",Y583="生产中",Y583="阻塞",Z583&lt;&gt;"",AA583&lt;&gt;"",AB583="是")),"已有排期字段缺少机台",IF(AND(X583&lt;&gt;"",Y583="待排"),"已填机台但状态为待排",IF(AND(Y583="生产中",AB583&lt;&gt;"是"),"需确认：生产中未锁定","可导入"))))))</x:f>
      </x:c>
    </x:row>
    <x:row r="584" ht="22" customHeight="1">
      <x:c r="A584" s="186" t="str">
        <x:f>IF(B584="","",ROW()-5)</x:f>
      </x:c>
      <x:c r="B584" s="196"/>
      <x:c r="C584" s="198"/>
      <x:c r="D584" s="196"/>
      <x:c r="E584" s="188"/>
      <x:c r="F584" s="198"/>
      <x:c r="G584" s="202"/>
      <x:c r="H584" s="204"/>
      <x:c r="I584" s="206" t="str">
        <x:f>IF(G584="","",MAX(G584-H584,0))</x:f>
      </x:c>
      <x:c r="J584" s="210"/>
      <x:c r="K584" s="190"/>
      <x:c r="L584" s="208"/>
      <x:c r="M584" s="208"/>
      <x:c r="N584" s="208"/>
      <x:c r="O584" s="208"/>
      <x:c r="P584" s="190"/>
      <x:c r="Q584" s="190"/>
      <x:c r="R584" s="190"/>
      <x:c r="S584" s="190"/>
      <x:c r="T584" s="190"/>
      <x:c r="U584" s="190"/>
      <x:c r="V584" s="212"/>
      <x:c r="W584" s="212"/>
      <x:c r="X584" s="200"/>
      <x:c r="Y584" s="192"/>
      <x:c r="Z584" s="214"/>
      <x:c r="AA584" s="214"/>
      <x:c r="AB584" s="192"/>
      <x:c r="AC584" s="194"/>
      <x:c r="AD584" s="186" t="str">
        <x:f>IF(COUNTA(B584:H584)+COUNTA(J584:AC584)=0,"",IF(OR(B584="",D584="",E584="",G584="",J584=""),"缺少必填项",IF(H584&gt;G584,"完成数大于订单数",IF(AND(X584="",OR(Y584="排队",Y584="生产中",Y584="阻塞",Z584&lt;&gt;"",AA584&lt;&gt;"",AB584="是")),"已有排期字段缺少机台",IF(AND(X584&lt;&gt;"",Y584="待排"),"已填机台但状态为待排",IF(AND(Y584="生产中",AB584&lt;&gt;"是"),"需确认：生产中未锁定","可导入"))))))</x:f>
      </x:c>
    </x:row>
    <x:row r="585" ht="22" customHeight="1">
      <x:c r="A585" s="186" t="str">
        <x:f>IF(B585="","",ROW()-5)</x:f>
      </x:c>
      <x:c r="B585" s="196"/>
      <x:c r="C585" s="198"/>
      <x:c r="D585" s="196"/>
      <x:c r="E585" s="188"/>
      <x:c r="F585" s="198"/>
      <x:c r="G585" s="202"/>
      <x:c r="H585" s="204"/>
      <x:c r="I585" s="206" t="str">
        <x:f>IF(G585="","",MAX(G585-H585,0))</x:f>
      </x:c>
      <x:c r="J585" s="210"/>
      <x:c r="K585" s="190"/>
      <x:c r="L585" s="208"/>
      <x:c r="M585" s="208"/>
      <x:c r="N585" s="208"/>
      <x:c r="O585" s="208"/>
      <x:c r="P585" s="190"/>
      <x:c r="Q585" s="190"/>
      <x:c r="R585" s="190"/>
      <x:c r="S585" s="190"/>
      <x:c r="T585" s="190"/>
      <x:c r="U585" s="190"/>
      <x:c r="V585" s="212"/>
      <x:c r="W585" s="212"/>
      <x:c r="X585" s="200"/>
      <x:c r="Y585" s="192"/>
      <x:c r="Z585" s="214"/>
      <x:c r="AA585" s="214"/>
      <x:c r="AB585" s="192"/>
      <x:c r="AC585" s="194"/>
      <x:c r="AD585" s="186" t="str">
        <x:f>IF(COUNTA(B585:H585)+COUNTA(J585:AC585)=0,"",IF(OR(B585="",D585="",E585="",G585="",J585=""),"缺少必填项",IF(H585&gt;G585,"完成数大于订单数",IF(AND(X585="",OR(Y585="排队",Y585="生产中",Y585="阻塞",Z585&lt;&gt;"",AA585&lt;&gt;"",AB585="是")),"已有排期字段缺少机台",IF(AND(X585&lt;&gt;"",Y585="待排"),"已填机台但状态为待排",IF(AND(Y585="生产中",AB585&lt;&gt;"是"),"需确认：生产中未锁定","可导入"))))))</x:f>
      </x:c>
    </x:row>
    <x:row r="586" ht="22" customHeight="1">
      <x:c r="A586" s="186" t="str">
        <x:f>IF(B586="","",ROW()-5)</x:f>
      </x:c>
      <x:c r="B586" s="196"/>
      <x:c r="C586" s="198"/>
      <x:c r="D586" s="196"/>
      <x:c r="E586" s="188"/>
      <x:c r="F586" s="198"/>
      <x:c r="G586" s="202"/>
      <x:c r="H586" s="204"/>
      <x:c r="I586" s="206" t="str">
        <x:f>IF(G586="","",MAX(G586-H586,0))</x:f>
      </x:c>
      <x:c r="J586" s="210"/>
      <x:c r="K586" s="190"/>
      <x:c r="L586" s="208"/>
      <x:c r="M586" s="208"/>
      <x:c r="N586" s="208"/>
      <x:c r="O586" s="208"/>
      <x:c r="P586" s="190"/>
      <x:c r="Q586" s="190"/>
      <x:c r="R586" s="190"/>
      <x:c r="S586" s="190"/>
      <x:c r="T586" s="190"/>
      <x:c r="U586" s="190"/>
      <x:c r="V586" s="212"/>
      <x:c r="W586" s="212"/>
      <x:c r="X586" s="200"/>
      <x:c r="Y586" s="192"/>
      <x:c r="Z586" s="214"/>
      <x:c r="AA586" s="214"/>
      <x:c r="AB586" s="192"/>
      <x:c r="AC586" s="194"/>
      <x:c r="AD586" s="186" t="str">
        <x:f>IF(COUNTA(B586:H586)+COUNTA(J586:AC586)=0,"",IF(OR(B586="",D586="",E586="",G586="",J586=""),"缺少必填项",IF(H586&gt;G586,"完成数大于订单数",IF(AND(X586="",OR(Y586="排队",Y586="生产中",Y586="阻塞",Z586&lt;&gt;"",AA586&lt;&gt;"",AB586="是")),"已有排期字段缺少机台",IF(AND(X586&lt;&gt;"",Y586="待排"),"已填机台但状态为待排",IF(AND(Y586="生产中",AB586&lt;&gt;"是"),"需确认：生产中未锁定","可导入"))))))</x:f>
      </x:c>
    </x:row>
    <x:row r="587" ht="22" customHeight="1">
      <x:c r="A587" s="186" t="str">
        <x:f>IF(B587="","",ROW()-5)</x:f>
      </x:c>
      <x:c r="B587" s="196"/>
      <x:c r="C587" s="198"/>
      <x:c r="D587" s="196"/>
      <x:c r="E587" s="188"/>
      <x:c r="F587" s="198"/>
      <x:c r="G587" s="202"/>
      <x:c r="H587" s="204"/>
      <x:c r="I587" s="206" t="str">
        <x:f>IF(G587="","",MAX(G587-H587,0))</x:f>
      </x:c>
      <x:c r="J587" s="210"/>
      <x:c r="K587" s="190"/>
      <x:c r="L587" s="208"/>
      <x:c r="M587" s="208"/>
      <x:c r="N587" s="208"/>
      <x:c r="O587" s="208"/>
      <x:c r="P587" s="190"/>
      <x:c r="Q587" s="190"/>
      <x:c r="R587" s="190"/>
      <x:c r="S587" s="190"/>
      <x:c r="T587" s="190"/>
      <x:c r="U587" s="190"/>
      <x:c r="V587" s="212"/>
      <x:c r="W587" s="212"/>
      <x:c r="X587" s="200"/>
      <x:c r="Y587" s="192"/>
      <x:c r="Z587" s="214"/>
      <x:c r="AA587" s="214"/>
      <x:c r="AB587" s="192"/>
      <x:c r="AC587" s="194"/>
      <x:c r="AD587" s="186" t="str">
        <x:f>IF(COUNTA(B587:H587)+COUNTA(J587:AC587)=0,"",IF(OR(B587="",D587="",E587="",G587="",J587=""),"缺少必填项",IF(H587&gt;G587,"完成数大于订单数",IF(AND(X587="",OR(Y587="排队",Y587="生产中",Y587="阻塞",Z587&lt;&gt;"",AA587&lt;&gt;"",AB587="是")),"已有排期字段缺少机台",IF(AND(X587&lt;&gt;"",Y587="待排"),"已填机台但状态为待排",IF(AND(Y587="生产中",AB587&lt;&gt;"是"),"需确认：生产中未锁定","可导入"))))))</x:f>
      </x:c>
    </x:row>
    <x:row r="588" ht="22" customHeight="1">
      <x:c r="A588" s="186" t="str">
        <x:f>IF(B588="","",ROW()-5)</x:f>
      </x:c>
      <x:c r="B588" s="196"/>
      <x:c r="C588" s="198"/>
      <x:c r="D588" s="196"/>
      <x:c r="E588" s="188"/>
      <x:c r="F588" s="198"/>
      <x:c r="G588" s="202"/>
      <x:c r="H588" s="204"/>
      <x:c r="I588" s="206" t="str">
        <x:f>IF(G588="","",MAX(G588-H588,0))</x:f>
      </x:c>
      <x:c r="J588" s="210"/>
      <x:c r="K588" s="190"/>
      <x:c r="L588" s="208"/>
      <x:c r="M588" s="208"/>
      <x:c r="N588" s="208"/>
      <x:c r="O588" s="208"/>
      <x:c r="P588" s="190"/>
      <x:c r="Q588" s="190"/>
      <x:c r="R588" s="190"/>
      <x:c r="S588" s="190"/>
      <x:c r="T588" s="190"/>
      <x:c r="U588" s="190"/>
      <x:c r="V588" s="212"/>
      <x:c r="W588" s="212"/>
      <x:c r="X588" s="200"/>
      <x:c r="Y588" s="192"/>
      <x:c r="Z588" s="214"/>
      <x:c r="AA588" s="214"/>
      <x:c r="AB588" s="192"/>
      <x:c r="AC588" s="194"/>
      <x:c r="AD588" s="186" t="str">
        <x:f>IF(COUNTA(B588:H588)+COUNTA(J588:AC588)=0,"",IF(OR(B588="",D588="",E588="",G588="",J588=""),"缺少必填项",IF(H588&gt;G588,"完成数大于订单数",IF(AND(X588="",OR(Y588="排队",Y588="生产中",Y588="阻塞",Z588&lt;&gt;"",AA588&lt;&gt;"",AB588="是")),"已有排期字段缺少机台",IF(AND(X588&lt;&gt;"",Y588="待排"),"已填机台但状态为待排",IF(AND(Y588="生产中",AB588&lt;&gt;"是"),"需确认：生产中未锁定","可导入"))))))</x:f>
      </x:c>
    </x:row>
    <x:row r="589" ht="22" customHeight="1">
      <x:c r="A589" s="186" t="str">
        <x:f>IF(B589="","",ROW()-5)</x:f>
      </x:c>
      <x:c r="B589" s="196"/>
      <x:c r="C589" s="198"/>
      <x:c r="D589" s="196"/>
      <x:c r="E589" s="188"/>
      <x:c r="F589" s="198"/>
      <x:c r="G589" s="202"/>
      <x:c r="H589" s="204"/>
      <x:c r="I589" s="206" t="str">
        <x:f>IF(G589="","",MAX(G589-H589,0))</x:f>
      </x:c>
      <x:c r="J589" s="210"/>
      <x:c r="K589" s="190"/>
      <x:c r="L589" s="208"/>
      <x:c r="M589" s="208"/>
      <x:c r="N589" s="208"/>
      <x:c r="O589" s="208"/>
      <x:c r="P589" s="190"/>
      <x:c r="Q589" s="190"/>
      <x:c r="R589" s="190"/>
      <x:c r="S589" s="190"/>
      <x:c r="T589" s="190"/>
      <x:c r="U589" s="190"/>
      <x:c r="V589" s="212"/>
      <x:c r="W589" s="212"/>
      <x:c r="X589" s="200"/>
      <x:c r="Y589" s="192"/>
      <x:c r="Z589" s="214"/>
      <x:c r="AA589" s="214"/>
      <x:c r="AB589" s="192"/>
      <x:c r="AC589" s="194"/>
      <x:c r="AD589" s="186" t="str">
        <x:f>IF(COUNTA(B589:H589)+COUNTA(J589:AC589)=0,"",IF(OR(B589="",D589="",E589="",G589="",J589=""),"缺少必填项",IF(H589&gt;G589,"完成数大于订单数",IF(AND(X589="",OR(Y589="排队",Y589="生产中",Y589="阻塞",Z589&lt;&gt;"",AA589&lt;&gt;"",AB589="是")),"已有排期字段缺少机台",IF(AND(X589&lt;&gt;"",Y589="待排"),"已填机台但状态为待排",IF(AND(Y589="生产中",AB589&lt;&gt;"是"),"需确认：生产中未锁定","可导入"))))))</x:f>
      </x:c>
    </x:row>
    <x:row r="590" ht="22" customHeight="1">
      <x:c r="A590" s="186" t="str">
        <x:f>IF(B590="","",ROW()-5)</x:f>
      </x:c>
      <x:c r="B590" s="196"/>
      <x:c r="C590" s="198"/>
      <x:c r="D590" s="196"/>
      <x:c r="E590" s="188"/>
      <x:c r="F590" s="198"/>
      <x:c r="G590" s="202"/>
      <x:c r="H590" s="204"/>
      <x:c r="I590" s="206" t="str">
        <x:f>IF(G590="","",MAX(G590-H590,0))</x:f>
      </x:c>
      <x:c r="J590" s="210"/>
      <x:c r="K590" s="190"/>
      <x:c r="L590" s="208"/>
      <x:c r="M590" s="208"/>
      <x:c r="N590" s="208"/>
      <x:c r="O590" s="208"/>
      <x:c r="P590" s="190"/>
      <x:c r="Q590" s="190"/>
      <x:c r="R590" s="190"/>
      <x:c r="S590" s="190"/>
      <x:c r="T590" s="190"/>
      <x:c r="U590" s="190"/>
      <x:c r="V590" s="212"/>
      <x:c r="W590" s="212"/>
      <x:c r="X590" s="200"/>
      <x:c r="Y590" s="192"/>
      <x:c r="Z590" s="214"/>
      <x:c r="AA590" s="214"/>
      <x:c r="AB590" s="192"/>
      <x:c r="AC590" s="194"/>
      <x:c r="AD590" s="186" t="str">
        <x:f>IF(COUNTA(B590:H590)+COUNTA(J590:AC590)=0,"",IF(OR(B590="",D590="",E590="",G590="",J590=""),"缺少必填项",IF(H590&gt;G590,"完成数大于订单数",IF(AND(X590="",OR(Y590="排队",Y590="生产中",Y590="阻塞",Z590&lt;&gt;"",AA590&lt;&gt;"",AB590="是")),"已有排期字段缺少机台",IF(AND(X590&lt;&gt;"",Y590="待排"),"已填机台但状态为待排",IF(AND(Y590="生产中",AB590&lt;&gt;"是"),"需确认：生产中未锁定","可导入"))))))</x:f>
      </x:c>
    </x:row>
    <x:row r="591" ht="22" customHeight="1">
      <x:c r="A591" s="186" t="str">
        <x:f>IF(B591="","",ROW()-5)</x:f>
      </x:c>
      <x:c r="B591" s="196"/>
      <x:c r="C591" s="198"/>
      <x:c r="D591" s="196"/>
      <x:c r="E591" s="188"/>
      <x:c r="F591" s="198"/>
      <x:c r="G591" s="202"/>
      <x:c r="H591" s="204"/>
      <x:c r="I591" s="206" t="str">
        <x:f>IF(G591="","",MAX(G591-H591,0))</x:f>
      </x:c>
      <x:c r="J591" s="210"/>
      <x:c r="K591" s="190"/>
      <x:c r="L591" s="208"/>
      <x:c r="M591" s="208"/>
      <x:c r="N591" s="208"/>
      <x:c r="O591" s="208"/>
      <x:c r="P591" s="190"/>
      <x:c r="Q591" s="190"/>
      <x:c r="R591" s="190"/>
      <x:c r="S591" s="190"/>
      <x:c r="T591" s="190"/>
      <x:c r="U591" s="190"/>
      <x:c r="V591" s="212"/>
      <x:c r="W591" s="212"/>
      <x:c r="X591" s="200"/>
      <x:c r="Y591" s="192"/>
      <x:c r="Z591" s="214"/>
      <x:c r="AA591" s="214"/>
      <x:c r="AB591" s="192"/>
      <x:c r="AC591" s="194"/>
      <x:c r="AD591" s="186" t="str">
        <x:f>IF(COUNTA(B591:H591)+COUNTA(J591:AC591)=0,"",IF(OR(B591="",D591="",E591="",G591="",J591=""),"缺少必填项",IF(H591&gt;G591,"完成数大于订单数",IF(AND(X591="",OR(Y591="排队",Y591="生产中",Y591="阻塞",Z591&lt;&gt;"",AA591&lt;&gt;"",AB591="是")),"已有排期字段缺少机台",IF(AND(X591&lt;&gt;"",Y591="待排"),"已填机台但状态为待排",IF(AND(Y591="生产中",AB591&lt;&gt;"是"),"需确认：生产中未锁定","可导入"))))))</x:f>
      </x:c>
    </x:row>
    <x:row r="592" ht="22" customHeight="1">
      <x:c r="A592" s="186" t="str">
        <x:f>IF(B592="","",ROW()-5)</x:f>
      </x:c>
      <x:c r="B592" s="196"/>
      <x:c r="C592" s="198"/>
      <x:c r="D592" s="196"/>
      <x:c r="E592" s="188"/>
      <x:c r="F592" s="198"/>
      <x:c r="G592" s="202"/>
      <x:c r="H592" s="204"/>
      <x:c r="I592" s="206" t="str">
        <x:f>IF(G592="","",MAX(G592-H592,0))</x:f>
      </x:c>
      <x:c r="J592" s="210"/>
      <x:c r="K592" s="190"/>
      <x:c r="L592" s="208"/>
      <x:c r="M592" s="208"/>
      <x:c r="N592" s="208"/>
      <x:c r="O592" s="208"/>
      <x:c r="P592" s="190"/>
      <x:c r="Q592" s="190"/>
      <x:c r="R592" s="190"/>
      <x:c r="S592" s="190"/>
      <x:c r="T592" s="190"/>
      <x:c r="U592" s="190"/>
      <x:c r="V592" s="212"/>
      <x:c r="W592" s="212"/>
      <x:c r="X592" s="200"/>
      <x:c r="Y592" s="192"/>
      <x:c r="Z592" s="214"/>
      <x:c r="AA592" s="214"/>
      <x:c r="AB592" s="192"/>
      <x:c r="AC592" s="194"/>
      <x:c r="AD592" s="186" t="str">
        <x:f>IF(COUNTA(B592:H592)+COUNTA(J592:AC592)=0,"",IF(OR(B592="",D592="",E592="",G592="",J592=""),"缺少必填项",IF(H592&gt;G592,"完成数大于订单数",IF(AND(X592="",OR(Y592="排队",Y592="生产中",Y592="阻塞",Z592&lt;&gt;"",AA592&lt;&gt;"",AB592="是")),"已有排期字段缺少机台",IF(AND(X592&lt;&gt;"",Y592="待排"),"已填机台但状态为待排",IF(AND(Y592="生产中",AB592&lt;&gt;"是"),"需确认：生产中未锁定","可导入"))))))</x:f>
      </x:c>
    </x:row>
    <x:row r="593" ht="22" customHeight="1">
      <x:c r="A593" s="186" t="str">
        <x:f>IF(B593="","",ROW()-5)</x:f>
      </x:c>
      <x:c r="B593" s="196"/>
      <x:c r="C593" s="198"/>
      <x:c r="D593" s="196"/>
      <x:c r="E593" s="188"/>
      <x:c r="F593" s="198"/>
      <x:c r="G593" s="202"/>
      <x:c r="H593" s="204"/>
      <x:c r="I593" s="206" t="str">
        <x:f>IF(G593="","",MAX(G593-H593,0))</x:f>
      </x:c>
      <x:c r="J593" s="210"/>
      <x:c r="K593" s="190"/>
      <x:c r="L593" s="208"/>
      <x:c r="M593" s="208"/>
      <x:c r="N593" s="208"/>
      <x:c r="O593" s="208"/>
      <x:c r="P593" s="190"/>
      <x:c r="Q593" s="190"/>
      <x:c r="R593" s="190"/>
      <x:c r="S593" s="190"/>
      <x:c r="T593" s="190"/>
      <x:c r="U593" s="190"/>
      <x:c r="V593" s="212"/>
      <x:c r="W593" s="212"/>
      <x:c r="X593" s="200"/>
      <x:c r="Y593" s="192"/>
      <x:c r="Z593" s="214"/>
      <x:c r="AA593" s="214"/>
      <x:c r="AB593" s="192"/>
      <x:c r="AC593" s="194"/>
      <x:c r="AD593" s="186" t="str">
        <x:f>IF(COUNTA(B593:H593)+COUNTA(J593:AC593)=0,"",IF(OR(B593="",D593="",E593="",G593="",J593=""),"缺少必填项",IF(H593&gt;G593,"完成数大于订单数",IF(AND(X593="",OR(Y593="排队",Y593="生产中",Y593="阻塞",Z593&lt;&gt;"",AA593&lt;&gt;"",AB593="是")),"已有排期字段缺少机台",IF(AND(X593&lt;&gt;"",Y593="待排"),"已填机台但状态为待排",IF(AND(Y593="生产中",AB593&lt;&gt;"是"),"需确认：生产中未锁定","可导入"))))))</x:f>
      </x:c>
    </x:row>
    <x:row r="594" ht="22" customHeight="1">
      <x:c r="A594" s="186" t="str">
        <x:f>IF(B594="","",ROW()-5)</x:f>
      </x:c>
      <x:c r="B594" s="196"/>
      <x:c r="C594" s="198"/>
      <x:c r="D594" s="196"/>
      <x:c r="E594" s="188"/>
      <x:c r="F594" s="198"/>
      <x:c r="G594" s="202"/>
      <x:c r="H594" s="204"/>
      <x:c r="I594" s="206" t="str">
        <x:f>IF(G594="","",MAX(G594-H594,0))</x:f>
      </x:c>
      <x:c r="J594" s="210"/>
      <x:c r="K594" s="190"/>
      <x:c r="L594" s="208"/>
      <x:c r="M594" s="208"/>
      <x:c r="N594" s="208"/>
      <x:c r="O594" s="208"/>
      <x:c r="P594" s="190"/>
      <x:c r="Q594" s="190"/>
      <x:c r="R594" s="190"/>
      <x:c r="S594" s="190"/>
      <x:c r="T594" s="190"/>
      <x:c r="U594" s="190"/>
      <x:c r="V594" s="212"/>
      <x:c r="W594" s="212"/>
      <x:c r="X594" s="200"/>
      <x:c r="Y594" s="192"/>
      <x:c r="Z594" s="214"/>
      <x:c r="AA594" s="214"/>
      <x:c r="AB594" s="192"/>
      <x:c r="AC594" s="194"/>
      <x:c r="AD594" s="186" t="str">
        <x:f>IF(COUNTA(B594:H594)+COUNTA(J594:AC594)=0,"",IF(OR(B594="",D594="",E594="",G594="",J594=""),"缺少必填项",IF(H594&gt;G594,"完成数大于订单数",IF(AND(X594="",OR(Y594="排队",Y594="生产中",Y594="阻塞",Z594&lt;&gt;"",AA594&lt;&gt;"",AB594="是")),"已有排期字段缺少机台",IF(AND(X594&lt;&gt;"",Y594="待排"),"已填机台但状态为待排",IF(AND(Y594="生产中",AB594&lt;&gt;"是"),"需确认：生产中未锁定","可导入"))))))</x:f>
      </x:c>
    </x:row>
    <x:row r="595" ht="22" customHeight="1">
      <x:c r="A595" s="186" t="str">
        <x:f>IF(B595="","",ROW()-5)</x:f>
      </x:c>
      <x:c r="B595" s="196"/>
      <x:c r="C595" s="198"/>
      <x:c r="D595" s="196"/>
      <x:c r="E595" s="188"/>
      <x:c r="F595" s="198"/>
      <x:c r="G595" s="202"/>
      <x:c r="H595" s="204"/>
      <x:c r="I595" s="206" t="str">
        <x:f>IF(G595="","",MAX(G595-H595,0))</x:f>
      </x:c>
      <x:c r="J595" s="210"/>
      <x:c r="K595" s="190"/>
      <x:c r="L595" s="208"/>
      <x:c r="M595" s="208"/>
      <x:c r="N595" s="208"/>
      <x:c r="O595" s="208"/>
      <x:c r="P595" s="190"/>
      <x:c r="Q595" s="190"/>
      <x:c r="R595" s="190"/>
      <x:c r="S595" s="190"/>
      <x:c r="T595" s="190"/>
      <x:c r="U595" s="190"/>
      <x:c r="V595" s="212"/>
      <x:c r="W595" s="212"/>
      <x:c r="X595" s="200"/>
      <x:c r="Y595" s="192"/>
      <x:c r="Z595" s="214"/>
      <x:c r="AA595" s="214"/>
      <x:c r="AB595" s="192"/>
      <x:c r="AC595" s="194"/>
      <x:c r="AD595" s="186" t="str">
        <x:f>IF(COUNTA(B595:H595)+COUNTA(J595:AC595)=0,"",IF(OR(B595="",D595="",E595="",G595="",J595=""),"缺少必填项",IF(H595&gt;G595,"完成数大于订单数",IF(AND(X595="",OR(Y595="排队",Y595="生产中",Y595="阻塞",Z595&lt;&gt;"",AA595&lt;&gt;"",AB595="是")),"已有排期字段缺少机台",IF(AND(X595&lt;&gt;"",Y595="待排"),"已填机台但状态为待排",IF(AND(Y595="生产中",AB595&lt;&gt;"是"),"需确认：生产中未锁定","可导入"))))))</x:f>
      </x:c>
    </x:row>
    <x:row r="596" ht="22" customHeight="1">
      <x:c r="A596" s="186" t="str">
        <x:f>IF(B596="","",ROW()-5)</x:f>
      </x:c>
      <x:c r="B596" s="196"/>
      <x:c r="C596" s="198"/>
      <x:c r="D596" s="196"/>
      <x:c r="E596" s="188"/>
      <x:c r="F596" s="198"/>
      <x:c r="G596" s="202"/>
      <x:c r="H596" s="204"/>
      <x:c r="I596" s="206" t="str">
        <x:f>IF(G596="","",MAX(G596-H596,0))</x:f>
      </x:c>
      <x:c r="J596" s="210"/>
      <x:c r="K596" s="190"/>
      <x:c r="L596" s="208"/>
      <x:c r="M596" s="208"/>
      <x:c r="N596" s="208"/>
      <x:c r="O596" s="208"/>
      <x:c r="P596" s="190"/>
      <x:c r="Q596" s="190"/>
      <x:c r="R596" s="190"/>
      <x:c r="S596" s="190"/>
      <x:c r="T596" s="190"/>
      <x:c r="U596" s="190"/>
      <x:c r="V596" s="212"/>
      <x:c r="W596" s="212"/>
      <x:c r="X596" s="200"/>
      <x:c r="Y596" s="192"/>
      <x:c r="Z596" s="214"/>
      <x:c r="AA596" s="214"/>
      <x:c r="AB596" s="192"/>
      <x:c r="AC596" s="194"/>
      <x:c r="AD596" s="186" t="str">
        <x:f>IF(COUNTA(B596:H596)+COUNTA(J596:AC596)=0,"",IF(OR(B596="",D596="",E596="",G596="",J596=""),"缺少必填项",IF(H596&gt;G596,"完成数大于订单数",IF(AND(X596="",OR(Y596="排队",Y596="生产中",Y596="阻塞",Z596&lt;&gt;"",AA596&lt;&gt;"",AB596="是")),"已有排期字段缺少机台",IF(AND(X596&lt;&gt;"",Y596="待排"),"已填机台但状态为待排",IF(AND(Y596="生产中",AB596&lt;&gt;"是"),"需确认：生产中未锁定","可导入"))))))</x:f>
      </x:c>
    </x:row>
    <x:row r="597" ht="22" customHeight="1">
      <x:c r="A597" s="186" t="str">
        <x:f>IF(B597="","",ROW()-5)</x:f>
      </x:c>
      <x:c r="B597" s="196"/>
      <x:c r="C597" s="198"/>
      <x:c r="D597" s="196"/>
      <x:c r="E597" s="188"/>
      <x:c r="F597" s="198"/>
      <x:c r="G597" s="202"/>
      <x:c r="H597" s="204"/>
      <x:c r="I597" s="206" t="str">
        <x:f>IF(G597="","",MAX(G597-H597,0))</x:f>
      </x:c>
      <x:c r="J597" s="210"/>
      <x:c r="K597" s="190"/>
      <x:c r="L597" s="208"/>
      <x:c r="M597" s="208"/>
      <x:c r="N597" s="208"/>
      <x:c r="O597" s="208"/>
      <x:c r="P597" s="190"/>
      <x:c r="Q597" s="190"/>
      <x:c r="R597" s="190"/>
      <x:c r="S597" s="190"/>
      <x:c r="T597" s="190"/>
      <x:c r="U597" s="190"/>
      <x:c r="V597" s="212"/>
      <x:c r="W597" s="212"/>
      <x:c r="X597" s="200"/>
      <x:c r="Y597" s="192"/>
      <x:c r="Z597" s="214"/>
      <x:c r="AA597" s="214"/>
      <x:c r="AB597" s="192"/>
      <x:c r="AC597" s="194"/>
      <x:c r="AD597" s="186" t="str">
        <x:f>IF(COUNTA(B597:H597)+COUNTA(J597:AC597)=0,"",IF(OR(B597="",D597="",E597="",G597="",J597=""),"缺少必填项",IF(H597&gt;G597,"完成数大于订单数",IF(AND(X597="",OR(Y597="排队",Y597="生产中",Y597="阻塞",Z597&lt;&gt;"",AA597&lt;&gt;"",AB597="是")),"已有排期字段缺少机台",IF(AND(X597&lt;&gt;"",Y597="待排"),"已填机台但状态为待排",IF(AND(Y597="生产中",AB597&lt;&gt;"是"),"需确认：生产中未锁定","可导入"))))))</x:f>
      </x:c>
    </x:row>
    <x:row r="598" ht="22" customHeight="1">
      <x:c r="A598" s="186" t="str">
        <x:f>IF(B598="","",ROW()-5)</x:f>
      </x:c>
      <x:c r="B598" s="196"/>
      <x:c r="C598" s="198"/>
      <x:c r="D598" s="196"/>
      <x:c r="E598" s="188"/>
      <x:c r="F598" s="198"/>
      <x:c r="G598" s="202"/>
      <x:c r="H598" s="204"/>
      <x:c r="I598" s="206" t="str">
        <x:f>IF(G598="","",MAX(G598-H598,0))</x:f>
      </x:c>
      <x:c r="J598" s="210"/>
      <x:c r="K598" s="190"/>
      <x:c r="L598" s="208"/>
      <x:c r="M598" s="208"/>
      <x:c r="N598" s="208"/>
      <x:c r="O598" s="208"/>
      <x:c r="P598" s="190"/>
      <x:c r="Q598" s="190"/>
      <x:c r="R598" s="190"/>
      <x:c r="S598" s="190"/>
      <x:c r="T598" s="190"/>
      <x:c r="U598" s="190"/>
      <x:c r="V598" s="212"/>
      <x:c r="W598" s="212"/>
      <x:c r="X598" s="200"/>
      <x:c r="Y598" s="192"/>
      <x:c r="Z598" s="214"/>
      <x:c r="AA598" s="214"/>
      <x:c r="AB598" s="192"/>
      <x:c r="AC598" s="194"/>
      <x:c r="AD598" s="186" t="str">
        <x:f>IF(COUNTA(B598:H598)+COUNTA(J598:AC598)=0,"",IF(OR(B598="",D598="",E598="",G598="",J598=""),"缺少必填项",IF(H598&gt;G598,"完成数大于订单数",IF(AND(X598="",OR(Y598="排队",Y598="生产中",Y598="阻塞",Z598&lt;&gt;"",AA598&lt;&gt;"",AB598="是")),"已有排期字段缺少机台",IF(AND(X598&lt;&gt;"",Y598="待排"),"已填机台但状态为待排",IF(AND(Y598="生产中",AB598&lt;&gt;"是"),"需确认：生产中未锁定","可导入"))))))</x:f>
      </x:c>
    </x:row>
    <x:row r="599" ht="22" customHeight="1">
      <x:c r="A599" s="186" t="str">
        <x:f>IF(B599="","",ROW()-5)</x:f>
      </x:c>
      <x:c r="B599" s="196"/>
      <x:c r="C599" s="198"/>
      <x:c r="D599" s="196"/>
      <x:c r="E599" s="188"/>
      <x:c r="F599" s="198"/>
      <x:c r="G599" s="202"/>
      <x:c r="H599" s="204"/>
      <x:c r="I599" s="206" t="str">
        <x:f>IF(G599="","",MAX(G599-H599,0))</x:f>
      </x:c>
      <x:c r="J599" s="210"/>
      <x:c r="K599" s="190"/>
      <x:c r="L599" s="208"/>
      <x:c r="M599" s="208"/>
      <x:c r="N599" s="208"/>
      <x:c r="O599" s="208"/>
      <x:c r="P599" s="190"/>
      <x:c r="Q599" s="190"/>
      <x:c r="R599" s="190"/>
      <x:c r="S599" s="190"/>
      <x:c r="T599" s="190"/>
      <x:c r="U599" s="190"/>
      <x:c r="V599" s="212"/>
      <x:c r="W599" s="212"/>
      <x:c r="X599" s="200"/>
      <x:c r="Y599" s="192"/>
      <x:c r="Z599" s="214"/>
      <x:c r="AA599" s="214"/>
      <x:c r="AB599" s="192"/>
      <x:c r="AC599" s="194"/>
      <x:c r="AD599" s="186" t="str">
        <x:f>IF(COUNTA(B599:H599)+COUNTA(J599:AC599)=0,"",IF(OR(B599="",D599="",E599="",G599="",J599=""),"缺少必填项",IF(H599&gt;G599,"完成数大于订单数",IF(AND(X599="",OR(Y599="排队",Y599="生产中",Y599="阻塞",Z599&lt;&gt;"",AA599&lt;&gt;"",AB599="是")),"已有排期字段缺少机台",IF(AND(X599&lt;&gt;"",Y599="待排"),"已填机台但状态为待排",IF(AND(Y599="生产中",AB599&lt;&gt;"是"),"需确认：生产中未锁定","可导入"))))))</x:f>
      </x:c>
    </x:row>
    <x:row r="600" ht="22" customHeight="1">
      <x:c r="A600" s="186" t="str">
        <x:f>IF(B600="","",ROW()-5)</x:f>
      </x:c>
      <x:c r="B600" s="196"/>
      <x:c r="C600" s="198"/>
      <x:c r="D600" s="196"/>
      <x:c r="E600" s="188"/>
      <x:c r="F600" s="198"/>
      <x:c r="G600" s="202"/>
      <x:c r="H600" s="204"/>
      <x:c r="I600" s="206" t="str">
        <x:f>IF(G600="","",MAX(G600-H600,0))</x:f>
      </x:c>
      <x:c r="J600" s="210"/>
      <x:c r="K600" s="190"/>
      <x:c r="L600" s="208"/>
      <x:c r="M600" s="208"/>
      <x:c r="N600" s="208"/>
      <x:c r="O600" s="208"/>
      <x:c r="P600" s="190"/>
      <x:c r="Q600" s="190"/>
      <x:c r="R600" s="190"/>
      <x:c r="S600" s="190"/>
      <x:c r="T600" s="190"/>
      <x:c r="U600" s="190"/>
      <x:c r="V600" s="212"/>
      <x:c r="W600" s="212"/>
      <x:c r="X600" s="200"/>
      <x:c r="Y600" s="192"/>
      <x:c r="Z600" s="214"/>
      <x:c r="AA600" s="214"/>
      <x:c r="AB600" s="192"/>
      <x:c r="AC600" s="194"/>
      <x:c r="AD600" s="186" t="str">
        <x:f>IF(COUNTA(B600:H600)+COUNTA(J600:AC600)=0,"",IF(OR(B600="",D600="",E600="",G600="",J600=""),"缺少必填项",IF(H600&gt;G600,"完成数大于订单数",IF(AND(X600="",OR(Y600="排队",Y600="生产中",Y600="阻塞",Z600&lt;&gt;"",AA600&lt;&gt;"",AB600="是")),"已有排期字段缺少机台",IF(AND(X600&lt;&gt;"",Y600="待排"),"已填机台但状态为待排",IF(AND(Y600="生产中",AB600&lt;&gt;"是"),"需确认：生产中未锁定","可导入"))))))</x:f>
      </x:c>
    </x:row>
    <x:row r="601" ht="22" customHeight="1">
      <x:c r="A601" s="186" t="str">
        <x:f>IF(B601="","",ROW()-5)</x:f>
      </x:c>
      <x:c r="B601" s="196"/>
      <x:c r="C601" s="198"/>
      <x:c r="D601" s="196"/>
      <x:c r="E601" s="188"/>
      <x:c r="F601" s="198"/>
      <x:c r="G601" s="202"/>
      <x:c r="H601" s="204"/>
      <x:c r="I601" s="206" t="str">
        <x:f>IF(G601="","",MAX(G601-H601,0))</x:f>
      </x:c>
      <x:c r="J601" s="210"/>
      <x:c r="K601" s="190"/>
      <x:c r="L601" s="208"/>
      <x:c r="M601" s="208"/>
      <x:c r="N601" s="208"/>
      <x:c r="O601" s="208"/>
      <x:c r="P601" s="190"/>
      <x:c r="Q601" s="190"/>
      <x:c r="R601" s="190"/>
      <x:c r="S601" s="190"/>
      <x:c r="T601" s="190"/>
      <x:c r="U601" s="190"/>
      <x:c r="V601" s="212"/>
      <x:c r="W601" s="212"/>
      <x:c r="X601" s="200"/>
      <x:c r="Y601" s="192"/>
      <x:c r="Z601" s="214"/>
      <x:c r="AA601" s="214"/>
      <x:c r="AB601" s="192"/>
      <x:c r="AC601" s="194"/>
      <x:c r="AD601" s="186" t="str">
        <x:f>IF(COUNTA(B601:H601)+COUNTA(J601:AC601)=0,"",IF(OR(B601="",D601="",E601="",G601="",J601=""),"缺少必填项",IF(H601&gt;G601,"完成数大于订单数",IF(AND(X601="",OR(Y601="排队",Y601="生产中",Y601="阻塞",Z601&lt;&gt;"",AA601&lt;&gt;"",AB601="是")),"已有排期字段缺少机台",IF(AND(X601&lt;&gt;"",Y601="待排"),"已填机台但状态为待排",IF(AND(Y601="生产中",AB601&lt;&gt;"是"),"需确认：生产中未锁定","可导入"))))))</x:f>
      </x:c>
    </x:row>
    <x:row r="602" ht="22" customHeight="1">
      <x:c r="A602" s="186" t="str">
        <x:f>IF(B602="","",ROW()-5)</x:f>
      </x:c>
      <x:c r="B602" s="196"/>
      <x:c r="C602" s="198"/>
      <x:c r="D602" s="196"/>
      <x:c r="E602" s="188"/>
      <x:c r="F602" s="198"/>
      <x:c r="G602" s="202"/>
      <x:c r="H602" s="204"/>
      <x:c r="I602" s="206" t="str">
        <x:f>IF(G602="","",MAX(G602-H602,0))</x:f>
      </x:c>
      <x:c r="J602" s="210"/>
      <x:c r="K602" s="190"/>
      <x:c r="L602" s="208"/>
      <x:c r="M602" s="208"/>
      <x:c r="N602" s="208"/>
      <x:c r="O602" s="208"/>
      <x:c r="P602" s="190"/>
      <x:c r="Q602" s="190"/>
      <x:c r="R602" s="190"/>
      <x:c r="S602" s="190"/>
      <x:c r="T602" s="190"/>
      <x:c r="U602" s="190"/>
      <x:c r="V602" s="212"/>
      <x:c r="W602" s="212"/>
      <x:c r="X602" s="200"/>
      <x:c r="Y602" s="192"/>
      <x:c r="Z602" s="214"/>
      <x:c r="AA602" s="214"/>
      <x:c r="AB602" s="192"/>
      <x:c r="AC602" s="194"/>
      <x:c r="AD602" s="186" t="str">
        <x:f>IF(COUNTA(B602:H602)+COUNTA(J602:AC602)=0,"",IF(OR(B602="",D602="",E602="",G602="",J602=""),"缺少必填项",IF(H602&gt;G602,"完成数大于订单数",IF(AND(X602="",OR(Y602="排队",Y602="生产中",Y602="阻塞",Z602&lt;&gt;"",AA602&lt;&gt;"",AB602="是")),"已有排期字段缺少机台",IF(AND(X602&lt;&gt;"",Y602="待排"),"已填机台但状态为待排",IF(AND(Y602="生产中",AB602&lt;&gt;"是"),"需确认：生产中未锁定","可导入"))))))</x:f>
      </x:c>
    </x:row>
    <x:row r="603" ht="22" customHeight="1">
      <x:c r="A603" s="186" t="str">
        <x:f>IF(B603="","",ROW()-5)</x:f>
      </x:c>
      <x:c r="B603" s="196"/>
      <x:c r="C603" s="198"/>
      <x:c r="D603" s="196"/>
      <x:c r="E603" s="188"/>
      <x:c r="F603" s="198"/>
      <x:c r="G603" s="202"/>
      <x:c r="H603" s="204"/>
      <x:c r="I603" s="206" t="str">
        <x:f>IF(G603="","",MAX(G603-H603,0))</x:f>
      </x:c>
      <x:c r="J603" s="210"/>
      <x:c r="K603" s="190"/>
      <x:c r="L603" s="208"/>
      <x:c r="M603" s="208"/>
      <x:c r="N603" s="208"/>
      <x:c r="O603" s="208"/>
      <x:c r="P603" s="190"/>
      <x:c r="Q603" s="190"/>
      <x:c r="R603" s="190"/>
      <x:c r="S603" s="190"/>
      <x:c r="T603" s="190"/>
      <x:c r="U603" s="190"/>
      <x:c r="V603" s="212"/>
      <x:c r="W603" s="212"/>
      <x:c r="X603" s="200"/>
      <x:c r="Y603" s="192"/>
      <x:c r="Z603" s="214"/>
      <x:c r="AA603" s="214"/>
      <x:c r="AB603" s="192"/>
      <x:c r="AC603" s="194"/>
      <x:c r="AD603" s="186" t="str">
        <x:f>IF(COUNTA(B603:H603)+COUNTA(J603:AC603)=0,"",IF(OR(B603="",D603="",E603="",G603="",J603=""),"缺少必填项",IF(H603&gt;G603,"完成数大于订单数",IF(AND(X603="",OR(Y603="排队",Y603="生产中",Y603="阻塞",Z603&lt;&gt;"",AA603&lt;&gt;"",AB603="是")),"已有排期字段缺少机台",IF(AND(X603&lt;&gt;"",Y603="待排"),"已填机台但状态为待排",IF(AND(Y603="生产中",AB603&lt;&gt;"是"),"需确认：生产中未锁定","可导入"))))))</x:f>
      </x:c>
    </x:row>
    <x:row r="604" ht="22" customHeight="1">
      <x:c r="A604" s="186" t="str">
        <x:f>IF(B604="","",ROW()-5)</x:f>
      </x:c>
      <x:c r="B604" s="196"/>
      <x:c r="C604" s="198"/>
      <x:c r="D604" s="196"/>
      <x:c r="E604" s="188"/>
      <x:c r="F604" s="198"/>
      <x:c r="G604" s="202"/>
      <x:c r="H604" s="204"/>
      <x:c r="I604" s="206" t="str">
        <x:f>IF(G604="","",MAX(G604-H604,0))</x:f>
      </x:c>
      <x:c r="J604" s="210"/>
      <x:c r="K604" s="190"/>
      <x:c r="L604" s="208"/>
      <x:c r="M604" s="208"/>
      <x:c r="N604" s="208"/>
      <x:c r="O604" s="208"/>
      <x:c r="P604" s="190"/>
      <x:c r="Q604" s="190"/>
      <x:c r="R604" s="190"/>
      <x:c r="S604" s="190"/>
      <x:c r="T604" s="190"/>
      <x:c r="U604" s="190"/>
      <x:c r="V604" s="212"/>
      <x:c r="W604" s="212"/>
      <x:c r="X604" s="200"/>
      <x:c r="Y604" s="192"/>
      <x:c r="Z604" s="214"/>
      <x:c r="AA604" s="214"/>
      <x:c r="AB604" s="192"/>
      <x:c r="AC604" s="194"/>
      <x:c r="AD604" s="186" t="str">
        <x:f>IF(COUNTA(B604:H604)+COUNTA(J604:AC604)=0,"",IF(OR(B604="",D604="",E604="",G604="",J604=""),"缺少必填项",IF(H604&gt;G604,"完成数大于订单数",IF(AND(X604="",OR(Y604="排队",Y604="生产中",Y604="阻塞",Z604&lt;&gt;"",AA604&lt;&gt;"",AB604="是")),"已有排期字段缺少机台",IF(AND(X604&lt;&gt;"",Y604="待排"),"已填机台但状态为待排",IF(AND(Y604="生产中",AB604&lt;&gt;"是"),"需确认：生产中未锁定","可导入"))))))</x:f>
      </x:c>
    </x:row>
    <x:row r="605" ht="22" customHeight="1">
      <x:c r="A605" s="186" t="str">
        <x:f>IF(B605="","",ROW()-5)</x:f>
      </x:c>
      <x:c r="B605" s="196"/>
      <x:c r="C605" s="198"/>
      <x:c r="D605" s="196"/>
      <x:c r="E605" s="188"/>
      <x:c r="F605" s="198"/>
      <x:c r="G605" s="202"/>
      <x:c r="H605" s="204"/>
      <x:c r="I605" s="206" t="str">
        <x:f>IF(G605="","",MAX(G605-H605,0))</x:f>
      </x:c>
      <x:c r="J605" s="210"/>
      <x:c r="K605" s="190"/>
      <x:c r="L605" s="208"/>
      <x:c r="M605" s="208"/>
      <x:c r="N605" s="208"/>
      <x:c r="O605" s="208"/>
      <x:c r="P605" s="190"/>
      <x:c r="Q605" s="190"/>
      <x:c r="R605" s="190"/>
      <x:c r="S605" s="190"/>
      <x:c r="T605" s="190"/>
      <x:c r="U605" s="190"/>
      <x:c r="V605" s="212"/>
      <x:c r="W605" s="212"/>
      <x:c r="X605" s="200"/>
      <x:c r="Y605" s="192"/>
      <x:c r="Z605" s="214"/>
      <x:c r="AA605" s="214"/>
      <x:c r="AB605" s="192"/>
      <x:c r="AC605" s="194"/>
      <x:c r="AD605" s="186" t="str">
        <x:f>IF(COUNTA(B605:H605)+COUNTA(J605:AC605)=0,"",IF(OR(B605="",D605="",E605="",G605="",J605=""),"缺少必填项",IF(H605&gt;G605,"完成数大于订单数",IF(AND(X605="",OR(Y605="排队",Y605="生产中",Y605="阻塞",Z605&lt;&gt;"",AA605&lt;&gt;"",AB605="是")),"已有排期字段缺少机台",IF(AND(X605&lt;&gt;"",Y605="待排"),"已填机台但状态为待排",IF(AND(Y605="生产中",AB605&lt;&gt;"是"),"需确认：生产中未锁定","可导入"))))))</x:f>
      </x:c>
    </x:row>
    <x:row r="606" ht="22" customHeight="1">
      <x:c r="A606" s="186" t="str">
        <x:f>IF(B606="","",ROW()-5)</x:f>
      </x:c>
      <x:c r="B606" s="196"/>
      <x:c r="C606" s="198"/>
      <x:c r="D606" s="196"/>
      <x:c r="E606" s="188"/>
      <x:c r="F606" s="198"/>
      <x:c r="G606" s="202"/>
      <x:c r="H606" s="204"/>
      <x:c r="I606" s="206" t="str">
        <x:f>IF(G606="","",MAX(G606-H606,0))</x:f>
      </x:c>
      <x:c r="J606" s="210"/>
      <x:c r="K606" s="190"/>
      <x:c r="L606" s="208"/>
      <x:c r="M606" s="208"/>
      <x:c r="N606" s="208"/>
      <x:c r="O606" s="208"/>
      <x:c r="P606" s="190"/>
      <x:c r="Q606" s="190"/>
      <x:c r="R606" s="190"/>
      <x:c r="S606" s="190"/>
      <x:c r="T606" s="190"/>
      <x:c r="U606" s="190"/>
      <x:c r="V606" s="212"/>
      <x:c r="W606" s="212"/>
      <x:c r="X606" s="200"/>
      <x:c r="Y606" s="192"/>
      <x:c r="Z606" s="214"/>
      <x:c r="AA606" s="214"/>
      <x:c r="AB606" s="192"/>
      <x:c r="AC606" s="194"/>
      <x:c r="AD606" s="186" t="str">
        <x:f>IF(COUNTA(B606:H606)+COUNTA(J606:AC606)=0,"",IF(OR(B606="",D606="",E606="",G606="",J606=""),"缺少必填项",IF(H606&gt;G606,"完成数大于订单数",IF(AND(X606="",OR(Y606="排队",Y606="生产中",Y606="阻塞",Z606&lt;&gt;"",AA606&lt;&gt;"",AB606="是")),"已有排期字段缺少机台",IF(AND(X606&lt;&gt;"",Y606="待排"),"已填机台但状态为待排",IF(AND(Y606="生产中",AB606&lt;&gt;"是"),"需确认：生产中未锁定","可导入"))))))</x:f>
      </x:c>
    </x:row>
    <x:row r="607" ht="22" customHeight="1">
      <x:c r="A607" s="186" t="str">
        <x:f>IF(B607="","",ROW()-5)</x:f>
      </x:c>
      <x:c r="B607" s="196"/>
      <x:c r="C607" s="198"/>
      <x:c r="D607" s="196"/>
      <x:c r="E607" s="188"/>
      <x:c r="F607" s="198"/>
      <x:c r="G607" s="202"/>
      <x:c r="H607" s="204"/>
      <x:c r="I607" s="206" t="str">
        <x:f>IF(G607="","",MAX(G607-H607,0))</x:f>
      </x:c>
      <x:c r="J607" s="210"/>
      <x:c r="K607" s="190"/>
      <x:c r="L607" s="208"/>
      <x:c r="M607" s="208"/>
      <x:c r="N607" s="208"/>
      <x:c r="O607" s="208"/>
      <x:c r="P607" s="190"/>
      <x:c r="Q607" s="190"/>
      <x:c r="R607" s="190"/>
      <x:c r="S607" s="190"/>
      <x:c r="T607" s="190"/>
      <x:c r="U607" s="190"/>
      <x:c r="V607" s="212"/>
      <x:c r="W607" s="212"/>
      <x:c r="X607" s="200"/>
      <x:c r="Y607" s="192"/>
      <x:c r="Z607" s="214"/>
      <x:c r="AA607" s="214"/>
      <x:c r="AB607" s="192"/>
      <x:c r="AC607" s="194"/>
      <x:c r="AD607" s="186" t="str">
        <x:f>IF(COUNTA(B607:H607)+COUNTA(J607:AC607)=0,"",IF(OR(B607="",D607="",E607="",G607="",J607=""),"缺少必填项",IF(H607&gt;G607,"完成数大于订单数",IF(AND(X607="",OR(Y607="排队",Y607="生产中",Y607="阻塞",Z607&lt;&gt;"",AA607&lt;&gt;"",AB607="是")),"已有排期字段缺少机台",IF(AND(X607&lt;&gt;"",Y607="待排"),"已填机台但状态为待排",IF(AND(Y607="生产中",AB607&lt;&gt;"是"),"需确认：生产中未锁定","可导入"))))))</x:f>
      </x:c>
    </x:row>
    <x:row r="608" ht="22" customHeight="1">
      <x:c r="A608" s="186" t="str">
        <x:f>IF(B608="","",ROW()-5)</x:f>
      </x:c>
      <x:c r="B608" s="196"/>
      <x:c r="C608" s="198"/>
      <x:c r="D608" s="196"/>
      <x:c r="E608" s="188"/>
      <x:c r="F608" s="198"/>
      <x:c r="G608" s="202"/>
      <x:c r="H608" s="204"/>
      <x:c r="I608" s="206" t="str">
        <x:f>IF(G608="","",MAX(G608-H608,0))</x:f>
      </x:c>
      <x:c r="J608" s="210"/>
      <x:c r="K608" s="190"/>
      <x:c r="L608" s="208"/>
      <x:c r="M608" s="208"/>
      <x:c r="N608" s="208"/>
      <x:c r="O608" s="208"/>
      <x:c r="P608" s="190"/>
      <x:c r="Q608" s="190"/>
      <x:c r="R608" s="190"/>
      <x:c r="S608" s="190"/>
      <x:c r="T608" s="190"/>
      <x:c r="U608" s="190"/>
      <x:c r="V608" s="212"/>
      <x:c r="W608" s="212"/>
      <x:c r="X608" s="200"/>
      <x:c r="Y608" s="192"/>
      <x:c r="Z608" s="214"/>
      <x:c r="AA608" s="214"/>
      <x:c r="AB608" s="192"/>
      <x:c r="AC608" s="194"/>
      <x:c r="AD608" s="186" t="str">
        <x:f>IF(COUNTA(B608:H608)+COUNTA(J608:AC608)=0,"",IF(OR(B608="",D608="",E608="",G608="",J608=""),"缺少必填项",IF(H608&gt;G608,"完成数大于订单数",IF(AND(X608="",OR(Y608="排队",Y608="生产中",Y608="阻塞",Z608&lt;&gt;"",AA608&lt;&gt;"",AB608="是")),"已有排期字段缺少机台",IF(AND(X608&lt;&gt;"",Y608="待排"),"已填机台但状态为待排",IF(AND(Y608="生产中",AB608&lt;&gt;"是"),"需确认：生产中未锁定","可导入"))))))</x:f>
      </x:c>
    </x:row>
    <x:row r="609" ht="22" customHeight="1">
      <x:c r="A609" s="186" t="str">
        <x:f>IF(B609="","",ROW()-5)</x:f>
      </x:c>
      <x:c r="B609" s="196"/>
      <x:c r="C609" s="198"/>
      <x:c r="D609" s="196"/>
      <x:c r="E609" s="188"/>
      <x:c r="F609" s="198"/>
      <x:c r="G609" s="202"/>
      <x:c r="H609" s="204"/>
      <x:c r="I609" s="206" t="str">
        <x:f>IF(G609="","",MAX(G609-H609,0))</x:f>
      </x:c>
      <x:c r="J609" s="210"/>
      <x:c r="K609" s="190"/>
      <x:c r="L609" s="208"/>
      <x:c r="M609" s="208"/>
      <x:c r="N609" s="208"/>
      <x:c r="O609" s="208"/>
      <x:c r="P609" s="190"/>
      <x:c r="Q609" s="190"/>
      <x:c r="R609" s="190"/>
      <x:c r="S609" s="190"/>
      <x:c r="T609" s="190"/>
      <x:c r="U609" s="190"/>
      <x:c r="V609" s="212"/>
      <x:c r="W609" s="212"/>
      <x:c r="X609" s="200"/>
      <x:c r="Y609" s="192"/>
      <x:c r="Z609" s="214"/>
      <x:c r="AA609" s="214"/>
      <x:c r="AB609" s="192"/>
      <x:c r="AC609" s="194"/>
      <x:c r="AD609" s="186" t="str">
        <x:f>IF(COUNTA(B609:H609)+COUNTA(J609:AC609)=0,"",IF(OR(B609="",D609="",E609="",G609="",J609=""),"缺少必填项",IF(H609&gt;G609,"完成数大于订单数",IF(AND(X609="",OR(Y609="排队",Y609="生产中",Y609="阻塞",Z609&lt;&gt;"",AA609&lt;&gt;"",AB609="是")),"已有排期字段缺少机台",IF(AND(X609&lt;&gt;"",Y609="待排"),"已填机台但状态为待排",IF(AND(Y609="生产中",AB609&lt;&gt;"是"),"需确认：生产中未锁定","可导入"))))))</x:f>
      </x:c>
    </x:row>
    <x:row r="610" ht="22" customHeight="1">
      <x:c r="A610" s="186" t="str">
        <x:f>IF(B610="","",ROW()-5)</x:f>
      </x:c>
      <x:c r="B610" s="196"/>
      <x:c r="C610" s="198"/>
      <x:c r="D610" s="196"/>
      <x:c r="E610" s="188"/>
      <x:c r="F610" s="198"/>
      <x:c r="G610" s="202"/>
      <x:c r="H610" s="204"/>
      <x:c r="I610" s="206" t="str">
        <x:f>IF(G610="","",MAX(G610-H610,0))</x:f>
      </x:c>
      <x:c r="J610" s="210"/>
      <x:c r="K610" s="190"/>
      <x:c r="L610" s="208"/>
      <x:c r="M610" s="208"/>
      <x:c r="N610" s="208"/>
      <x:c r="O610" s="208"/>
      <x:c r="P610" s="190"/>
      <x:c r="Q610" s="190"/>
      <x:c r="R610" s="190"/>
      <x:c r="S610" s="190"/>
      <x:c r="T610" s="190"/>
      <x:c r="U610" s="190"/>
      <x:c r="V610" s="212"/>
      <x:c r="W610" s="212"/>
      <x:c r="X610" s="200"/>
      <x:c r="Y610" s="192"/>
      <x:c r="Z610" s="214"/>
      <x:c r="AA610" s="214"/>
      <x:c r="AB610" s="192"/>
      <x:c r="AC610" s="194"/>
      <x:c r="AD610" s="186" t="str">
        <x:f>IF(COUNTA(B610:H610)+COUNTA(J610:AC610)=0,"",IF(OR(B610="",D610="",E610="",G610="",J610=""),"缺少必填项",IF(H610&gt;G610,"完成数大于订单数",IF(AND(X610="",OR(Y610="排队",Y610="生产中",Y610="阻塞",Z610&lt;&gt;"",AA610&lt;&gt;"",AB610="是")),"已有排期字段缺少机台",IF(AND(X610&lt;&gt;"",Y610="待排"),"已填机台但状态为待排",IF(AND(Y610="生产中",AB610&lt;&gt;"是"),"需确认：生产中未锁定","可导入"))))))</x:f>
      </x:c>
    </x:row>
    <x:row r="611" ht="22" customHeight="1">
      <x:c r="A611" s="186" t="str">
        <x:f>IF(B611="","",ROW()-5)</x:f>
      </x:c>
      <x:c r="B611" s="196"/>
      <x:c r="C611" s="198"/>
      <x:c r="D611" s="196"/>
      <x:c r="E611" s="188"/>
      <x:c r="F611" s="198"/>
      <x:c r="G611" s="202"/>
      <x:c r="H611" s="204"/>
      <x:c r="I611" s="206" t="str">
        <x:f>IF(G611="","",MAX(G611-H611,0))</x:f>
      </x:c>
      <x:c r="J611" s="210"/>
      <x:c r="K611" s="190"/>
      <x:c r="L611" s="208"/>
      <x:c r="M611" s="208"/>
      <x:c r="N611" s="208"/>
      <x:c r="O611" s="208"/>
      <x:c r="P611" s="190"/>
      <x:c r="Q611" s="190"/>
      <x:c r="R611" s="190"/>
      <x:c r="S611" s="190"/>
      <x:c r="T611" s="190"/>
      <x:c r="U611" s="190"/>
      <x:c r="V611" s="212"/>
      <x:c r="W611" s="212"/>
      <x:c r="X611" s="200"/>
      <x:c r="Y611" s="192"/>
      <x:c r="Z611" s="214"/>
      <x:c r="AA611" s="214"/>
      <x:c r="AB611" s="192"/>
      <x:c r="AC611" s="194"/>
      <x:c r="AD611" s="186" t="str">
        <x:f>IF(COUNTA(B611:H611)+COUNTA(J611:AC611)=0,"",IF(OR(B611="",D611="",E611="",G611="",J611=""),"缺少必填项",IF(H611&gt;G611,"完成数大于订单数",IF(AND(X611="",OR(Y611="排队",Y611="生产中",Y611="阻塞",Z611&lt;&gt;"",AA611&lt;&gt;"",AB611="是")),"已有排期字段缺少机台",IF(AND(X611&lt;&gt;"",Y611="待排"),"已填机台但状态为待排",IF(AND(Y611="生产中",AB611&lt;&gt;"是"),"需确认：生产中未锁定","可导入"))))))</x:f>
      </x:c>
    </x:row>
    <x:row r="612" ht="22" customHeight="1">
      <x:c r="A612" s="186" t="str">
        <x:f>IF(B612="","",ROW()-5)</x:f>
      </x:c>
      <x:c r="B612" s="196"/>
      <x:c r="C612" s="198"/>
      <x:c r="D612" s="196"/>
      <x:c r="E612" s="188"/>
      <x:c r="F612" s="198"/>
      <x:c r="G612" s="202"/>
      <x:c r="H612" s="204"/>
      <x:c r="I612" s="206" t="str">
        <x:f>IF(G612="","",MAX(G612-H612,0))</x:f>
      </x:c>
      <x:c r="J612" s="210"/>
      <x:c r="K612" s="190"/>
      <x:c r="L612" s="208"/>
      <x:c r="M612" s="208"/>
      <x:c r="N612" s="208"/>
      <x:c r="O612" s="208"/>
      <x:c r="P612" s="190"/>
      <x:c r="Q612" s="190"/>
      <x:c r="R612" s="190"/>
      <x:c r="S612" s="190"/>
      <x:c r="T612" s="190"/>
      <x:c r="U612" s="190"/>
      <x:c r="V612" s="212"/>
      <x:c r="W612" s="212"/>
      <x:c r="X612" s="200"/>
      <x:c r="Y612" s="192"/>
      <x:c r="Z612" s="214"/>
      <x:c r="AA612" s="214"/>
      <x:c r="AB612" s="192"/>
      <x:c r="AC612" s="194"/>
      <x:c r="AD612" s="186" t="str">
        <x:f>IF(COUNTA(B612:H612)+COUNTA(J612:AC612)=0,"",IF(OR(B612="",D612="",E612="",G612="",J612=""),"缺少必填项",IF(H612&gt;G612,"完成数大于订单数",IF(AND(X612="",OR(Y612="排队",Y612="生产中",Y612="阻塞",Z612&lt;&gt;"",AA612&lt;&gt;"",AB612="是")),"已有排期字段缺少机台",IF(AND(X612&lt;&gt;"",Y612="待排"),"已填机台但状态为待排",IF(AND(Y612="生产中",AB612&lt;&gt;"是"),"需确认：生产中未锁定","可导入"))))))</x:f>
      </x:c>
    </x:row>
    <x:row r="613" ht="22" customHeight="1">
      <x:c r="A613" s="186" t="str">
        <x:f>IF(B613="","",ROW()-5)</x:f>
      </x:c>
      <x:c r="B613" s="196"/>
      <x:c r="C613" s="198"/>
      <x:c r="D613" s="196"/>
      <x:c r="E613" s="188"/>
      <x:c r="F613" s="198"/>
      <x:c r="G613" s="202"/>
      <x:c r="H613" s="204"/>
      <x:c r="I613" s="206" t="str">
        <x:f>IF(G613="","",MAX(G613-H613,0))</x:f>
      </x:c>
      <x:c r="J613" s="210"/>
      <x:c r="K613" s="190"/>
      <x:c r="L613" s="208"/>
      <x:c r="M613" s="208"/>
      <x:c r="N613" s="208"/>
      <x:c r="O613" s="208"/>
      <x:c r="P613" s="190"/>
      <x:c r="Q613" s="190"/>
      <x:c r="R613" s="190"/>
      <x:c r="S613" s="190"/>
      <x:c r="T613" s="190"/>
      <x:c r="U613" s="190"/>
      <x:c r="V613" s="212"/>
      <x:c r="W613" s="212"/>
      <x:c r="X613" s="200"/>
      <x:c r="Y613" s="192"/>
      <x:c r="Z613" s="214"/>
      <x:c r="AA613" s="214"/>
      <x:c r="AB613" s="192"/>
      <x:c r="AC613" s="194"/>
      <x:c r="AD613" s="186" t="str">
        <x:f>IF(COUNTA(B613:H613)+COUNTA(J613:AC613)=0,"",IF(OR(B613="",D613="",E613="",G613="",J613=""),"缺少必填项",IF(H613&gt;G613,"完成数大于订单数",IF(AND(X613="",OR(Y613="排队",Y613="生产中",Y613="阻塞",Z613&lt;&gt;"",AA613&lt;&gt;"",AB613="是")),"已有排期字段缺少机台",IF(AND(X613&lt;&gt;"",Y613="待排"),"已填机台但状态为待排",IF(AND(Y613="生产中",AB613&lt;&gt;"是"),"需确认：生产中未锁定","可导入"))))))</x:f>
      </x:c>
    </x:row>
    <x:row r="614" ht="22" customHeight="1">
      <x:c r="A614" s="186" t="str">
        <x:f>IF(B614="","",ROW()-5)</x:f>
      </x:c>
      <x:c r="B614" s="196"/>
      <x:c r="C614" s="198"/>
      <x:c r="D614" s="196"/>
      <x:c r="E614" s="188"/>
      <x:c r="F614" s="198"/>
      <x:c r="G614" s="202"/>
      <x:c r="H614" s="204"/>
      <x:c r="I614" s="206" t="str">
        <x:f>IF(G614="","",MAX(G614-H614,0))</x:f>
      </x:c>
      <x:c r="J614" s="210"/>
      <x:c r="K614" s="190"/>
      <x:c r="L614" s="208"/>
      <x:c r="M614" s="208"/>
      <x:c r="N614" s="208"/>
      <x:c r="O614" s="208"/>
      <x:c r="P614" s="190"/>
      <x:c r="Q614" s="190"/>
      <x:c r="R614" s="190"/>
      <x:c r="S614" s="190"/>
      <x:c r="T614" s="190"/>
      <x:c r="U614" s="190"/>
      <x:c r="V614" s="212"/>
      <x:c r="W614" s="212"/>
      <x:c r="X614" s="200"/>
      <x:c r="Y614" s="192"/>
      <x:c r="Z614" s="214"/>
      <x:c r="AA614" s="214"/>
      <x:c r="AB614" s="192"/>
      <x:c r="AC614" s="194"/>
      <x:c r="AD614" s="186" t="str">
        <x:f>IF(COUNTA(B614:H614)+COUNTA(J614:AC614)=0,"",IF(OR(B614="",D614="",E614="",G614="",J614=""),"缺少必填项",IF(H614&gt;G614,"完成数大于订单数",IF(AND(X614="",OR(Y614="排队",Y614="生产中",Y614="阻塞",Z614&lt;&gt;"",AA614&lt;&gt;"",AB614="是")),"已有排期字段缺少机台",IF(AND(X614&lt;&gt;"",Y614="待排"),"已填机台但状态为待排",IF(AND(Y614="生产中",AB614&lt;&gt;"是"),"需确认：生产中未锁定","可导入"))))))</x:f>
      </x:c>
    </x:row>
    <x:row r="615" ht="22" customHeight="1">
      <x:c r="A615" s="186" t="str">
        <x:f>IF(B615="","",ROW()-5)</x:f>
      </x:c>
      <x:c r="B615" s="196"/>
      <x:c r="C615" s="198"/>
      <x:c r="D615" s="196"/>
      <x:c r="E615" s="188"/>
      <x:c r="F615" s="198"/>
      <x:c r="G615" s="202"/>
      <x:c r="H615" s="204"/>
      <x:c r="I615" s="206" t="str">
        <x:f>IF(G615="","",MAX(G615-H615,0))</x:f>
      </x:c>
      <x:c r="J615" s="210"/>
      <x:c r="K615" s="190"/>
      <x:c r="L615" s="208"/>
      <x:c r="M615" s="208"/>
      <x:c r="N615" s="208"/>
      <x:c r="O615" s="208"/>
      <x:c r="P615" s="190"/>
      <x:c r="Q615" s="190"/>
      <x:c r="R615" s="190"/>
      <x:c r="S615" s="190"/>
      <x:c r="T615" s="190"/>
      <x:c r="U615" s="190"/>
      <x:c r="V615" s="212"/>
      <x:c r="W615" s="212"/>
      <x:c r="X615" s="200"/>
      <x:c r="Y615" s="192"/>
      <x:c r="Z615" s="214"/>
      <x:c r="AA615" s="214"/>
      <x:c r="AB615" s="192"/>
      <x:c r="AC615" s="194"/>
      <x:c r="AD615" s="186" t="str">
        <x:f>IF(COUNTA(B615:H615)+COUNTA(J615:AC615)=0,"",IF(OR(B615="",D615="",E615="",G615="",J615=""),"缺少必填项",IF(H615&gt;G615,"完成数大于订单数",IF(AND(X615="",OR(Y615="排队",Y615="生产中",Y615="阻塞",Z615&lt;&gt;"",AA615&lt;&gt;"",AB615="是")),"已有排期字段缺少机台",IF(AND(X615&lt;&gt;"",Y615="待排"),"已填机台但状态为待排",IF(AND(Y615="生产中",AB615&lt;&gt;"是"),"需确认：生产中未锁定","可导入"))))))</x:f>
      </x:c>
    </x:row>
    <x:row r="616" ht="22" customHeight="1">
      <x:c r="A616" s="186" t="str">
        <x:f>IF(B616="","",ROW()-5)</x:f>
      </x:c>
      <x:c r="B616" s="196"/>
      <x:c r="C616" s="198"/>
      <x:c r="D616" s="196"/>
      <x:c r="E616" s="188"/>
      <x:c r="F616" s="198"/>
      <x:c r="G616" s="202"/>
      <x:c r="H616" s="204"/>
      <x:c r="I616" s="206" t="str">
        <x:f>IF(G616="","",MAX(G616-H616,0))</x:f>
      </x:c>
      <x:c r="J616" s="210"/>
      <x:c r="K616" s="190"/>
      <x:c r="L616" s="208"/>
      <x:c r="M616" s="208"/>
      <x:c r="N616" s="208"/>
      <x:c r="O616" s="208"/>
      <x:c r="P616" s="190"/>
      <x:c r="Q616" s="190"/>
      <x:c r="R616" s="190"/>
      <x:c r="S616" s="190"/>
      <x:c r="T616" s="190"/>
      <x:c r="U616" s="190"/>
      <x:c r="V616" s="212"/>
      <x:c r="W616" s="212"/>
      <x:c r="X616" s="200"/>
      <x:c r="Y616" s="192"/>
      <x:c r="Z616" s="214"/>
      <x:c r="AA616" s="214"/>
      <x:c r="AB616" s="192"/>
      <x:c r="AC616" s="194"/>
      <x:c r="AD616" s="186" t="str">
        <x:f>IF(COUNTA(B616:H616)+COUNTA(J616:AC616)=0,"",IF(OR(B616="",D616="",E616="",G616="",J616=""),"缺少必填项",IF(H616&gt;G616,"完成数大于订单数",IF(AND(X616="",OR(Y616="排队",Y616="生产中",Y616="阻塞",Z616&lt;&gt;"",AA616&lt;&gt;"",AB616="是")),"已有排期字段缺少机台",IF(AND(X616&lt;&gt;"",Y616="待排"),"已填机台但状态为待排",IF(AND(Y616="生产中",AB616&lt;&gt;"是"),"需确认：生产中未锁定","可导入"))))))</x:f>
      </x:c>
    </x:row>
    <x:row r="617" ht="22" customHeight="1">
      <x:c r="A617" s="186" t="str">
        <x:f>IF(B617="","",ROW()-5)</x:f>
      </x:c>
      <x:c r="B617" s="196"/>
      <x:c r="C617" s="198"/>
      <x:c r="D617" s="196"/>
      <x:c r="E617" s="188"/>
      <x:c r="F617" s="198"/>
      <x:c r="G617" s="202"/>
      <x:c r="H617" s="204"/>
      <x:c r="I617" s="206" t="str">
        <x:f>IF(G617="","",MAX(G617-H617,0))</x:f>
      </x:c>
      <x:c r="J617" s="210"/>
      <x:c r="K617" s="190"/>
      <x:c r="L617" s="208"/>
      <x:c r="M617" s="208"/>
      <x:c r="N617" s="208"/>
      <x:c r="O617" s="208"/>
      <x:c r="P617" s="190"/>
      <x:c r="Q617" s="190"/>
      <x:c r="R617" s="190"/>
      <x:c r="S617" s="190"/>
      <x:c r="T617" s="190"/>
      <x:c r="U617" s="190"/>
      <x:c r="V617" s="212"/>
      <x:c r="W617" s="212"/>
      <x:c r="X617" s="200"/>
      <x:c r="Y617" s="192"/>
      <x:c r="Z617" s="214"/>
      <x:c r="AA617" s="214"/>
      <x:c r="AB617" s="192"/>
      <x:c r="AC617" s="194"/>
      <x:c r="AD617" s="186" t="str">
        <x:f>IF(COUNTA(B617:H617)+COUNTA(J617:AC617)=0,"",IF(OR(B617="",D617="",E617="",G617="",J617=""),"缺少必填项",IF(H617&gt;G617,"完成数大于订单数",IF(AND(X617="",OR(Y617="排队",Y617="生产中",Y617="阻塞",Z617&lt;&gt;"",AA617&lt;&gt;"",AB617="是")),"已有排期字段缺少机台",IF(AND(X617&lt;&gt;"",Y617="待排"),"已填机台但状态为待排",IF(AND(Y617="生产中",AB617&lt;&gt;"是"),"需确认：生产中未锁定","可导入"))))))</x:f>
      </x:c>
    </x:row>
    <x:row r="618" ht="22" customHeight="1">
      <x:c r="A618" s="186" t="str">
        <x:f>IF(B618="","",ROW()-5)</x:f>
      </x:c>
      <x:c r="B618" s="196"/>
      <x:c r="C618" s="198"/>
      <x:c r="D618" s="196"/>
      <x:c r="E618" s="188"/>
      <x:c r="F618" s="198"/>
      <x:c r="G618" s="202"/>
      <x:c r="H618" s="204"/>
      <x:c r="I618" s="206" t="str">
        <x:f>IF(G618="","",MAX(G618-H618,0))</x:f>
      </x:c>
      <x:c r="J618" s="210"/>
      <x:c r="K618" s="190"/>
      <x:c r="L618" s="208"/>
      <x:c r="M618" s="208"/>
      <x:c r="N618" s="208"/>
      <x:c r="O618" s="208"/>
      <x:c r="P618" s="190"/>
      <x:c r="Q618" s="190"/>
      <x:c r="R618" s="190"/>
      <x:c r="S618" s="190"/>
      <x:c r="T618" s="190"/>
      <x:c r="U618" s="190"/>
      <x:c r="V618" s="212"/>
      <x:c r="W618" s="212"/>
      <x:c r="X618" s="200"/>
      <x:c r="Y618" s="192"/>
      <x:c r="Z618" s="214"/>
      <x:c r="AA618" s="214"/>
      <x:c r="AB618" s="192"/>
      <x:c r="AC618" s="194"/>
      <x:c r="AD618" s="186" t="str">
        <x:f>IF(COUNTA(B618:H618)+COUNTA(J618:AC618)=0,"",IF(OR(B618="",D618="",E618="",G618="",J618=""),"缺少必填项",IF(H618&gt;G618,"完成数大于订单数",IF(AND(X618="",OR(Y618="排队",Y618="生产中",Y618="阻塞",Z618&lt;&gt;"",AA618&lt;&gt;"",AB618="是")),"已有排期字段缺少机台",IF(AND(X618&lt;&gt;"",Y618="待排"),"已填机台但状态为待排",IF(AND(Y618="生产中",AB618&lt;&gt;"是"),"需确认：生产中未锁定","可导入"))))))</x:f>
      </x:c>
    </x:row>
    <x:row r="619" ht="22" customHeight="1">
      <x:c r="A619" s="186" t="str">
        <x:f>IF(B619="","",ROW()-5)</x:f>
      </x:c>
      <x:c r="B619" s="196"/>
      <x:c r="C619" s="198"/>
      <x:c r="D619" s="196"/>
      <x:c r="E619" s="188"/>
      <x:c r="F619" s="198"/>
      <x:c r="G619" s="202"/>
      <x:c r="H619" s="204"/>
      <x:c r="I619" s="206" t="str">
        <x:f>IF(G619="","",MAX(G619-H619,0))</x:f>
      </x:c>
      <x:c r="J619" s="210"/>
      <x:c r="K619" s="190"/>
      <x:c r="L619" s="208"/>
      <x:c r="M619" s="208"/>
      <x:c r="N619" s="208"/>
      <x:c r="O619" s="208"/>
      <x:c r="P619" s="190"/>
      <x:c r="Q619" s="190"/>
      <x:c r="R619" s="190"/>
      <x:c r="S619" s="190"/>
      <x:c r="T619" s="190"/>
      <x:c r="U619" s="190"/>
      <x:c r="V619" s="212"/>
      <x:c r="W619" s="212"/>
      <x:c r="X619" s="200"/>
      <x:c r="Y619" s="192"/>
      <x:c r="Z619" s="214"/>
      <x:c r="AA619" s="214"/>
      <x:c r="AB619" s="192"/>
      <x:c r="AC619" s="194"/>
      <x:c r="AD619" s="186" t="str">
        <x:f>IF(COUNTA(B619:H619)+COUNTA(J619:AC619)=0,"",IF(OR(B619="",D619="",E619="",G619="",J619=""),"缺少必填项",IF(H619&gt;G619,"完成数大于订单数",IF(AND(X619="",OR(Y619="排队",Y619="生产中",Y619="阻塞",Z619&lt;&gt;"",AA619&lt;&gt;"",AB619="是")),"已有排期字段缺少机台",IF(AND(X619&lt;&gt;"",Y619="待排"),"已填机台但状态为待排",IF(AND(Y619="生产中",AB619&lt;&gt;"是"),"需确认：生产中未锁定","可导入"))))))</x:f>
      </x:c>
    </x:row>
    <x:row r="620" ht="22" customHeight="1">
      <x:c r="A620" s="186" t="str">
        <x:f>IF(B620="","",ROW()-5)</x:f>
      </x:c>
      <x:c r="B620" s="196"/>
      <x:c r="C620" s="198"/>
      <x:c r="D620" s="196"/>
      <x:c r="E620" s="188"/>
      <x:c r="F620" s="198"/>
      <x:c r="G620" s="202"/>
      <x:c r="H620" s="204"/>
      <x:c r="I620" s="206" t="str">
        <x:f>IF(G620="","",MAX(G620-H620,0))</x:f>
      </x:c>
      <x:c r="J620" s="210"/>
      <x:c r="K620" s="190"/>
      <x:c r="L620" s="208"/>
      <x:c r="M620" s="208"/>
      <x:c r="N620" s="208"/>
      <x:c r="O620" s="208"/>
      <x:c r="P620" s="190"/>
      <x:c r="Q620" s="190"/>
      <x:c r="R620" s="190"/>
      <x:c r="S620" s="190"/>
      <x:c r="T620" s="190"/>
      <x:c r="U620" s="190"/>
      <x:c r="V620" s="212"/>
      <x:c r="W620" s="212"/>
      <x:c r="X620" s="200"/>
      <x:c r="Y620" s="192"/>
      <x:c r="Z620" s="214"/>
      <x:c r="AA620" s="214"/>
      <x:c r="AB620" s="192"/>
      <x:c r="AC620" s="194"/>
      <x:c r="AD620" s="186" t="str">
        <x:f>IF(COUNTA(B620:H620)+COUNTA(J620:AC620)=0,"",IF(OR(B620="",D620="",E620="",G620="",J620=""),"缺少必填项",IF(H620&gt;G620,"完成数大于订单数",IF(AND(X620="",OR(Y620="排队",Y620="生产中",Y620="阻塞",Z620&lt;&gt;"",AA620&lt;&gt;"",AB620="是")),"已有排期字段缺少机台",IF(AND(X620&lt;&gt;"",Y620="待排"),"已填机台但状态为待排",IF(AND(Y620="生产中",AB620&lt;&gt;"是"),"需确认：生产中未锁定","可导入"))))))</x:f>
      </x:c>
    </x:row>
    <x:row r="621" ht="22" customHeight="1">
      <x:c r="A621" s="186" t="str">
        <x:f>IF(B621="","",ROW()-5)</x:f>
      </x:c>
      <x:c r="B621" s="196"/>
      <x:c r="C621" s="198"/>
      <x:c r="D621" s="196"/>
      <x:c r="E621" s="188"/>
      <x:c r="F621" s="198"/>
      <x:c r="G621" s="202"/>
      <x:c r="H621" s="204"/>
      <x:c r="I621" s="206" t="str">
        <x:f>IF(G621="","",MAX(G621-H621,0))</x:f>
      </x:c>
      <x:c r="J621" s="210"/>
      <x:c r="K621" s="190"/>
      <x:c r="L621" s="208"/>
      <x:c r="M621" s="208"/>
      <x:c r="N621" s="208"/>
      <x:c r="O621" s="208"/>
      <x:c r="P621" s="190"/>
      <x:c r="Q621" s="190"/>
      <x:c r="R621" s="190"/>
      <x:c r="S621" s="190"/>
      <x:c r="T621" s="190"/>
      <x:c r="U621" s="190"/>
      <x:c r="V621" s="212"/>
      <x:c r="W621" s="212"/>
      <x:c r="X621" s="200"/>
      <x:c r="Y621" s="192"/>
      <x:c r="Z621" s="214"/>
      <x:c r="AA621" s="214"/>
      <x:c r="AB621" s="192"/>
      <x:c r="AC621" s="194"/>
      <x:c r="AD621" s="186" t="str">
        <x:f>IF(COUNTA(B621:H621)+COUNTA(J621:AC621)=0,"",IF(OR(B621="",D621="",E621="",G621="",J621=""),"缺少必填项",IF(H621&gt;G621,"完成数大于订单数",IF(AND(X621="",OR(Y621="排队",Y621="生产中",Y621="阻塞",Z621&lt;&gt;"",AA621&lt;&gt;"",AB621="是")),"已有排期字段缺少机台",IF(AND(X621&lt;&gt;"",Y621="待排"),"已填机台但状态为待排",IF(AND(Y621="生产中",AB621&lt;&gt;"是"),"需确认：生产中未锁定","可导入"))))))</x:f>
      </x:c>
    </x:row>
    <x:row r="622" ht="22" customHeight="1">
      <x:c r="A622" s="186" t="str">
        <x:f>IF(B622="","",ROW()-5)</x:f>
      </x:c>
      <x:c r="B622" s="196"/>
      <x:c r="C622" s="198"/>
      <x:c r="D622" s="196"/>
      <x:c r="E622" s="188"/>
      <x:c r="F622" s="198"/>
      <x:c r="G622" s="202"/>
      <x:c r="H622" s="204"/>
      <x:c r="I622" s="206" t="str">
        <x:f>IF(G622="","",MAX(G622-H622,0))</x:f>
      </x:c>
      <x:c r="J622" s="210"/>
      <x:c r="K622" s="190"/>
      <x:c r="L622" s="208"/>
      <x:c r="M622" s="208"/>
      <x:c r="N622" s="208"/>
      <x:c r="O622" s="208"/>
      <x:c r="P622" s="190"/>
      <x:c r="Q622" s="190"/>
      <x:c r="R622" s="190"/>
      <x:c r="S622" s="190"/>
      <x:c r="T622" s="190"/>
      <x:c r="U622" s="190"/>
      <x:c r="V622" s="212"/>
      <x:c r="W622" s="212"/>
      <x:c r="X622" s="200"/>
      <x:c r="Y622" s="192"/>
      <x:c r="Z622" s="214"/>
      <x:c r="AA622" s="214"/>
      <x:c r="AB622" s="192"/>
      <x:c r="AC622" s="194"/>
      <x:c r="AD622" s="186" t="str">
        <x:f>IF(COUNTA(B622:H622)+COUNTA(J622:AC622)=0,"",IF(OR(B622="",D622="",E622="",G622="",J622=""),"缺少必填项",IF(H622&gt;G622,"完成数大于订单数",IF(AND(X622="",OR(Y622="排队",Y622="生产中",Y622="阻塞",Z622&lt;&gt;"",AA622&lt;&gt;"",AB622="是")),"已有排期字段缺少机台",IF(AND(X622&lt;&gt;"",Y622="待排"),"已填机台但状态为待排",IF(AND(Y622="生产中",AB622&lt;&gt;"是"),"需确认：生产中未锁定","可导入"))))))</x:f>
      </x:c>
    </x:row>
    <x:row r="623" ht="22" customHeight="1">
      <x:c r="A623" s="186" t="str">
        <x:f>IF(B623="","",ROW()-5)</x:f>
      </x:c>
      <x:c r="B623" s="196"/>
      <x:c r="C623" s="198"/>
      <x:c r="D623" s="196"/>
      <x:c r="E623" s="188"/>
      <x:c r="F623" s="198"/>
      <x:c r="G623" s="202"/>
      <x:c r="H623" s="204"/>
      <x:c r="I623" s="206" t="str">
        <x:f>IF(G623="","",MAX(G623-H623,0))</x:f>
      </x:c>
      <x:c r="J623" s="210"/>
      <x:c r="K623" s="190"/>
      <x:c r="L623" s="208"/>
      <x:c r="M623" s="208"/>
      <x:c r="N623" s="208"/>
      <x:c r="O623" s="208"/>
      <x:c r="P623" s="190"/>
      <x:c r="Q623" s="190"/>
      <x:c r="R623" s="190"/>
      <x:c r="S623" s="190"/>
      <x:c r="T623" s="190"/>
      <x:c r="U623" s="190"/>
      <x:c r="V623" s="212"/>
      <x:c r="W623" s="212"/>
      <x:c r="X623" s="200"/>
      <x:c r="Y623" s="192"/>
      <x:c r="Z623" s="214"/>
      <x:c r="AA623" s="214"/>
      <x:c r="AB623" s="192"/>
      <x:c r="AC623" s="194"/>
      <x:c r="AD623" s="186" t="str">
        <x:f>IF(COUNTA(B623:H623)+COUNTA(J623:AC623)=0,"",IF(OR(B623="",D623="",E623="",G623="",J623=""),"缺少必填项",IF(H623&gt;G623,"完成数大于订单数",IF(AND(X623="",OR(Y623="排队",Y623="生产中",Y623="阻塞",Z623&lt;&gt;"",AA623&lt;&gt;"",AB623="是")),"已有排期字段缺少机台",IF(AND(X623&lt;&gt;"",Y623="待排"),"已填机台但状态为待排",IF(AND(Y623="生产中",AB623&lt;&gt;"是"),"需确认：生产中未锁定","可导入"))))))</x:f>
      </x:c>
    </x:row>
    <x:row r="624" ht="22" customHeight="1">
      <x:c r="A624" s="186" t="str">
        <x:f>IF(B624="","",ROW()-5)</x:f>
      </x:c>
      <x:c r="B624" s="196"/>
      <x:c r="C624" s="198"/>
      <x:c r="D624" s="196"/>
      <x:c r="E624" s="188"/>
      <x:c r="F624" s="198"/>
      <x:c r="G624" s="202"/>
      <x:c r="H624" s="204"/>
      <x:c r="I624" s="206" t="str">
        <x:f>IF(G624="","",MAX(G624-H624,0))</x:f>
      </x:c>
      <x:c r="J624" s="210"/>
      <x:c r="K624" s="190"/>
      <x:c r="L624" s="208"/>
      <x:c r="M624" s="208"/>
      <x:c r="N624" s="208"/>
      <x:c r="O624" s="208"/>
      <x:c r="P624" s="190"/>
      <x:c r="Q624" s="190"/>
      <x:c r="R624" s="190"/>
      <x:c r="S624" s="190"/>
      <x:c r="T624" s="190"/>
      <x:c r="U624" s="190"/>
      <x:c r="V624" s="212"/>
      <x:c r="W624" s="212"/>
      <x:c r="X624" s="200"/>
      <x:c r="Y624" s="192"/>
      <x:c r="Z624" s="214"/>
      <x:c r="AA624" s="214"/>
      <x:c r="AB624" s="192"/>
      <x:c r="AC624" s="194"/>
      <x:c r="AD624" s="186" t="str">
        <x:f>IF(COUNTA(B624:H624)+COUNTA(J624:AC624)=0,"",IF(OR(B624="",D624="",E624="",G624="",J624=""),"缺少必填项",IF(H624&gt;G624,"完成数大于订单数",IF(AND(X624="",OR(Y624="排队",Y624="生产中",Y624="阻塞",Z624&lt;&gt;"",AA624&lt;&gt;"",AB624="是")),"已有排期字段缺少机台",IF(AND(X624&lt;&gt;"",Y624="待排"),"已填机台但状态为待排",IF(AND(Y624="生产中",AB624&lt;&gt;"是"),"需确认：生产中未锁定","可导入"))))))</x:f>
      </x:c>
    </x:row>
    <x:row r="625" ht="22" customHeight="1">
      <x:c r="A625" s="186" t="str">
        <x:f>IF(B625="","",ROW()-5)</x:f>
      </x:c>
      <x:c r="B625" s="196"/>
      <x:c r="C625" s="198"/>
      <x:c r="D625" s="196"/>
      <x:c r="E625" s="188"/>
      <x:c r="F625" s="198"/>
      <x:c r="G625" s="202"/>
      <x:c r="H625" s="204"/>
      <x:c r="I625" s="206" t="str">
        <x:f>IF(G625="","",MAX(G625-H625,0))</x:f>
      </x:c>
      <x:c r="J625" s="210"/>
      <x:c r="K625" s="190"/>
      <x:c r="L625" s="208"/>
      <x:c r="M625" s="208"/>
      <x:c r="N625" s="208"/>
      <x:c r="O625" s="208"/>
      <x:c r="P625" s="190"/>
      <x:c r="Q625" s="190"/>
      <x:c r="R625" s="190"/>
      <x:c r="S625" s="190"/>
      <x:c r="T625" s="190"/>
      <x:c r="U625" s="190"/>
      <x:c r="V625" s="212"/>
      <x:c r="W625" s="212"/>
      <x:c r="X625" s="200"/>
      <x:c r="Y625" s="192"/>
      <x:c r="Z625" s="214"/>
      <x:c r="AA625" s="214"/>
      <x:c r="AB625" s="192"/>
      <x:c r="AC625" s="194"/>
      <x:c r="AD625" s="186" t="str">
        <x:f>IF(COUNTA(B625:H625)+COUNTA(J625:AC625)=0,"",IF(OR(B625="",D625="",E625="",G625="",J625=""),"缺少必填项",IF(H625&gt;G625,"完成数大于订单数",IF(AND(X625="",OR(Y625="排队",Y625="生产中",Y625="阻塞",Z625&lt;&gt;"",AA625&lt;&gt;"",AB625="是")),"已有排期字段缺少机台",IF(AND(X625&lt;&gt;"",Y625="待排"),"已填机台但状态为待排",IF(AND(Y625="生产中",AB625&lt;&gt;"是"),"需确认：生产中未锁定","可导入"))))))</x:f>
      </x:c>
    </x:row>
    <x:row r="626" ht="22" customHeight="1">
      <x:c r="A626" s="186" t="str">
        <x:f>IF(B626="","",ROW()-5)</x:f>
      </x:c>
      <x:c r="B626" s="196"/>
      <x:c r="C626" s="198"/>
      <x:c r="D626" s="196"/>
      <x:c r="E626" s="188"/>
      <x:c r="F626" s="198"/>
      <x:c r="G626" s="202"/>
      <x:c r="H626" s="204"/>
      <x:c r="I626" s="206" t="str">
        <x:f>IF(G626="","",MAX(G626-H626,0))</x:f>
      </x:c>
      <x:c r="J626" s="210"/>
      <x:c r="K626" s="190"/>
      <x:c r="L626" s="208"/>
      <x:c r="M626" s="208"/>
      <x:c r="N626" s="208"/>
      <x:c r="O626" s="208"/>
      <x:c r="P626" s="190"/>
      <x:c r="Q626" s="190"/>
      <x:c r="R626" s="190"/>
      <x:c r="S626" s="190"/>
      <x:c r="T626" s="190"/>
      <x:c r="U626" s="190"/>
      <x:c r="V626" s="212"/>
      <x:c r="W626" s="212"/>
      <x:c r="X626" s="200"/>
      <x:c r="Y626" s="192"/>
      <x:c r="Z626" s="214"/>
      <x:c r="AA626" s="214"/>
      <x:c r="AB626" s="192"/>
      <x:c r="AC626" s="194"/>
      <x:c r="AD626" s="186" t="str">
        <x:f>IF(COUNTA(B626:H626)+COUNTA(J626:AC626)=0,"",IF(OR(B626="",D626="",E626="",G626="",J626=""),"缺少必填项",IF(H626&gt;G626,"完成数大于订单数",IF(AND(X626="",OR(Y626="排队",Y626="生产中",Y626="阻塞",Z626&lt;&gt;"",AA626&lt;&gt;"",AB626="是")),"已有排期字段缺少机台",IF(AND(X626&lt;&gt;"",Y626="待排"),"已填机台但状态为待排",IF(AND(Y626="生产中",AB626&lt;&gt;"是"),"需确认：生产中未锁定","可导入"))))))</x:f>
      </x:c>
    </x:row>
    <x:row r="627" ht="22" customHeight="1">
      <x:c r="A627" s="186" t="str">
        <x:f>IF(B627="","",ROW()-5)</x:f>
      </x:c>
      <x:c r="B627" s="196"/>
      <x:c r="C627" s="198"/>
      <x:c r="D627" s="196"/>
      <x:c r="E627" s="188"/>
      <x:c r="F627" s="198"/>
      <x:c r="G627" s="202"/>
      <x:c r="H627" s="204"/>
      <x:c r="I627" s="206" t="str">
        <x:f>IF(G627="","",MAX(G627-H627,0))</x:f>
      </x:c>
      <x:c r="J627" s="210"/>
      <x:c r="K627" s="190"/>
      <x:c r="L627" s="208"/>
      <x:c r="M627" s="208"/>
      <x:c r="N627" s="208"/>
      <x:c r="O627" s="208"/>
      <x:c r="P627" s="190"/>
      <x:c r="Q627" s="190"/>
      <x:c r="R627" s="190"/>
      <x:c r="S627" s="190"/>
      <x:c r="T627" s="190"/>
      <x:c r="U627" s="190"/>
      <x:c r="V627" s="212"/>
      <x:c r="W627" s="212"/>
      <x:c r="X627" s="200"/>
      <x:c r="Y627" s="192"/>
      <x:c r="Z627" s="214"/>
      <x:c r="AA627" s="214"/>
      <x:c r="AB627" s="192"/>
      <x:c r="AC627" s="194"/>
      <x:c r="AD627" s="186" t="str">
        <x:f>IF(COUNTA(B627:H627)+COUNTA(J627:AC627)=0,"",IF(OR(B627="",D627="",E627="",G627="",J627=""),"缺少必填项",IF(H627&gt;G627,"完成数大于订单数",IF(AND(X627="",OR(Y627="排队",Y627="生产中",Y627="阻塞",Z627&lt;&gt;"",AA627&lt;&gt;"",AB627="是")),"已有排期字段缺少机台",IF(AND(X627&lt;&gt;"",Y627="待排"),"已填机台但状态为待排",IF(AND(Y627="生产中",AB627&lt;&gt;"是"),"需确认：生产中未锁定","可导入"))))))</x:f>
      </x:c>
    </x:row>
    <x:row r="628" ht="22" customHeight="1">
      <x:c r="A628" s="186" t="str">
        <x:f>IF(B628="","",ROW()-5)</x:f>
      </x:c>
      <x:c r="B628" s="196"/>
      <x:c r="C628" s="198"/>
      <x:c r="D628" s="196"/>
      <x:c r="E628" s="188"/>
      <x:c r="F628" s="198"/>
      <x:c r="G628" s="202"/>
      <x:c r="H628" s="204"/>
      <x:c r="I628" s="206" t="str">
        <x:f>IF(G628="","",MAX(G628-H628,0))</x:f>
      </x:c>
      <x:c r="J628" s="210"/>
      <x:c r="K628" s="190"/>
      <x:c r="L628" s="208"/>
      <x:c r="M628" s="208"/>
      <x:c r="N628" s="208"/>
      <x:c r="O628" s="208"/>
      <x:c r="P628" s="190"/>
      <x:c r="Q628" s="190"/>
      <x:c r="R628" s="190"/>
      <x:c r="S628" s="190"/>
      <x:c r="T628" s="190"/>
      <x:c r="U628" s="190"/>
      <x:c r="V628" s="212"/>
      <x:c r="W628" s="212"/>
      <x:c r="X628" s="200"/>
      <x:c r="Y628" s="192"/>
      <x:c r="Z628" s="214"/>
      <x:c r="AA628" s="214"/>
      <x:c r="AB628" s="192"/>
      <x:c r="AC628" s="194"/>
      <x:c r="AD628" s="186" t="str">
        <x:f>IF(COUNTA(B628:H628)+COUNTA(J628:AC628)=0,"",IF(OR(B628="",D628="",E628="",G628="",J628=""),"缺少必填项",IF(H628&gt;G628,"完成数大于订单数",IF(AND(X628="",OR(Y628="排队",Y628="生产中",Y628="阻塞",Z628&lt;&gt;"",AA628&lt;&gt;"",AB628="是")),"已有排期字段缺少机台",IF(AND(X628&lt;&gt;"",Y628="待排"),"已填机台但状态为待排",IF(AND(Y628="生产中",AB628&lt;&gt;"是"),"需确认：生产中未锁定","可导入"))))))</x:f>
      </x:c>
    </x:row>
    <x:row r="629" ht="22" customHeight="1">
      <x:c r="A629" s="186" t="str">
        <x:f>IF(B629="","",ROW()-5)</x:f>
      </x:c>
      <x:c r="B629" s="196"/>
      <x:c r="C629" s="198"/>
      <x:c r="D629" s="196"/>
      <x:c r="E629" s="188"/>
      <x:c r="F629" s="198"/>
      <x:c r="G629" s="202"/>
      <x:c r="H629" s="204"/>
      <x:c r="I629" s="206" t="str">
        <x:f>IF(G629="","",MAX(G629-H629,0))</x:f>
      </x:c>
      <x:c r="J629" s="210"/>
      <x:c r="K629" s="190"/>
      <x:c r="L629" s="208"/>
      <x:c r="M629" s="208"/>
      <x:c r="N629" s="208"/>
      <x:c r="O629" s="208"/>
      <x:c r="P629" s="190"/>
      <x:c r="Q629" s="190"/>
      <x:c r="R629" s="190"/>
      <x:c r="S629" s="190"/>
      <x:c r="T629" s="190"/>
      <x:c r="U629" s="190"/>
      <x:c r="V629" s="212"/>
      <x:c r="W629" s="212"/>
      <x:c r="X629" s="200"/>
      <x:c r="Y629" s="192"/>
      <x:c r="Z629" s="214"/>
      <x:c r="AA629" s="214"/>
      <x:c r="AB629" s="192"/>
      <x:c r="AC629" s="194"/>
      <x:c r="AD629" s="186" t="str">
        <x:f>IF(COUNTA(B629:H629)+COUNTA(J629:AC629)=0,"",IF(OR(B629="",D629="",E629="",G629="",J629=""),"缺少必填项",IF(H629&gt;G629,"完成数大于订单数",IF(AND(X629="",OR(Y629="排队",Y629="生产中",Y629="阻塞",Z629&lt;&gt;"",AA629&lt;&gt;"",AB629="是")),"已有排期字段缺少机台",IF(AND(X629&lt;&gt;"",Y629="待排"),"已填机台但状态为待排",IF(AND(Y629="生产中",AB629&lt;&gt;"是"),"需确认：生产中未锁定","可导入"))))))</x:f>
      </x:c>
    </x:row>
    <x:row r="630" ht="22" customHeight="1">
      <x:c r="A630" s="186" t="str">
        <x:f>IF(B630="","",ROW()-5)</x:f>
      </x:c>
      <x:c r="B630" s="196"/>
      <x:c r="C630" s="198"/>
      <x:c r="D630" s="196"/>
      <x:c r="E630" s="188"/>
      <x:c r="F630" s="198"/>
      <x:c r="G630" s="202"/>
      <x:c r="H630" s="204"/>
      <x:c r="I630" s="206" t="str">
        <x:f>IF(G630="","",MAX(G630-H630,0))</x:f>
      </x:c>
      <x:c r="J630" s="210"/>
      <x:c r="K630" s="190"/>
      <x:c r="L630" s="208"/>
      <x:c r="M630" s="208"/>
      <x:c r="N630" s="208"/>
      <x:c r="O630" s="208"/>
      <x:c r="P630" s="190"/>
      <x:c r="Q630" s="190"/>
      <x:c r="R630" s="190"/>
      <x:c r="S630" s="190"/>
      <x:c r="T630" s="190"/>
      <x:c r="U630" s="190"/>
      <x:c r="V630" s="212"/>
      <x:c r="W630" s="212"/>
      <x:c r="X630" s="200"/>
      <x:c r="Y630" s="192"/>
      <x:c r="Z630" s="214"/>
      <x:c r="AA630" s="214"/>
      <x:c r="AB630" s="192"/>
      <x:c r="AC630" s="194"/>
      <x:c r="AD630" s="186" t="str">
        <x:f>IF(COUNTA(B630:H630)+COUNTA(J630:AC630)=0,"",IF(OR(B630="",D630="",E630="",G630="",J630=""),"缺少必填项",IF(H630&gt;G630,"完成数大于订单数",IF(AND(X630="",OR(Y630="排队",Y630="生产中",Y630="阻塞",Z630&lt;&gt;"",AA630&lt;&gt;"",AB630="是")),"已有排期字段缺少机台",IF(AND(X630&lt;&gt;"",Y630="待排"),"已填机台但状态为待排",IF(AND(Y630="生产中",AB630&lt;&gt;"是"),"需确认：生产中未锁定","可导入"))))))</x:f>
      </x:c>
    </x:row>
    <x:row r="631" ht="22" customHeight="1">
      <x:c r="A631" s="186" t="str">
        <x:f>IF(B631="","",ROW()-5)</x:f>
      </x:c>
      <x:c r="B631" s="196"/>
      <x:c r="C631" s="198"/>
      <x:c r="D631" s="196"/>
      <x:c r="E631" s="188"/>
      <x:c r="F631" s="198"/>
      <x:c r="G631" s="202"/>
      <x:c r="H631" s="204"/>
      <x:c r="I631" s="206" t="str">
        <x:f>IF(G631="","",MAX(G631-H631,0))</x:f>
      </x:c>
      <x:c r="J631" s="210"/>
      <x:c r="K631" s="190"/>
      <x:c r="L631" s="208"/>
      <x:c r="M631" s="208"/>
      <x:c r="N631" s="208"/>
      <x:c r="O631" s="208"/>
      <x:c r="P631" s="190"/>
      <x:c r="Q631" s="190"/>
      <x:c r="R631" s="190"/>
      <x:c r="S631" s="190"/>
      <x:c r="T631" s="190"/>
      <x:c r="U631" s="190"/>
      <x:c r="V631" s="212"/>
      <x:c r="W631" s="212"/>
      <x:c r="X631" s="200"/>
      <x:c r="Y631" s="192"/>
      <x:c r="Z631" s="214"/>
      <x:c r="AA631" s="214"/>
      <x:c r="AB631" s="192"/>
      <x:c r="AC631" s="194"/>
      <x:c r="AD631" s="186" t="str">
        <x:f>IF(COUNTA(B631:H631)+COUNTA(J631:AC631)=0,"",IF(OR(B631="",D631="",E631="",G631="",J631=""),"缺少必填项",IF(H631&gt;G631,"完成数大于订单数",IF(AND(X631="",OR(Y631="排队",Y631="生产中",Y631="阻塞",Z631&lt;&gt;"",AA631&lt;&gt;"",AB631="是")),"已有排期字段缺少机台",IF(AND(X631&lt;&gt;"",Y631="待排"),"已填机台但状态为待排",IF(AND(Y631="生产中",AB631&lt;&gt;"是"),"需确认：生产中未锁定","可导入"))))))</x:f>
      </x:c>
    </x:row>
    <x:row r="632" ht="22" customHeight="1">
      <x:c r="A632" s="186" t="str">
        <x:f>IF(B632="","",ROW()-5)</x:f>
      </x:c>
      <x:c r="B632" s="196"/>
      <x:c r="C632" s="198"/>
      <x:c r="D632" s="196"/>
      <x:c r="E632" s="188"/>
      <x:c r="F632" s="198"/>
      <x:c r="G632" s="202"/>
      <x:c r="H632" s="204"/>
      <x:c r="I632" s="206" t="str">
        <x:f>IF(G632="","",MAX(G632-H632,0))</x:f>
      </x:c>
      <x:c r="J632" s="210"/>
      <x:c r="K632" s="190"/>
      <x:c r="L632" s="208"/>
      <x:c r="M632" s="208"/>
      <x:c r="N632" s="208"/>
      <x:c r="O632" s="208"/>
      <x:c r="P632" s="190"/>
      <x:c r="Q632" s="190"/>
      <x:c r="R632" s="190"/>
      <x:c r="S632" s="190"/>
      <x:c r="T632" s="190"/>
      <x:c r="U632" s="190"/>
      <x:c r="V632" s="212"/>
      <x:c r="W632" s="212"/>
      <x:c r="X632" s="200"/>
      <x:c r="Y632" s="192"/>
      <x:c r="Z632" s="214"/>
      <x:c r="AA632" s="214"/>
      <x:c r="AB632" s="192"/>
      <x:c r="AC632" s="194"/>
      <x:c r="AD632" s="186" t="str">
        <x:f>IF(COUNTA(B632:H632)+COUNTA(J632:AC632)=0,"",IF(OR(B632="",D632="",E632="",G632="",J632=""),"缺少必填项",IF(H632&gt;G632,"完成数大于订单数",IF(AND(X632="",OR(Y632="排队",Y632="生产中",Y632="阻塞",Z632&lt;&gt;"",AA632&lt;&gt;"",AB632="是")),"已有排期字段缺少机台",IF(AND(X632&lt;&gt;"",Y632="待排"),"已填机台但状态为待排",IF(AND(Y632="生产中",AB632&lt;&gt;"是"),"需确认：生产中未锁定","可导入"))))))</x:f>
      </x:c>
    </x:row>
    <x:row r="633" ht="22" customHeight="1">
      <x:c r="A633" s="186" t="str">
        <x:f>IF(B633="","",ROW()-5)</x:f>
      </x:c>
      <x:c r="B633" s="196"/>
      <x:c r="C633" s="198"/>
      <x:c r="D633" s="196"/>
      <x:c r="E633" s="188"/>
      <x:c r="F633" s="198"/>
      <x:c r="G633" s="202"/>
      <x:c r="H633" s="204"/>
      <x:c r="I633" s="206" t="str">
        <x:f>IF(G633="","",MAX(G633-H633,0))</x:f>
      </x:c>
      <x:c r="J633" s="210"/>
      <x:c r="K633" s="190"/>
      <x:c r="L633" s="208"/>
      <x:c r="M633" s="208"/>
      <x:c r="N633" s="208"/>
      <x:c r="O633" s="208"/>
      <x:c r="P633" s="190"/>
      <x:c r="Q633" s="190"/>
      <x:c r="R633" s="190"/>
      <x:c r="S633" s="190"/>
      <x:c r="T633" s="190"/>
      <x:c r="U633" s="190"/>
      <x:c r="V633" s="212"/>
      <x:c r="W633" s="212"/>
      <x:c r="X633" s="200"/>
      <x:c r="Y633" s="192"/>
      <x:c r="Z633" s="214"/>
      <x:c r="AA633" s="214"/>
      <x:c r="AB633" s="192"/>
      <x:c r="AC633" s="194"/>
      <x:c r="AD633" s="186" t="str">
        <x:f>IF(COUNTA(B633:H633)+COUNTA(J633:AC633)=0,"",IF(OR(B633="",D633="",E633="",G633="",J633=""),"缺少必填项",IF(H633&gt;G633,"完成数大于订单数",IF(AND(X633="",OR(Y633="排队",Y633="生产中",Y633="阻塞",Z633&lt;&gt;"",AA633&lt;&gt;"",AB633="是")),"已有排期字段缺少机台",IF(AND(X633&lt;&gt;"",Y633="待排"),"已填机台但状态为待排",IF(AND(Y633="生产中",AB633&lt;&gt;"是"),"需确认：生产中未锁定","可导入"))))))</x:f>
      </x:c>
    </x:row>
    <x:row r="634" ht="22" customHeight="1">
      <x:c r="A634" s="186" t="str">
        <x:f>IF(B634="","",ROW()-5)</x:f>
      </x:c>
      <x:c r="B634" s="196"/>
      <x:c r="C634" s="198"/>
      <x:c r="D634" s="196"/>
      <x:c r="E634" s="188"/>
      <x:c r="F634" s="198"/>
      <x:c r="G634" s="202"/>
      <x:c r="H634" s="204"/>
      <x:c r="I634" s="206" t="str">
        <x:f>IF(G634="","",MAX(G634-H634,0))</x:f>
      </x:c>
      <x:c r="J634" s="210"/>
      <x:c r="K634" s="190"/>
      <x:c r="L634" s="208"/>
      <x:c r="M634" s="208"/>
      <x:c r="N634" s="208"/>
      <x:c r="O634" s="208"/>
      <x:c r="P634" s="190"/>
      <x:c r="Q634" s="190"/>
      <x:c r="R634" s="190"/>
      <x:c r="S634" s="190"/>
      <x:c r="T634" s="190"/>
      <x:c r="U634" s="190"/>
      <x:c r="V634" s="212"/>
      <x:c r="W634" s="212"/>
      <x:c r="X634" s="200"/>
      <x:c r="Y634" s="192"/>
      <x:c r="Z634" s="214"/>
      <x:c r="AA634" s="214"/>
      <x:c r="AB634" s="192"/>
      <x:c r="AC634" s="194"/>
      <x:c r="AD634" s="186" t="str">
        <x:f>IF(COUNTA(B634:H634)+COUNTA(J634:AC634)=0,"",IF(OR(B634="",D634="",E634="",G634="",J634=""),"缺少必填项",IF(H634&gt;G634,"完成数大于订单数",IF(AND(X634="",OR(Y634="排队",Y634="生产中",Y634="阻塞",Z634&lt;&gt;"",AA634&lt;&gt;"",AB634="是")),"已有排期字段缺少机台",IF(AND(X634&lt;&gt;"",Y634="待排"),"已填机台但状态为待排",IF(AND(Y634="生产中",AB634&lt;&gt;"是"),"需确认：生产中未锁定","可导入"))))))</x:f>
      </x:c>
    </x:row>
    <x:row r="635" ht="22" customHeight="1">
      <x:c r="A635" s="186" t="str">
        <x:f>IF(B635="","",ROW()-5)</x:f>
      </x:c>
      <x:c r="B635" s="196"/>
      <x:c r="C635" s="198"/>
      <x:c r="D635" s="196"/>
      <x:c r="E635" s="188"/>
      <x:c r="F635" s="198"/>
      <x:c r="G635" s="202"/>
      <x:c r="H635" s="204"/>
      <x:c r="I635" s="206" t="str">
        <x:f>IF(G635="","",MAX(G635-H635,0))</x:f>
      </x:c>
      <x:c r="J635" s="210"/>
      <x:c r="K635" s="190"/>
      <x:c r="L635" s="208"/>
      <x:c r="M635" s="208"/>
      <x:c r="N635" s="208"/>
      <x:c r="O635" s="208"/>
      <x:c r="P635" s="190"/>
      <x:c r="Q635" s="190"/>
      <x:c r="R635" s="190"/>
      <x:c r="S635" s="190"/>
      <x:c r="T635" s="190"/>
      <x:c r="U635" s="190"/>
      <x:c r="V635" s="212"/>
      <x:c r="W635" s="212"/>
      <x:c r="X635" s="200"/>
      <x:c r="Y635" s="192"/>
      <x:c r="Z635" s="214"/>
      <x:c r="AA635" s="214"/>
      <x:c r="AB635" s="192"/>
      <x:c r="AC635" s="194"/>
      <x:c r="AD635" s="186" t="str">
        <x:f>IF(COUNTA(B635:H635)+COUNTA(J635:AC635)=0,"",IF(OR(B635="",D635="",E635="",G635="",J635=""),"缺少必填项",IF(H635&gt;G635,"完成数大于订单数",IF(AND(X635="",OR(Y635="排队",Y635="生产中",Y635="阻塞",Z635&lt;&gt;"",AA635&lt;&gt;"",AB635="是")),"已有排期字段缺少机台",IF(AND(X635&lt;&gt;"",Y635="待排"),"已填机台但状态为待排",IF(AND(Y635="生产中",AB635&lt;&gt;"是"),"需确认：生产中未锁定","可导入"))))))</x:f>
      </x:c>
    </x:row>
    <x:row r="636" ht="22" customHeight="1">
      <x:c r="A636" s="186" t="str">
        <x:f>IF(B636="","",ROW()-5)</x:f>
      </x:c>
      <x:c r="B636" s="196"/>
      <x:c r="C636" s="198"/>
      <x:c r="D636" s="196"/>
      <x:c r="E636" s="188"/>
      <x:c r="F636" s="198"/>
      <x:c r="G636" s="202"/>
      <x:c r="H636" s="204"/>
      <x:c r="I636" s="206" t="str">
        <x:f>IF(G636="","",MAX(G636-H636,0))</x:f>
      </x:c>
      <x:c r="J636" s="210"/>
      <x:c r="K636" s="190"/>
      <x:c r="L636" s="208"/>
      <x:c r="M636" s="208"/>
      <x:c r="N636" s="208"/>
      <x:c r="O636" s="208"/>
      <x:c r="P636" s="190"/>
      <x:c r="Q636" s="190"/>
      <x:c r="R636" s="190"/>
      <x:c r="S636" s="190"/>
      <x:c r="T636" s="190"/>
      <x:c r="U636" s="190"/>
      <x:c r="V636" s="212"/>
      <x:c r="W636" s="212"/>
      <x:c r="X636" s="200"/>
      <x:c r="Y636" s="192"/>
      <x:c r="Z636" s="214"/>
      <x:c r="AA636" s="214"/>
      <x:c r="AB636" s="192"/>
      <x:c r="AC636" s="194"/>
      <x:c r="AD636" s="186" t="str">
        <x:f>IF(COUNTA(B636:H636)+COUNTA(J636:AC636)=0,"",IF(OR(B636="",D636="",E636="",G636="",J636=""),"缺少必填项",IF(H636&gt;G636,"完成数大于订单数",IF(AND(X636="",OR(Y636="排队",Y636="生产中",Y636="阻塞",Z636&lt;&gt;"",AA636&lt;&gt;"",AB636="是")),"已有排期字段缺少机台",IF(AND(X636&lt;&gt;"",Y636="待排"),"已填机台但状态为待排",IF(AND(Y636="生产中",AB636&lt;&gt;"是"),"需确认：生产中未锁定","可导入"))))))</x:f>
      </x:c>
    </x:row>
    <x:row r="637" ht="22" customHeight="1">
      <x:c r="A637" s="186" t="str">
        <x:f>IF(B637="","",ROW()-5)</x:f>
      </x:c>
      <x:c r="B637" s="196"/>
      <x:c r="C637" s="198"/>
      <x:c r="D637" s="196"/>
      <x:c r="E637" s="188"/>
      <x:c r="F637" s="198"/>
      <x:c r="G637" s="202"/>
      <x:c r="H637" s="204"/>
      <x:c r="I637" s="206" t="str">
        <x:f>IF(G637="","",MAX(G637-H637,0))</x:f>
      </x:c>
      <x:c r="J637" s="210"/>
      <x:c r="K637" s="190"/>
      <x:c r="L637" s="208"/>
      <x:c r="M637" s="208"/>
      <x:c r="N637" s="208"/>
      <x:c r="O637" s="208"/>
      <x:c r="P637" s="190"/>
      <x:c r="Q637" s="190"/>
      <x:c r="R637" s="190"/>
      <x:c r="S637" s="190"/>
      <x:c r="T637" s="190"/>
      <x:c r="U637" s="190"/>
      <x:c r="V637" s="212"/>
      <x:c r="W637" s="212"/>
      <x:c r="X637" s="200"/>
      <x:c r="Y637" s="192"/>
      <x:c r="Z637" s="214"/>
      <x:c r="AA637" s="214"/>
      <x:c r="AB637" s="192"/>
      <x:c r="AC637" s="194"/>
      <x:c r="AD637" s="186" t="str">
        <x:f>IF(COUNTA(B637:H637)+COUNTA(J637:AC637)=0,"",IF(OR(B637="",D637="",E637="",G637="",J637=""),"缺少必填项",IF(H637&gt;G637,"完成数大于订单数",IF(AND(X637="",OR(Y637="排队",Y637="生产中",Y637="阻塞",Z637&lt;&gt;"",AA637&lt;&gt;"",AB637="是")),"已有排期字段缺少机台",IF(AND(X637&lt;&gt;"",Y637="待排"),"已填机台但状态为待排",IF(AND(Y637="生产中",AB637&lt;&gt;"是"),"需确认：生产中未锁定","可导入"))))))</x:f>
      </x:c>
    </x:row>
    <x:row r="638" ht="22" customHeight="1">
      <x:c r="A638" s="186" t="str">
        <x:f>IF(B638="","",ROW()-5)</x:f>
      </x:c>
      <x:c r="B638" s="196"/>
      <x:c r="C638" s="198"/>
      <x:c r="D638" s="196"/>
      <x:c r="E638" s="188"/>
      <x:c r="F638" s="198"/>
      <x:c r="G638" s="202"/>
      <x:c r="H638" s="204"/>
      <x:c r="I638" s="206" t="str">
        <x:f>IF(G638="","",MAX(G638-H638,0))</x:f>
      </x:c>
      <x:c r="J638" s="210"/>
      <x:c r="K638" s="190"/>
      <x:c r="L638" s="208"/>
      <x:c r="M638" s="208"/>
      <x:c r="N638" s="208"/>
      <x:c r="O638" s="208"/>
      <x:c r="P638" s="190"/>
      <x:c r="Q638" s="190"/>
      <x:c r="R638" s="190"/>
      <x:c r="S638" s="190"/>
      <x:c r="T638" s="190"/>
      <x:c r="U638" s="190"/>
      <x:c r="V638" s="212"/>
      <x:c r="W638" s="212"/>
      <x:c r="X638" s="200"/>
      <x:c r="Y638" s="192"/>
      <x:c r="Z638" s="214"/>
      <x:c r="AA638" s="214"/>
      <x:c r="AB638" s="192"/>
      <x:c r="AC638" s="194"/>
      <x:c r="AD638" s="186" t="str">
        <x:f>IF(COUNTA(B638:H638)+COUNTA(J638:AC638)=0,"",IF(OR(B638="",D638="",E638="",G638="",J638=""),"缺少必填项",IF(H638&gt;G638,"完成数大于订单数",IF(AND(X638="",OR(Y638="排队",Y638="生产中",Y638="阻塞",Z638&lt;&gt;"",AA638&lt;&gt;"",AB638="是")),"已有排期字段缺少机台",IF(AND(X638&lt;&gt;"",Y638="待排"),"已填机台但状态为待排",IF(AND(Y638="生产中",AB638&lt;&gt;"是"),"需确认：生产中未锁定","可导入"))))))</x:f>
      </x:c>
    </x:row>
    <x:row r="639" ht="22" customHeight="1">
      <x:c r="A639" s="186" t="str">
        <x:f>IF(B639="","",ROW()-5)</x:f>
      </x:c>
      <x:c r="B639" s="196"/>
      <x:c r="C639" s="198"/>
      <x:c r="D639" s="196"/>
      <x:c r="E639" s="188"/>
      <x:c r="F639" s="198"/>
      <x:c r="G639" s="202"/>
      <x:c r="H639" s="204"/>
      <x:c r="I639" s="206" t="str">
        <x:f>IF(G639="","",MAX(G639-H639,0))</x:f>
      </x:c>
      <x:c r="J639" s="210"/>
      <x:c r="K639" s="190"/>
      <x:c r="L639" s="208"/>
      <x:c r="M639" s="208"/>
      <x:c r="N639" s="208"/>
      <x:c r="O639" s="208"/>
      <x:c r="P639" s="190"/>
      <x:c r="Q639" s="190"/>
      <x:c r="R639" s="190"/>
      <x:c r="S639" s="190"/>
      <x:c r="T639" s="190"/>
      <x:c r="U639" s="190"/>
      <x:c r="V639" s="212"/>
      <x:c r="W639" s="212"/>
      <x:c r="X639" s="200"/>
      <x:c r="Y639" s="192"/>
      <x:c r="Z639" s="214"/>
      <x:c r="AA639" s="214"/>
      <x:c r="AB639" s="192"/>
      <x:c r="AC639" s="194"/>
      <x:c r="AD639" s="186" t="str">
        <x:f>IF(COUNTA(B639:H639)+COUNTA(J639:AC639)=0,"",IF(OR(B639="",D639="",E639="",G639="",J639=""),"缺少必填项",IF(H639&gt;G639,"完成数大于订单数",IF(AND(X639="",OR(Y639="排队",Y639="生产中",Y639="阻塞",Z639&lt;&gt;"",AA639&lt;&gt;"",AB639="是")),"已有排期字段缺少机台",IF(AND(X639&lt;&gt;"",Y639="待排"),"已填机台但状态为待排",IF(AND(Y639="生产中",AB639&lt;&gt;"是"),"需确认：生产中未锁定","可导入"))))))</x:f>
      </x:c>
    </x:row>
    <x:row r="640" ht="22" customHeight="1">
      <x:c r="A640" s="186" t="str">
        <x:f>IF(B640="","",ROW()-5)</x:f>
      </x:c>
      <x:c r="B640" s="196"/>
      <x:c r="C640" s="198"/>
      <x:c r="D640" s="196"/>
      <x:c r="E640" s="188"/>
      <x:c r="F640" s="198"/>
      <x:c r="G640" s="202"/>
      <x:c r="H640" s="204"/>
      <x:c r="I640" s="206" t="str">
        <x:f>IF(G640="","",MAX(G640-H640,0))</x:f>
      </x:c>
      <x:c r="J640" s="210"/>
      <x:c r="K640" s="190"/>
      <x:c r="L640" s="208"/>
      <x:c r="M640" s="208"/>
      <x:c r="N640" s="208"/>
      <x:c r="O640" s="208"/>
      <x:c r="P640" s="190"/>
      <x:c r="Q640" s="190"/>
      <x:c r="R640" s="190"/>
      <x:c r="S640" s="190"/>
      <x:c r="T640" s="190"/>
      <x:c r="U640" s="190"/>
      <x:c r="V640" s="212"/>
      <x:c r="W640" s="212"/>
      <x:c r="X640" s="200"/>
      <x:c r="Y640" s="192"/>
      <x:c r="Z640" s="214"/>
      <x:c r="AA640" s="214"/>
      <x:c r="AB640" s="192"/>
      <x:c r="AC640" s="194"/>
      <x:c r="AD640" s="186" t="str">
        <x:f>IF(COUNTA(B640:H640)+COUNTA(J640:AC640)=0,"",IF(OR(B640="",D640="",E640="",G640="",J640=""),"缺少必填项",IF(H640&gt;G640,"完成数大于订单数",IF(AND(X640="",OR(Y640="排队",Y640="生产中",Y640="阻塞",Z640&lt;&gt;"",AA640&lt;&gt;"",AB640="是")),"已有排期字段缺少机台",IF(AND(X640&lt;&gt;"",Y640="待排"),"已填机台但状态为待排",IF(AND(Y640="生产中",AB640&lt;&gt;"是"),"需确认：生产中未锁定","可导入"))))))</x:f>
      </x:c>
    </x:row>
    <x:row r="641" ht="22" customHeight="1">
      <x:c r="A641" s="186" t="str">
        <x:f>IF(B641="","",ROW()-5)</x:f>
      </x:c>
      <x:c r="B641" s="196"/>
      <x:c r="C641" s="198"/>
      <x:c r="D641" s="196"/>
      <x:c r="E641" s="188"/>
      <x:c r="F641" s="198"/>
      <x:c r="G641" s="202"/>
      <x:c r="H641" s="204"/>
      <x:c r="I641" s="206" t="str">
        <x:f>IF(G641="","",MAX(G641-H641,0))</x:f>
      </x:c>
      <x:c r="J641" s="210"/>
      <x:c r="K641" s="190"/>
      <x:c r="L641" s="208"/>
      <x:c r="M641" s="208"/>
      <x:c r="N641" s="208"/>
      <x:c r="O641" s="208"/>
      <x:c r="P641" s="190"/>
      <x:c r="Q641" s="190"/>
      <x:c r="R641" s="190"/>
      <x:c r="S641" s="190"/>
      <x:c r="T641" s="190"/>
      <x:c r="U641" s="190"/>
      <x:c r="V641" s="212"/>
      <x:c r="W641" s="212"/>
      <x:c r="X641" s="200"/>
      <x:c r="Y641" s="192"/>
      <x:c r="Z641" s="214"/>
      <x:c r="AA641" s="214"/>
      <x:c r="AB641" s="192"/>
      <x:c r="AC641" s="194"/>
      <x:c r="AD641" s="186" t="str">
        <x:f>IF(COUNTA(B641:H641)+COUNTA(J641:AC641)=0,"",IF(OR(B641="",D641="",E641="",G641="",J641=""),"缺少必填项",IF(H641&gt;G641,"完成数大于订单数",IF(AND(X641="",OR(Y641="排队",Y641="生产中",Y641="阻塞",Z641&lt;&gt;"",AA641&lt;&gt;"",AB641="是")),"已有排期字段缺少机台",IF(AND(X641&lt;&gt;"",Y641="待排"),"已填机台但状态为待排",IF(AND(Y641="生产中",AB641&lt;&gt;"是"),"需确认：生产中未锁定","可导入"))))))</x:f>
      </x:c>
    </x:row>
    <x:row r="642" ht="22" customHeight="1">
      <x:c r="A642" s="186" t="str">
        <x:f>IF(B642="","",ROW()-5)</x:f>
      </x:c>
      <x:c r="B642" s="196"/>
      <x:c r="C642" s="198"/>
      <x:c r="D642" s="196"/>
      <x:c r="E642" s="188"/>
      <x:c r="F642" s="198"/>
      <x:c r="G642" s="202"/>
      <x:c r="H642" s="204"/>
      <x:c r="I642" s="206" t="str">
        <x:f>IF(G642="","",MAX(G642-H642,0))</x:f>
      </x:c>
      <x:c r="J642" s="210"/>
      <x:c r="K642" s="190"/>
      <x:c r="L642" s="208"/>
      <x:c r="M642" s="208"/>
      <x:c r="N642" s="208"/>
      <x:c r="O642" s="208"/>
      <x:c r="P642" s="190"/>
      <x:c r="Q642" s="190"/>
      <x:c r="R642" s="190"/>
      <x:c r="S642" s="190"/>
      <x:c r="T642" s="190"/>
      <x:c r="U642" s="190"/>
      <x:c r="V642" s="212"/>
      <x:c r="W642" s="212"/>
      <x:c r="X642" s="200"/>
      <x:c r="Y642" s="192"/>
      <x:c r="Z642" s="214"/>
      <x:c r="AA642" s="214"/>
      <x:c r="AB642" s="192"/>
      <x:c r="AC642" s="194"/>
      <x:c r="AD642" s="186" t="str">
        <x:f>IF(COUNTA(B642:H642)+COUNTA(J642:AC642)=0,"",IF(OR(B642="",D642="",E642="",G642="",J642=""),"缺少必填项",IF(H642&gt;G642,"完成数大于订单数",IF(AND(X642="",OR(Y642="排队",Y642="生产中",Y642="阻塞",Z642&lt;&gt;"",AA642&lt;&gt;"",AB642="是")),"已有排期字段缺少机台",IF(AND(X642&lt;&gt;"",Y642="待排"),"已填机台但状态为待排",IF(AND(Y642="生产中",AB642&lt;&gt;"是"),"需确认：生产中未锁定","可导入"))))))</x:f>
      </x:c>
    </x:row>
    <x:row r="643" ht="22" customHeight="1">
      <x:c r="A643" s="186" t="str">
        <x:f>IF(B643="","",ROW()-5)</x:f>
      </x:c>
      <x:c r="B643" s="196"/>
      <x:c r="C643" s="198"/>
      <x:c r="D643" s="196"/>
      <x:c r="E643" s="188"/>
      <x:c r="F643" s="198"/>
      <x:c r="G643" s="202"/>
      <x:c r="H643" s="204"/>
      <x:c r="I643" s="206" t="str">
        <x:f>IF(G643="","",MAX(G643-H643,0))</x:f>
      </x:c>
      <x:c r="J643" s="210"/>
      <x:c r="K643" s="190"/>
      <x:c r="L643" s="208"/>
      <x:c r="M643" s="208"/>
      <x:c r="N643" s="208"/>
      <x:c r="O643" s="208"/>
      <x:c r="P643" s="190"/>
      <x:c r="Q643" s="190"/>
      <x:c r="R643" s="190"/>
      <x:c r="S643" s="190"/>
      <x:c r="T643" s="190"/>
      <x:c r="U643" s="190"/>
      <x:c r="V643" s="212"/>
      <x:c r="W643" s="212"/>
      <x:c r="X643" s="200"/>
      <x:c r="Y643" s="192"/>
      <x:c r="Z643" s="214"/>
      <x:c r="AA643" s="214"/>
      <x:c r="AB643" s="192"/>
      <x:c r="AC643" s="194"/>
      <x:c r="AD643" s="186" t="str">
        <x:f>IF(COUNTA(B643:H643)+COUNTA(J643:AC643)=0,"",IF(OR(B643="",D643="",E643="",G643="",J643=""),"缺少必填项",IF(H643&gt;G643,"完成数大于订单数",IF(AND(X643="",OR(Y643="排队",Y643="生产中",Y643="阻塞",Z643&lt;&gt;"",AA643&lt;&gt;"",AB643="是")),"已有排期字段缺少机台",IF(AND(X643&lt;&gt;"",Y643="待排"),"已填机台但状态为待排",IF(AND(Y643="生产中",AB643&lt;&gt;"是"),"需确认：生产中未锁定","可导入"))))))</x:f>
      </x:c>
    </x:row>
    <x:row r="644" ht="22" customHeight="1">
      <x:c r="A644" s="186" t="str">
        <x:f>IF(B644="","",ROW()-5)</x:f>
      </x:c>
      <x:c r="B644" s="196"/>
      <x:c r="C644" s="198"/>
      <x:c r="D644" s="196"/>
      <x:c r="E644" s="188"/>
      <x:c r="F644" s="198"/>
      <x:c r="G644" s="202"/>
      <x:c r="H644" s="204"/>
      <x:c r="I644" s="206" t="str">
        <x:f>IF(G644="","",MAX(G644-H644,0))</x:f>
      </x:c>
      <x:c r="J644" s="210"/>
      <x:c r="K644" s="190"/>
      <x:c r="L644" s="208"/>
      <x:c r="M644" s="208"/>
      <x:c r="N644" s="208"/>
      <x:c r="O644" s="208"/>
      <x:c r="P644" s="190"/>
      <x:c r="Q644" s="190"/>
      <x:c r="R644" s="190"/>
      <x:c r="S644" s="190"/>
      <x:c r="T644" s="190"/>
      <x:c r="U644" s="190"/>
      <x:c r="V644" s="212"/>
      <x:c r="W644" s="212"/>
      <x:c r="X644" s="200"/>
      <x:c r="Y644" s="192"/>
      <x:c r="Z644" s="214"/>
      <x:c r="AA644" s="214"/>
      <x:c r="AB644" s="192"/>
      <x:c r="AC644" s="194"/>
      <x:c r="AD644" s="186" t="str">
        <x:f>IF(COUNTA(B644:H644)+COUNTA(J644:AC644)=0,"",IF(OR(B644="",D644="",E644="",G644="",J644=""),"缺少必填项",IF(H644&gt;G644,"完成数大于订单数",IF(AND(X644="",OR(Y644="排队",Y644="生产中",Y644="阻塞",Z644&lt;&gt;"",AA644&lt;&gt;"",AB644="是")),"已有排期字段缺少机台",IF(AND(X644&lt;&gt;"",Y644="待排"),"已填机台但状态为待排",IF(AND(Y644="生产中",AB644&lt;&gt;"是"),"需确认：生产中未锁定","可导入"))))))</x:f>
      </x:c>
    </x:row>
    <x:row r="645" ht="22" customHeight="1">
      <x:c r="A645" s="186" t="str">
        <x:f>IF(B645="","",ROW()-5)</x:f>
      </x:c>
      <x:c r="B645" s="196"/>
      <x:c r="C645" s="198"/>
      <x:c r="D645" s="196"/>
      <x:c r="E645" s="188"/>
      <x:c r="F645" s="198"/>
      <x:c r="G645" s="202"/>
      <x:c r="H645" s="204"/>
      <x:c r="I645" s="206" t="str">
        <x:f>IF(G645="","",MAX(G645-H645,0))</x:f>
      </x:c>
      <x:c r="J645" s="210"/>
      <x:c r="K645" s="190"/>
      <x:c r="L645" s="208"/>
      <x:c r="M645" s="208"/>
      <x:c r="N645" s="208"/>
      <x:c r="O645" s="208"/>
      <x:c r="P645" s="190"/>
      <x:c r="Q645" s="190"/>
      <x:c r="R645" s="190"/>
      <x:c r="S645" s="190"/>
      <x:c r="T645" s="190"/>
      <x:c r="U645" s="190"/>
      <x:c r="V645" s="212"/>
      <x:c r="W645" s="212"/>
      <x:c r="X645" s="200"/>
      <x:c r="Y645" s="192"/>
      <x:c r="Z645" s="214"/>
      <x:c r="AA645" s="214"/>
      <x:c r="AB645" s="192"/>
      <x:c r="AC645" s="194"/>
      <x:c r="AD645" s="186" t="str">
        <x:f>IF(COUNTA(B645:H645)+COUNTA(J645:AC645)=0,"",IF(OR(B645="",D645="",E645="",G645="",J645=""),"缺少必填项",IF(H645&gt;G645,"完成数大于订单数",IF(AND(X645="",OR(Y645="排队",Y645="生产中",Y645="阻塞",Z645&lt;&gt;"",AA645&lt;&gt;"",AB645="是")),"已有排期字段缺少机台",IF(AND(X645&lt;&gt;"",Y645="待排"),"已填机台但状态为待排",IF(AND(Y645="生产中",AB645&lt;&gt;"是"),"需确认：生产中未锁定","可导入"))))))</x:f>
      </x:c>
    </x:row>
    <x:row r="646" ht="22" customHeight="1">
      <x:c r="A646" s="186" t="str">
        <x:f>IF(B646="","",ROW()-5)</x:f>
      </x:c>
      <x:c r="B646" s="196"/>
      <x:c r="C646" s="198"/>
      <x:c r="D646" s="196"/>
      <x:c r="E646" s="188"/>
      <x:c r="F646" s="198"/>
      <x:c r="G646" s="202"/>
      <x:c r="H646" s="204"/>
      <x:c r="I646" s="206" t="str">
        <x:f>IF(G646="","",MAX(G646-H646,0))</x:f>
      </x:c>
      <x:c r="J646" s="210"/>
      <x:c r="K646" s="190"/>
      <x:c r="L646" s="208"/>
      <x:c r="M646" s="208"/>
      <x:c r="N646" s="208"/>
      <x:c r="O646" s="208"/>
      <x:c r="P646" s="190"/>
      <x:c r="Q646" s="190"/>
      <x:c r="R646" s="190"/>
      <x:c r="S646" s="190"/>
      <x:c r="T646" s="190"/>
      <x:c r="U646" s="190"/>
      <x:c r="V646" s="212"/>
      <x:c r="W646" s="212"/>
      <x:c r="X646" s="200"/>
      <x:c r="Y646" s="192"/>
      <x:c r="Z646" s="214"/>
      <x:c r="AA646" s="214"/>
      <x:c r="AB646" s="192"/>
      <x:c r="AC646" s="194"/>
      <x:c r="AD646" s="186" t="str">
        <x:f>IF(COUNTA(B646:H646)+COUNTA(J646:AC646)=0,"",IF(OR(B646="",D646="",E646="",G646="",J646=""),"缺少必填项",IF(H646&gt;G646,"完成数大于订单数",IF(AND(X646="",OR(Y646="排队",Y646="生产中",Y646="阻塞",Z646&lt;&gt;"",AA646&lt;&gt;"",AB646="是")),"已有排期字段缺少机台",IF(AND(X646&lt;&gt;"",Y646="待排"),"已填机台但状态为待排",IF(AND(Y646="生产中",AB646&lt;&gt;"是"),"需确认：生产中未锁定","可导入"))))))</x:f>
      </x:c>
    </x:row>
    <x:row r="647" ht="22" customHeight="1">
      <x:c r="A647" s="186" t="str">
        <x:f>IF(B647="","",ROW()-5)</x:f>
      </x:c>
      <x:c r="B647" s="196"/>
      <x:c r="C647" s="198"/>
      <x:c r="D647" s="196"/>
      <x:c r="E647" s="188"/>
      <x:c r="F647" s="198"/>
      <x:c r="G647" s="202"/>
      <x:c r="H647" s="204"/>
      <x:c r="I647" s="206" t="str">
        <x:f>IF(G647="","",MAX(G647-H647,0))</x:f>
      </x:c>
      <x:c r="J647" s="210"/>
      <x:c r="K647" s="190"/>
      <x:c r="L647" s="208"/>
      <x:c r="M647" s="208"/>
      <x:c r="N647" s="208"/>
      <x:c r="O647" s="208"/>
      <x:c r="P647" s="190"/>
      <x:c r="Q647" s="190"/>
      <x:c r="R647" s="190"/>
      <x:c r="S647" s="190"/>
      <x:c r="T647" s="190"/>
      <x:c r="U647" s="190"/>
      <x:c r="V647" s="212"/>
      <x:c r="W647" s="212"/>
      <x:c r="X647" s="200"/>
      <x:c r="Y647" s="192"/>
      <x:c r="Z647" s="214"/>
      <x:c r="AA647" s="214"/>
      <x:c r="AB647" s="192"/>
      <x:c r="AC647" s="194"/>
      <x:c r="AD647" s="186" t="str">
        <x:f>IF(COUNTA(B647:H647)+COUNTA(J647:AC647)=0,"",IF(OR(B647="",D647="",E647="",G647="",J647=""),"缺少必填项",IF(H647&gt;G647,"完成数大于订单数",IF(AND(X647="",OR(Y647="排队",Y647="生产中",Y647="阻塞",Z647&lt;&gt;"",AA647&lt;&gt;"",AB647="是")),"已有排期字段缺少机台",IF(AND(X647&lt;&gt;"",Y647="待排"),"已填机台但状态为待排",IF(AND(Y647="生产中",AB647&lt;&gt;"是"),"需确认：生产中未锁定","可导入"))))))</x:f>
      </x:c>
    </x:row>
    <x:row r="648" ht="22" customHeight="1">
      <x:c r="A648" s="186" t="str">
        <x:f>IF(B648="","",ROW()-5)</x:f>
      </x:c>
      <x:c r="B648" s="196"/>
      <x:c r="C648" s="198"/>
      <x:c r="D648" s="196"/>
      <x:c r="E648" s="188"/>
      <x:c r="F648" s="198"/>
      <x:c r="G648" s="202"/>
      <x:c r="H648" s="204"/>
      <x:c r="I648" s="206" t="str">
        <x:f>IF(G648="","",MAX(G648-H648,0))</x:f>
      </x:c>
      <x:c r="J648" s="210"/>
      <x:c r="K648" s="190"/>
      <x:c r="L648" s="208"/>
      <x:c r="M648" s="208"/>
      <x:c r="N648" s="208"/>
      <x:c r="O648" s="208"/>
      <x:c r="P648" s="190"/>
      <x:c r="Q648" s="190"/>
      <x:c r="R648" s="190"/>
      <x:c r="S648" s="190"/>
      <x:c r="T648" s="190"/>
      <x:c r="U648" s="190"/>
      <x:c r="V648" s="212"/>
      <x:c r="W648" s="212"/>
      <x:c r="X648" s="200"/>
      <x:c r="Y648" s="192"/>
      <x:c r="Z648" s="214"/>
      <x:c r="AA648" s="214"/>
      <x:c r="AB648" s="192"/>
      <x:c r="AC648" s="194"/>
      <x:c r="AD648" s="186" t="str">
        <x:f>IF(COUNTA(B648:H648)+COUNTA(J648:AC648)=0,"",IF(OR(B648="",D648="",E648="",G648="",J648=""),"缺少必填项",IF(H648&gt;G648,"完成数大于订单数",IF(AND(X648="",OR(Y648="排队",Y648="生产中",Y648="阻塞",Z648&lt;&gt;"",AA648&lt;&gt;"",AB648="是")),"已有排期字段缺少机台",IF(AND(X648&lt;&gt;"",Y648="待排"),"已填机台但状态为待排",IF(AND(Y648="生产中",AB648&lt;&gt;"是"),"需确认：生产中未锁定","可导入"))))))</x:f>
      </x:c>
    </x:row>
    <x:row r="649" ht="22" customHeight="1">
      <x:c r="A649" s="186" t="str">
        <x:f>IF(B649="","",ROW()-5)</x:f>
      </x:c>
      <x:c r="B649" s="196"/>
      <x:c r="C649" s="198"/>
      <x:c r="D649" s="196"/>
      <x:c r="E649" s="188"/>
      <x:c r="F649" s="198"/>
      <x:c r="G649" s="202"/>
      <x:c r="H649" s="204"/>
      <x:c r="I649" s="206" t="str">
        <x:f>IF(G649="","",MAX(G649-H649,0))</x:f>
      </x:c>
      <x:c r="J649" s="210"/>
      <x:c r="K649" s="190"/>
      <x:c r="L649" s="208"/>
      <x:c r="M649" s="208"/>
      <x:c r="N649" s="208"/>
      <x:c r="O649" s="208"/>
      <x:c r="P649" s="190"/>
      <x:c r="Q649" s="190"/>
      <x:c r="R649" s="190"/>
      <x:c r="S649" s="190"/>
      <x:c r="T649" s="190"/>
      <x:c r="U649" s="190"/>
      <x:c r="V649" s="212"/>
      <x:c r="W649" s="212"/>
      <x:c r="X649" s="200"/>
      <x:c r="Y649" s="192"/>
      <x:c r="Z649" s="214"/>
      <x:c r="AA649" s="214"/>
      <x:c r="AB649" s="192"/>
      <x:c r="AC649" s="194"/>
      <x:c r="AD649" s="186" t="str">
        <x:f>IF(COUNTA(B649:H649)+COUNTA(J649:AC649)=0,"",IF(OR(B649="",D649="",E649="",G649="",J649=""),"缺少必填项",IF(H649&gt;G649,"完成数大于订单数",IF(AND(X649="",OR(Y649="排队",Y649="生产中",Y649="阻塞",Z649&lt;&gt;"",AA649&lt;&gt;"",AB649="是")),"已有排期字段缺少机台",IF(AND(X649&lt;&gt;"",Y649="待排"),"已填机台但状态为待排",IF(AND(Y649="生产中",AB649&lt;&gt;"是"),"需确认：生产中未锁定","可导入"))))))</x:f>
      </x:c>
    </x:row>
    <x:row r="650" ht="22" customHeight="1">
      <x:c r="A650" s="186" t="str">
        <x:f>IF(B650="","",ROW()-5)</x:f>
      </x:c>
      <x:c r="B650" s="196"/>
      <x:c r="C650" s="198"/>
      <x:c r="D650" s="196"/>
      <x:c r="E650" s="188"/>
      <x:c r="F650" s="198"/>
      <x:c r="G650" s="202"/>
      <x:c r="H650" s="204"/>
      <x:c r="I650" s="206" t="str">
        <x:f>IF(G650="","",MAX(G650-H650,0))</x:f>
      </x:c>
      <x:c r="J650" s="210"/>
      <x:c r="K650" s="190"/>
      <x:c r="L650" s="208"/>
      <x:c r="M650" s="208"/>
      <x:c r="N650" s="208"/>
      <x:c r="O650" s="208"/>
      <x:c r="P650" s="190"/>
      <x:c r="Q650" s="190"/>
      <x:c r="R650" s="190"/>
      <x:c r="S650" s="190"/>
      <x:c r="T650" s="190"/>
      <x:c r="U650" s="190"/>
      <x:c r="V650" s="212"/>
      <x:c r="W650" s="212"/>
      <x:c r="X650" s="200"/>
      <x:c r="Y650" s="192"/>
      <x:c r="Z650" s="214"/>
      <x:c r="AA650" s="214"/>
      <x:c r="AB650" s="192"/>
      <x:c r="AC650" s="194"/>
      <x:c r="AD650" s="186" t="str">
        <x:f>IF(COUNTA(B650:H650)+COUNTA(J650:AC650)=0,"",IF(OR(B650="",D650="",E650="",G650="",J650=""),"缺少必填项",IF(H650&gt;G650,"完成数大于订单数",IF(AND(X650="",OR(Y650="排队",Y650="生产中",Y650="阻塞",Z650&lt;&gt;"",AA650&lt;&gt;"",AB650="是")),"已有排期字段缺少机台",IF(AND(X650&lt;&gt;"",Y650="待排"),"已填机台但状态为待排",IF(AND(Y650="生产中",AB650&lt;&gt;"是"),"需确认：生产中未锁定","可导入"))))))</x:f>
      </x:c>
    </x:row>
    <x:row r="651" ht="22" customHeight="1">
      <x:c r="A651" s="186" t="str">
        <x:f>IF(B651="","",ROW()-5)</x:f>
      </x:c>
      <x:c r="B651" s="196"/>
      <x:c r="C651" s="198"/>
      <x:c r="D651" s="196"/>
      <x:c r="E651" s="188"/>
      <x:c r="F651" s="198"/>
      <x:c r="G651" s="202"/>
      <x:c r="H651" s="204"/>
      <x:c r="I651" s="206" t="str">
        <x:f>IF(G651="","",MAX(G651-H651,0))</x:f>
      </x:c>
      <x:c r="J651" s="210"/>
      <x:c r="K651" s="190"/>
      <x:c r="L651" s="208"/>
      <x:c r="M651" s="208"/>
      <x:c r="N651" s="208"/>
      <x:c r="O651" s="208"/>
      <x:c r="P651" s="190"/>
      <x:c r="Q651" s="190"/>
      <x:c r="R651" s="190"/>
      <x:c r="S651" s="190"/>
      <x:c r="T651" s="190"/>
      <x:c r="U651" s="190"/>
      <x:c r="V651" s="212"/>
      <x:c r="W651" s="212"/>
      <x:c r="X651" s="200"/>
      <x:c r="Y651" s="192"/>
      <x:c r="Z651" s="214"/>
      <x:c r="AA651" s="214"/>
      <x:c r="AB651" s="192"/>
      <x:c r="AC651" s="194"/>
      <x:c r="AD651" s="186" t="str">
        <x:f>IF(COUNTA(B651:H651)+COUNTA(J651:AC651)=0,"",IF(OR(B651="",D651="",E651="",G651="",J651=""),"缺少必填项",IF(H651&gt;G651,"完成数大于订单数",IF(AND(X651="",OR(Y651="排队",Y651="生产中",Y651="阻塞",Z651&lt;&gt;"",AA651&lt;&gt;"",AB651="是")),"已有排期字段缺少机台",IF(AND(X651&lt;&gt;"",Y651="待排"),"已填机台但状态为待排",IF(AND(Y651="生产中",AB651&lt;&gt;"是"),"需确认：生产中未锁定","可导入"))))))</x:f>
      </x:c>
    </x:row>
    <x:row r="652" ht="22" customHeight="1">
      <x:c r="A652" s="186" t="str">
        <x:f>IF(B652="","",ROW()-5)</x:f>
      </x:c>
      <x:c r="B652" s="196"/>
      <x:c r="C652" s="198"/>
      <x:c r="D652" s="196"/>
      <x:c r="E652" s="188"/>
      <x:c r="F652" s="198"/>
      <x:c r="G652" s="202"/>
      <x:c r="H652" s="204"/>
      <x:c r="I652" s="206" t="str">
        <x:f>IF(G652="","",MAX(G652-H652,0))</x:f>
      </x:c>
      <x:c r="J652" s="210"/>
      <x:c r="K652" s="190"/>
      <x:c r="L652" s="208"/>
      <x:c r="M652" s="208"/>
      <x:c r="N652" s="208"/>
      <x:c r="O652" s="208"/>
      <x:c r="P652" s="190"/>
      <x:c r="Q652" s="190"/>
      <x:c r="R652" s="190"/>
      <x:c r="S652" s="190"/>
      <x:c r="T652" s="190"/>
      <x:c r="U652" s="190"/>
      <x:c r="V652" s="212"/>
      <x:c r="W652" s="212"/>
      <x:c r="X652" s="200"/>
      <x:c r="Y652" s="192"/>
      <x:c r="Z652" s="214"/>
      <x:c r="AA652" s="214"/>
      <x:c r="AB652" s="192"/>
      <x:c r="AC652" s="194"/>
      <x:c r="AD652" s="186" t="str">
        <x:f>IF(COUNTA(B652:H652)+COUNTA(J652:AC652)=0,"",IF(OR(B652="",D652="",E652="",G652="",J652=""),"缺少必填项",IF(H652&gt;G652,"完成数大于订单数",IF(AND(X652="",OR(Y652="排队",Y652="生产中",Y652="阻塞",Z652&lt;&gt;"",AA652&lt;&gt;"",AB652="是")),"已有排期字段缺少机台",IF(AND(X652&lt;&gt;"",Y652="待排"),"已填机台但状态为待排",IF(AND(Y652="生产中",AB652&lt;&gt;"是"),"需确认：生产中未锁定","可导入"))))))</x:f>
      </x:c>
    </x:row>
    <x:row r="653" ht="22" customHeight="1">
      <x:c r="A653" s="186" t="str">
        <x:f>IF(B653="","",ROW()-5)</x:f>
      </x:c>
      <x:c r="B653" s="196"/>
      <x:c r="C653" s="198"/>
      <x:c r="D653" s="196"/>
      <x:c r="E653" s="188"/>
      <x:c r="F653" s="198"/>
      <x:c r="G653" s="202"/>
      <x:c r="H653" s="204"/>
      <x:c r="I653" s="206" t="str">
        <x:f>IF(G653="","",MAX(G653-H653,0))</x:f>
      </x:c>
      <x:c r="J653" s="210"/>
      <x:c r="K653" s="190"/>
      <x:c r="L653" s="208"/>
      <x:c r="M653" s="208"/>
      <x:c r="N653" s="208"/>
      <x:c r="O653" s="208"/>
      <x:c r="P653" s="190"/>
      <x:c r="Q653" s="190"/>
      <x:c r="R653" s="190"/>
      <x:c r="S653" s="190"/>
      <x:c r="T653" s="190"/>
      <x:c r="U653" s="190"/>
      <x:c r="V653" s="212"/>
      <x:c r="W653" s="212"/>
      <x:c r="X653" s="200"/>
      <x:c r="Y653" s="192"/>
      <x:c r="Z653" s="214"/>
      <x:c r="AA653" s="214"/>
      <x:c r="AB653" s="192"/>
      <x:c r="AC653" s="194"/>
      <x:c r="AD653" s="186" t="str">
        <x:f>IF(COUNTA(B653:H653)+COUNTA(J653:AC653)=0,"",IF(OR(B653="",D653="",E653="",G653="",J653=""),"缺少必填项",IF(H653&gt;G653,"完成数大于订单数",IF(AND(X653="",OR(Y653="排队",Y653="生产中",Y653="阻塞",Z653&lt;&gt;"",AA653&lt;&gt;"",AB653="是")),"已有排期字段缺少机台",IF(AND(X653&lt;&gt;"",Y653="待排"),"已填机台但状态为待排",IF(AND(Y653="生产中",AB653&lt;&gt;"是"),"需确认：生产中未锁定","可导入"))))))</x:f>
      </x:c>
    </x:row>
    <x:row r="654" ht="22" customHeight="1">
      <x:c r="A654" s="186" t="str">
        <x:f>IF(B654="","",ROW()-5)</x:f>
      </x:c>
      <x:c r="B654" s="196"/>
      <x:c r="C654" s="198"/>
      <x:c r="D654" s="196"/>
      <x:c r="E654" s="188"/>
      <x:c r="F654" s="198"/>
      <x:c r="G654" s="202"/>
      <x:c r="H654" s="204"/>
      <x:c r="I654" s="206" t="str">
        <x:f>IF(G654="","",MAX(G654-H654,0))</x:f>
      </x:c>
      <x:c r="J654" s="210"/>
      <x:c r="K654" s="190"/>
      <x:c r="L654" s="208"/>
      <x:c r="M654" s="208"/>
      <x:c r="N654" s="208"/>
      <x:c r="O654" s="208"/>
      <x:c r="P654" s="190"/>
      <x:c r="Q654" s="190"/>
      <x:c r="R654" s="190"/>
      <x:c r="S654" s="190"/>
      <x:c r="T654" s="190"/>
      <x:c r="U654" s="190"/>
      <x:c r="V654" s="212"/>
      <x:c r="W654" s="212"/>
      <x:c r="X654" s="200"/>
      <x:c r="Y654" s="192"/>
      <x:c r="Z654" s="214"/>
      <x:c r="AA654" s="214"/>
      <x:c r="AB654" s="192"/>
      <x:c r="AC654" s="194"/>
      <x:c r="AD654" s="186" t="str">
        <x:f>IF(COUNTA(B654:H654)+COUNTA(J654:AC654)=0,"",IF(OR(B654="",D654="",E654="",G654="",J654=""),"缺少必填项",IF(H654&gt;G654,"完成数大于订单数",IF(AND(X654="",OR(Y654="排队",Y654="生产中",Y654="阻塞",Z654&lt;&gt;"",AA654&lt;&gt;"",AB654="是")),"已有排期字段缺少机台",IF(AND(X654&lt;&gt;"",Y654="待排"),"已填机台但状态为待排",IF(AND(Y654="生产中",AB654&lt;&gt;"是"),"需确认：生产中未锁定","可导入"))))))</x:f>
      </x:c>
    </x:row>
    <x:row r="655" ht="22" customHeight="1">
      <x:c r="A655" s="186" t="str">
        <x:f>IF(B655="","",ROW()-5)</x:f>
      </x:c>
      <x:c r="B655" s="196"/>
      <x:c r="C655" s="198"/>
      <x:c r="D655" s="196"/>
      <x:c r="E655" s="188"/>
      <x:c r="F655" s="198"/>
      <x:c r="G655" s="202"/>
      <x:c r="H655" s="204"/>
      <x:c r="I655" s="206" t="str">
        <x:f>IF(G655="","",MAX(G655-H655,0))</x:f>
      </x:c>
      <x:c r="J655" s="210"/>
      <x:c r="K655" s="190"/>
      <x:c r="L655" s="208"/>
      <x:c r="M655" s="208"/>
      <x:c r="N655" s="208"/>
      <x:c r="O655" s="208"/>
      <x:c r="P655" s="190"/>
      <x:c r="Q655" s="190"/>
      <x:c r="R655" s="190"/>
      <x:c r="S655" s="190"/>
      <x:c r="T655" s="190"/>
      <x:c r="U655" s="190"/>
      <x:c r="V655" s="212"/>
      <x:c r="W655" s="212"/>
      <x:c r="X655" s="200"/>
      <x:c r="Y655" s="192"/>
      <x:c r="Z655" s="214"/>
      <x:c r="AA655" s="214"/>
      <x:c r="AB655" s="192"/>
      <x:c r="AC655" s="194"/>
      <x:c r="AD655" s="186" t="str">
        <x:f>IF(COUNTA(B655:H655)+COUNTA(J655:AC655)=0,"",IF(OR(B655="",D655="",E655="",G655="",J655=""),"缺少必填项",IF(H655&gt;G655,"完成数大于订单数",IF(AND(X655="",OR(Y655="排队",Y655="生产中",Y655="阻塞",Z655&lt;&gt;"",AA655&lt;&gt;"",AB655="是")),"已有排期字段缺少机台",IF(AND(X655&lt;&gt;"",Y655="待排"),"已填机台但状态为待排",IF(AND(Y655="生产中",AB655&lt;&gt;"是"),"需确认：生产中未锁定","可导入"))))))</x:f>
      </x:c>
    </x:row>
    <x:row r="656" ht="22" customHeight="1">
      <x:c r="A656" s="186" t="str">
        <x:f>IF(B656="","",ROW()-5)</x:f>
      </x:c>
      <x:c r="B656" s="196"/>
      <x:c r="C656" s="198"/>
      <x:c r="D656" s="196"/>
      <x:c r="E656" s="188"/>
      <x:c r="F656" s="198"/>
      <x:c r="G656" s="202"/>
      <x:c r="H656" s="204"/>
      <x:c r="I656" s="206" t="str">
        <x:f>IF(G656="","",MAX(G656-H656,0))</x:f>
      </x:c>
      <x:c r="J656" s="210"/>
      <x:c r="K656" s="190"/>
      <x:c r="L656" s="208"/>
      <x:c r="M656" s="208"/>
      <x:c r="N656" s="208"/>
      <x:c r="O656" s="208"/>
      <x:c r="P656" s="190"/>
      <x:c r="Q656" s="190"/>
      <x:c r="R656" s="190"/>
      <x:c r="S656" s="190"/>
      <x:c r="T656" s="190"/>
      <x:c r="U656" s="190"/>
      <x:c r="V656" s="212"/>
      <x:c r="W656" s="212"/>
      <x:c r="X656" s="200"/>
      <x:c r="Y656" s="192"/>
      <x:c r="Z656" s="214"/>
      <x:c r="AA656" s="214"/>
      <x:c r="AB656" s="192"/>
      <x:c r="AC656" s="194"/>
      <x:c r="AD656" s="186" t="str">
        <x:f>IF(COUNTA(B656:H656)+COUNTA(J656:AC656)=0,"",IF(OR(B656="",D656="",E656="",G656="",J656=""),"缺少必填项",IF(H656&gt;G656,"完成数大于订单数",IF(AND(X656="",OR(Y656="排队",Y656="生产中",Y656="阻塞",Z656&lt;&gt;"",AA656&lt;&gt;"",AB656="是")),"已有排期字段缺少机台",IF(AND(X656&lt;&gt;"",Y656="待排"),"已填机台但状态为待排",IF(AND(Y656="生产中",AB656&lt;&gt;"是"),"需确认：生产中未锁定","可导入"))))))</x:f>
      </x:c>
    </x:row>
    <x:row r="657" ht="22" customHeight="1">
      <x:c r="A657" s="186" t="str">
        <x:f>IF(B657="","",ROW()-5)</x:f>
      </x:c>
      <x:c r="B657" s="196"/>
      <x:c r="C657" s="198"/>
      <x:c r="D657" s="196"/>
      <x:c r="E657" s="188"/>
      <x:c r="F657" s="198"/>
      <x:c r="G657" s="202"/>
      <x:c r="H657" s="204"/>
      <x:c r="I657" s="206" t="str">
        <x:f>IF(G657="","",MAX(G657-H657,0))</x:f>
      </x:c>
      <x:c r="J657" s="210"/>
      <x:c r="K657" s="190"/>
      <x:c r="L657" s="208"/>
      <x:c r="M657" s="208"/>
      <x:c r="N657" s="208"/>
      <x:c r="O657" s="208"/>
      <x:c r="P657" s="190"/>
      <x:c r="Q657" s="190"/>
      <x:c r="R657" s="190"/>
      <x:c r="S657" s="190"/>
      <x:c r="T657" s="190"/>
      <x:c r="U657" s="190"/>
      <x:c r="V657" s="212"/>
      <x:c r="W657" s="212"/>
      <x:c r="X657" s="200"/>
      <x:c r="Y657" s="192"/>
      <x:c r="Z657" s="214"/>
      <x:c r="AA657" s="214"/>
      <x:c r="AB657" s="192"/>
      <x:c r="AC657" s="194"/>
      <x:c r="AD657" s="186" t="str">
        <x:f>IF(COUNTA(B657:H657)+COUNTA(J657:AC657)=0,"",IF(OR(B657="",D657="",E657="",G657="",J657=""),"缺少必填项",IF(H657&gt;G657,"完成数大于订单数",IF(AND(X657="",OR(Y657="排队",Y657="生产中",Y657="阻塞",Z657&lt;&gt;"",AA657&lt;&gt;"",AB657="是")),"已有排期字段缺少机台",IF(AND(X657&lt;&gt;"",Y657="待排"),"已填机台但状态为待排",IF(AND(Y657="生产中",AB657&lt;&gt;"是"),"需确认：生产中未锁定","可导入"))))))</x:f>
      </x:c>
    </x:row>
    <x:row r="658" ht="22" customHeight="1">
      <x:c r="A658" s="186" t="str">
        <x:f>IF(B658="","",ROW()-5)</x:f>
      </x:c>
      <x:c r="B658" s="196"/>
      <x:c r="C658" s="198"/>
      <x:c r="D658" s="196"/>
      <x:c r="E658" s="188"/>
      <x:c r="F658" s="198"/>
      <x:c r="G658" s="202"/>
      <x:c r="H658" s="204"/>
      <x:c r="I658" s="206" t="str">
        <x:f>IF(G658="","",MAX(G658-H658,0))</x:f>
      </x:c>
      <x:c r="J658" s="210"/>
      <x:c r="K658" s="190"/>
      <x:c r="L658" s="208"/>
      <x:c r="M658" s="208"/>
      <x:c r="N658" s="208"/>
      <x:c r="O658" s="208"/>
      <x:c r="P658" s="190"/>
      <x:c r="Q658" s="190"/>
      <x:c r="R658" s="190"/>
      <x:c r="S658" s="190"/>
      <x:c r="T658" s="190"/>
      <x:c r="U658" s="190"/>
      <x:c r="V658" s="212"/>
      <x:c r="W658" s="212"/>
      <x:c r="X658" s="200"/>
      <x:c r="Y658" s="192"/>
      <x:c r="Z658" s="214"/>
      <x:c r="AA658" s="214"/>
      <x:c r="AB658" s="192"/>
      <x:c r="AC658" s="194"/>
      <x:c r="AD658" s="186" t="str">
        <x:f>IF(COUNTA(B658:H658)+COUNTA(J658:AC658)=0,"",IF(OR(B658="",D658="",E658="",G658="",J658=""),"缺少必填项",IF(H658&gt;G658,"完成数大于订单数",IF(AND(X658="",OR(Y658="排队",Y658="生产中",Y658="阻塞",Z658&lt;&gt;"",AA658&lt;&gt;"",AB658="是")),"已有排期字段缺少机台",IF(AND(X658&lt;&gt;"",Y658="待排"),"已填机台但状态为待排",IF(AND(Y658="生产中",AB658&lt;&gt;"是"),"需确认：生产中未锁定","可导入"))))))</x:f>
      </x:c>
    </x:row>
    <x:row r="659" ht="22" customHeight="1">
      <x:c r="A659" s="186" t="str">
        <x:f>IF(B659="","",ROW()-5)</x:f>
      </x:c>
      <x:c r="B659" s="196"/>
      <x:c r="C659" s="198"/>
      <x:c r="D659" s="196"/>
      <x:c r="E659" s="188"/>
      <x:c r="F659" s="198"/>
      <x:c r="G659" s="202"/>
      <x:c r="H659" s="204"/>
      <x:c r="I659" s="206" t="str">
        <x:f>IF(G659="","",MAX(G659-H659,0))</x:f>
      </x:c>
      <x:c r="J659" s="210"/>
      <x:c r="K659" s="190"/>
      <x:c r="L659" s="208"/>
      <x:c r="M659" s="208"/>
      <x:c r="N659" s="208"/>
      <x:c r="O659" s="208"/>
      <x:c r="P659" s="190"/>
      <x:c r="Q659" s="190"/>
      <x:c r="R659" s="190"/>
      <x:c r="S659" s="190"/>
      <x:c r="T659" s="190"/>
      <x:c r="U659" s="190"/>
      <x:c r="V659" s="212"/>
      <x:c r="W659" s="212"/>
      <x:c r="X659" s="200"/>
      <x:c r="Y659" s="192"/>
      <x:c r="Z659" s="214"/>
      <x:c r="AA659" s="214"/>
      <x:c r="AB659" s="192"/>
      <x:c r="AC659" s="194"/>
      <x:c r="AD659" s="186" t="str">
        <x:f>IF(COUNTA(B659:H659)+COUNTA(J659:AC659)=0,"",IF(OR(B659="",D659="",E659="",G659="",J659=""),"缺少必填项",IF(H659&gt;G659,"完成数大于订单数",IF(AND(X659="",OR(Y659="排队",Y659="生产中",Y659="阻塞",Z659&lt;&gt;"",AA659&lt;&gt;"",AB659="是")),"已有排期字段缺少机台",IF(AND(X659&lt;&gt;"",Y659="待排"),"已填机台但状态为待排",IF(AND(Y659="生产中",AB659&lt;&gt;"是"),"需确认：生产中未锁定","可导入"))))))</x:f>
      </x:c>
    </x:row>
    <x:row r="660" ht="22" customHeight="1">
      <x:c r="A660" s="186" t="str">
        <x:f>IF(B660="","",ROW()-5)</x:f>
      </x:c>
      <x:c r="B660" s="196"/>
      <x:c r="C660" s="198"/>
      <x:c r="D660" s="196"/>
      <x:c r="E660" s="188"/>
      <x:c r="F660" s="198"/>
      <x:c r="G660" s="202"/>
      <x:c r="H660" s="204"/>
      <x:c r="I660" s="206" t="str">
        <x:f>IF(G660="","",MAX(G660-H660,0))</x:f>
      </x:c>
      <x:c r="J660" s="210"/>
      <x:c r="K660" s="190"/>
      <x:c r="L660" s="208"/>
      <x:c r="M660" s="208"/>
      <x:c r="N660" s="208"/>
      <x:c r="O660" s="208"/>
      <x:c r="P660" s="190"/>
      <x:c r="Q660" s="190"/>
      <x:c r="R660" s="190"/>
      <x:c r="S660" s="190"/>
      <x:c r="T660" s="190"/>
      <x:c r="U660" s="190"/>
      <x:c r="V660" s="212"/>
      <x:c r="W660" s="212"/>
      <x:c r="X660" s="200"/>
      <x:c r="Y660" s="192"/>
      <x:c r="Z660" s="214"/>
      <x:c r="AA660" s="214"/>
      <x:c r="AB660" s="192"/>
      <x:c r="AC660" s="194"/>
      <x:c r="AD660" s="186" t="str">
        <x:f>IF(COUNTA(B660:H660)+COUNTA(J660:AC660)=0,"",IF(OR(B660="",D660="",E660="",G660="",J660=""),"缺少必填项",IF(H660&gt;G660,"完成数大于订单数",IF(AND(X660="",OR(Y660="排队",Y660="生产中",Y660="阻塞",Z660&lt;&gt;"",AA660&lt;&gt;"",AB660="是")),"已有排期字段缺少机台",IF(AND(X660&lt;&gt;"",Y660="待排"),"已填机台但状态为待排",IF(AND(Y660="生产中",AB660&lt;&gt;"是"),"需确认：生产中未锁定","可导入"))))))</x:f>
      </x:c>
    </x:row>
    <x:row r="661" ht="22" customHeight="1">
      <x:c r="A661" s="186" t="str">
        <x:f>IF(B661="","",ROW()-5)</x:f>
      </x:c>
      <x:c r="B661" s="196"/>
      <x:c r="C661" s="198"/>
      <x:c r="D661" s="196"/>
      <x:c r="E661" s="188"/>
      <x:c r="F661" s="198"/>
      <x:c r="G661" s="202"/>
      <x:c r="H661" s="204"/>
      <x:c r="I661" s="206" t="str">
        <x:f>IF(G661="","",MAX(G661-H661,0))</x:f>
      </x:c>
      <x:c r="J661" s="210"/>
      <x:c r="K661" s="190"/>
      <x:c r="L661" s="208"/>
      <x:c r="M661" s="208"/>
      <x:c r="N661" s="208"/>
      <x:c r="O661" s="208"/>
      <x:c r="P661" s="190"/>
      <x:c r="Q661" s="190"/>
      <x:c r="R661" s="190"/>
      <x:c r="S661" s="190"/>
      <x:c r="T661" s="190"/>
      <x:c r="U661" s="190"/>
      <x:c r="V661" s="212"/>
      <x:c r="W661" s="212"/>
      <x:c r="X661" s="200"/>
      <x:c r="Y661" s="192"/>
      <x:c r="Z661" s="214"/>
      <x:c r="AA661" s="214"/>
      <x:c r="AB661" s="192"/>
      <x:c r="AC661" s="194"/>
      <x:c r="AD661" s="186" t="str">
        <x:f>IF(COUNTA(B661:H661)+COUNTA(J661:AC661)=0,"",IF(OR(B661="",D661="",E661="",G661="",J661=""),"缺少必填项",IF(H661&gt;G661,"完成数大于订单数",IF(AND(X661="",OR(Y661="排队",Y661="生产中",Y661="阻塞",Z661&lt;&gt;"",AA661&lt;&gt;"",AB661="是")),"已有排期字段缺少机台",IF(AND(X661&lt;&gt;"",Y661="待排"),"已填机台但状态为待排",IF(AND(Y661="生产中",AB661&lt;&gt;"是"),"需确认：生产中未锁定","可导入"))))))</x:f>
      </x:c>
    </x:row>
    <x:row r="662" ht="22" customHeight="1">
      <x:c r="A662" s="186" t="str">
        <x:f>IF(B662="","",ROW()-5)</x:f>
      </x:c>
      <x:c r="B662" s="196"/>
      <x:c r="C662" s="198"/>
      <x:c r="D662" s="196"/>
      <x:c r="E662" s="188"/>
      <x:c r="F662" s="198"/>
      <x:c r="G662" s="202"/>
      <x:c r="H662" s="204"/>
      <x:c r="I662" s="206" t="str">
        <x:f>IF(G662="","",MAX(G662-H662,0))</x:f>
      </x:c>
      <x:c r="J662" s="210"/>
      <x:c r="K662" s="190"/>
      <x:c r="L662" s="208"/>
      <x:c r="M662" s="208"/>
      <x:c r="N662" s="208"/>
      <x:c r="O662" s="208"/>
      <x:c r="P662" s="190"/>
      <x:c r="Q662" s="190"/>
      <x:c r="R662" s="190"/>
      <x:c r="S662" s="190"/>
      <x:c r="T662" s="190"/>
      <x:c r="U662" s="190"/>
      <x:c r="V662" s="212"/>
      <x:c r="W662" s="212"/>
      <x:c r="X662" s="200"/>
      <x:c r="Y662" s="192"/>
      <x:c r="Z662" s="214"/>
      <x:c r="AA662" s="214"/>
      <x:c r="AB662" s="192"/>
      <x:c r="AC662" s="194"/>
      <x:c r="AD662" s="186" t="str">
        <x:f>IF(COUNTA(B662:H662)+COUNTA(J662:AC662)=0,"",IF(OR(B662="",D662="",E662="",G662="",J662=""),"缺少必填项",IF(H662&gt;G662,"完成数大于订单数",IF(AND(X662="",OR(Y662="排队",Y662="生产中",Y662="阻塞",Z662&lt;&gt;"",AA662&lt;&gt;"",AB662="是")),"已有排期字段缺少机台",IF(AND(X662&lt;&gt;"",Y662="待排"),"已填机台但状态为待排",IF(AND(Y662="生产中",AB662&lt;&gt;"是"),"需确认：生产中未锁定","可导入"))))))</x:f>
      </x:c>
    </x:row>
    <x:row r="663" ht="22" customHeight="1">
      <x:c r="A663" s="186" t="str">
        <x:f>IF(B663="","",ROW()-5)</x:f>
      </x:c>
      <x:c r="B663" s="196"/>
      <x:c r="C663" s="198"/>
      <x:c r="D663" s="196"/>
      <x:c r="E663" s="188"/>
      <x:c r="F663" s="198"/>
      <x:c r="G663" s="202"/>
      <x:c r="H663" s="204"/>
      <x:c r="I663" s="206" t="str">
        <x:f>IF(G663="","",MAX(G663-H663,0))</x:f>
      </x:c>
      <x:c r="J663" s="210"/>
      <x:c r="K663" s="190"/>
      <x:c r="L663" s="208"/>
      <x:c r="M663" s="208"/>
      <x:c r="N663" s="208"/>
      <x:c r="O663" s="208"/>
      <x:c r="P663" s="190"/>
      <x:c r="Q663" s="190"/>
      <x:c r="R663" s="190"/>
      <x:c r="S663" s="190"/>
      <x:c r="T663" s="190"/>
      <x:c r="U663" s="190"/>
      <x:c r="V663" s="212"/>
      <x:c r="W663" s="212"/>
      <x:c r="X663" s="200"/>
      <x:c r="Y663" s="192"/>
      <x:c r="Z663" s="214"/>
      <x:c r="AA663" s="214"/>
      <x:c r="AB663" s="192"/>
      <x:c r="AC663" s="194"/>
      <x:c r="AD663" s="186" t="str">
        <x:f>IF(COUNTA(B663:H663)+COUNTA(J663:AC663)=0,"",IF(OR(B663="",D663="",E663="",G663="",J663=""),"缺少必填项",IF(H663&gt;G663,"完成数大于订单数",IF(AND(X663="",OR(Y663="排队",Y663="生产中",Y663="阻塞",Z663&lt;&gt;"",AA663&lt;&gt;"",AB663="是")),"已有排期字段缺少机台",IF(AND(X663&lt;&gt;"",Y663="待排"),"已填机台但状态为待排",IF(AND(Y663="生产中",AB663&lt;&gt;"是"),"需确认：生产中未锁定","可导入"))))))</x:f>
      </x:c>
    </x:row>
    <x:row r="664" ht="22" customHeight="1">
      <x:c r="A664" s="186" t="str">
        <x:f>IF(B664="","",ROW()-5)</x:f>
      </x:c>
      <x:c r="B664" s="196"/>
      <x:c r="C664" s="198"/>
      <x:c r="D664" s="196"/>
      <x:c r="E664" s="188"/>
      <x:c r="F664" s="198"/>
      <x:c r="G664" s="202"/>
      <x:c r="H664" s="204"/>
      <x:c r="I664" s="206" t="str">
        <x:f>IF(G664="","",MAX(G664-H664,0))</x:f>
      </x:c>
      <x:c r="J664" s="210"/>
      <x:c r="K664" s="190"/>
      <x:c r="L664" s="208"/>
      <x:c r="M664" s="208"/>
      <x:c r="N664" s="208"/>
      <x:c r="O664" s="208"/>
      <x:c r="P664" s="190"/>
      <x:c r="Q664" s="190"/>
      <x:c r="R664" s="190"/>
      <x:c r="S664" s="190"/>
      <x:c r="T664" s="190"/>
      <x:c r="U664" s="190"/>
      <x:c r="V664" s="212"/>
      <x:c r="W664" s="212"/>
      <x:c r="X664" s="200"/>
      <x:c r="Y664" s="192"/>
      <x:c r="Z664" s="214"/>
      <x:c r="AA664" s="214"/>
      <x:c r="AB664" s="192"/>
      <x:c r="AC664" s="194"/>
      <x:c r="AD664" s="186" t="str">
        <x:f>IF(COUNTA(B664:H664)+COUNTA(J664:AC664)=0,"",IF(OR(B664="",D664="",E664="",G664="",J664=""),"缺少必填项",IF(H664&gt;G664,"完成数大于订单数",IF(AND(X664="",OR(Y664="排队",Y664="生产中",Y664="阻塞",Z664&lt;&gt;"",AA664&lt;&gt;"",AB664="是")),"已有排期字段缺少机台",IF(AND(X664&lt;&gt;"",Y664="待排"),"已填机台但状态为待排",IF(AND(Y664="生产中",AB664&lt;&gt;"是"),"需确认：生产中未锁定","可导入"))))))</x:f>
      </x:c>
    </x:row>
    <x:row r="665" ht="22" customHeight="1">
      <x:c r="A665" s="186" t="str">
        <x:f>IF(B665="","",ROW()-5)</x:f>
      </x:c>
      <x:c r="B665" s="196"/>
      <x:c r="C665" s="198"/>
      <x:c r="D665" s="196"/>
      <x:c r="E665" s="188"/>
      <x:c r="F665" s="198"/>
      <x:c r="G665" s="202"/>
      <x:c r="H665" s="204"/>
      <x:c r="I665" s="206" t="str">
        <x:f>IF(G665="","",MAX(G665-H665,0))</x:f>
      </x:c>
      <x:c r="J665" s="210"/>
      <x:c r="K665" s="190"/>
      <x:c r="L665" s="208"/>
      <x:c r="M665" s="208"/>
      <x:c r="N665" s="208"/>
      <x:c r="O665" s="208"/>
      <x:c r="P665" s="190"/>
      <x:c r="Q665" s="190"/>
      <x:c r="R665" s="190"/>
      <x:c r="S665" s="190"/>
      <x:c r="T665" s="190"/>
      <x:c r="U665" s="190"/>
      <x:c r="V665" s="212"/>
      <x:c r="W665" s="212"/>
      <x:c r="X665" s="200"/>
      <x:c r="Y665" s="192"/>
      <x:c r="Z665" s="214"/>
      <x:c r="AA665" s="214"/>
      <x:c r="AB665" s="192"/>
      <x:c r="AC665" s="194"/>
      <x:c r="AD665" s="186" t="str">
        <x:f>IF(COUNTA(B665:H665)+COUNTA(J665:AC665)=0,"",IF(OR(B665="",D665="",E665="",G665="",J665=""),"缺少必填项",IF(H665&gt;G665,"完成数大于订单数",IF(AND(X665="",OR(Y665="排队",Y665="生产中",Y665="阻塞",Z665&lt;&gt;"",AA665&lt;&gt;"",AB665="是")),"已有排期字段缺少机台",IF(AND(X665&lt;&gt;"",Y665="待排"),"已填机台但状态为待排",IF(AND(Y665="生产中",AB665&lt;&gt;"是"),"需确认：生产中未锁定","可导入"))))))</x:f>
      </x:c>
    </x:row>
    <x:row r="666" ht="22" customHeight="1">
      <x:c r="A666" s="186" t="str">
        <x:f>IF(B666="","",ROW()-5)</x:f>
      </x:c>
      <x:c r="B666" s="196"/>
      <x:c r="C666" s="198"/>
      <x:c r="D666" s="196"/>
      <x:c r="E666" s="188"/>
      <x:c r="F666" s="198"/>
      <x:c r="G666" s="202"/>
      <x:c r="H666" s="204"/>
      <x:c r="I666" s="206" t="str">
        <x:f>IF(G666="","",MAX(G666-H666,0))</x:f>
      </x:c>
      <x:c r="J666" s="210"/>
      <x:c r="K666" s="190"/>
      <x:c r="L666" s="208"/>
      <x:c r="M666" s="208"/>
      <x:c r="N666" s="208"/>
      <x:c r="O666" s="208"/>
      <x:c r="P666" s="190"/>
      <x:c r="Q666" s="190"/>
      <x:c r="R666" s="190"/>
      <x:c r="S666" s="190"/>
      <x:c r="T666" s="190"/>
      <x:c r="U666" s="190"/>
      <x:c r="V666" s="212"/>
      <x:c r="W666" s="212"/>
      <x:c r="X666" s="200"/>
      <x:c r="Y666" s="192"/>
      <x:c r="Z666" s="214"/>
      <x:c r="AA666" s="214"/>
      <x:c r="AB666" s="192"/>
      <x:c r="AC666" s="194"/>
      <x:c r="AD666" s="186" t="str">
        <x:f>IF(COUNTA(B666:H666)+COUNTA(J666:AC666)=0,"",IF(OR(B666="",D666="",E666="",G666="",J666=""),"缺少必填项",IF(H666&gt;G666,"完成数大于订单数",IF(AND(X666="",OR(Y666="排队",Y666="生产中",Y666="阻塞",Z666&lt;&gt;"",AA666&lt;&gt;"",AB666="是")),"已有排期字段缺少机台",IF(AND(X666&lt;&gt;"",Y666="待排"),"已填机台但状态为待排",IF(AND(Y666="生产中",AB666&lt;&gt;"是"),"需确认：生产中未锁定","可导入"))))))</x:f>
      </x:c>
    </x:row>
    <x:row r="667" ht="22" customHeight="1">
      <x:c r="A667" s="186" t="str">
        <x:f>IF(B667="","",ROW()-5)</x:f>
      </x:c>
      <x:c r="B667" s="196"/>
      <x:c r="C667" s="198"/>
      <x:c r="D667" s="196"/>
      <x:c r="E667" s="188"/>
      <x:c r="F667" s="198"/>
      <x:c r="G667" s="202"/>
      <x:c r="H667" s="204"/>
      <x:c r="I667" s="206" t="str">
        <x:f>IF(G667="","",MAX(G667-H667,0))</x:f>
      </x:c>
      <x:c r="J667" s="210"/>
      <x:c r="K667" s="190"/>
      <x:c r="L667" s="208"/>
      <x:c r="M667" s="208"/>
      <x:c r="N667" s="208"/>
      <x:c r="O667" s="208"/>
      <x:c r="P667" s="190"/>
      <x:c r="Q667" s="190"/>
      <x:c r="R667" s="190"/>
      <x:c r="S667" s="190"/>
      <x:c r="T667" s="190"/>
      <x:c r="U667" s="190"/>
      <x:c r="V667" s="212"/>
      <x:c r="W667" s="212"/>
      <x:c r="X667" s="200"/>
      <x:c r="Y667" s="192"/>
      <x:c r="Z667" s="214"/>
      <x:c r="AA667" s="214"/>
      <x:c r="AB667" s="192"/>
      <x:c r="AC667" s="194"/>
      <x:c r="AD667" s="186" t="str">
        <x:f>IF(COUNTA(B667:H667)+COUNTA(J667:AC667)=0,"",IF(OR(B667="",D667="",E667="",G667="",J667=""),"缺少必填项",IF(H667&gt;G667,"完成数大于订单数",IF(AND(X667="",OR(Y667="排队",Y667="生产中",Y667="阻塞",Z667&lt;&gt;"",AA667&lt;&gt;"",AB667="是")),"已有排期字段缺少机台",IF(AND(X667&lt;&gt;"",Y667="待排"),"已填机台但状态为待排",IF(AND(Y667="生产中",AB667&lt;&gt;"是"),"需确认：生产中未锁定","可导入"))))))</x:f>
      </x:c>
    </x:row>
    <x:row r="668" ht="22" customHeight="1">
      <x:c r="A668" s="186" t="str">
        <x:f>IF(B668="","",ROW()-5)</x:f>
      </x:c>
      <x:c r="B668" s="196"/>
      <x:c r="C668" s="198"/>
      <x:c r="D668" s="196"/>
      <x:c r="E668" s="188"/>
      <x:c r="F668" s="198"/>
      <x:c r="G668" s="202"/>
      <x:c r="H668" s="204"/>
      <x:c r="I668" s="206" t="str">
        <x:f>IF(G668="","",MAX(G668-H668,0))</x:f>
      </x:c>
      <x:c r="J668" s="210"/>
      <x:c r="K668" s="190"/>
      <x:c r="L668" s="208"/>
      <x:c r="M668" s="208"/>
      <x:c r="N668" s="208"/>
      <x:c r="O668" s="208"/>
      <x:c r="P668" s="190"/>
      <x:c r="Q668" s="190"/>
      <x:c r="R668" s="190"/>
      <x:c r="S668" s="190"/>
      <x:c r="T668" s="190"/>
      <x:c r="U668" s="190"/>
      <x:c r="V668" s="212"/>
      <x:c r="W668" s="212"/>
      <x:c r="X668" s="200"/>
      <x:c r="Y668" s="192"/>
      <x:c r="Z668" s="214"/>
      <x:c r="AA668" s="214"/>
      <x:c r="AB668" s="192"/>
      <x:c r="AC668" s="194"/>
      <x:c r="AD668" s="186" t="str">
        <x:f>IF(COUNTA(B668:H668)+COUNTA(J668:AC668)=0,"",IF(OR(B668="",D668="",E668="",G668="",J668=""),"缺少必填项",IF(H668&gt;G668,"完成数大于订单数",IF(AND(X668="",OR(Y668="排队",Y668="生产中",Y668="阻塞",Z668&lt;&gt;"",AA668&lt;&gt;"",AB668="是")),"已有排期字段缺少机台",IF(AND(X668&lt;&gt;"",Y668="待排"),"已填机台但状态为待排",IF(AND(Y668="生产中",AB668&lt;&gt;"是"),"需确认：生产中未锁定","可导入"))))))</x:f>
      </x:c>
    </x:row>
    <x:row r="669" ht="22" customHeight="1">
      <x:c r="A669" s="186" t="str">
        <x:f>IF(B669="","",ROW()-5)</x:f>
      </x:c>
      <x:c r="B669" s="196"/>
      <x:c r="C669" s="198"/>
      <x:c r="D669" s="196"/>
      <x:c r="E669" s="188"/>
      <x:c r="F669" s="198"/>
      <x:c r="G669" s="202"/>
      <x:c r="H669" s="204"/>
      <x:c r="I669" s="206" t="str">
        <x:f>IF(G669="","",MAX(G669-H669,0))</x:f>
      </x:c>
      <x:c r="J669" s="210"/>
      <x:c r="K669" s="190"/>
      <x:c r="L669" s="208"/>
      <x:c r="M669" s="208"/>
      <x:c r="N669" s="208"/>
      <x:c r="O669" s="208"/>
      <x:c r="P669" s="190"/>
      <x:c r="Q669" s="190"/>
      <x:c r="R669" s="190"/>
      <x:c r="S669" s="190"/>
      <x:c r="T669" s="190"/>
      <x:c r="U669" s="190"/>
      <x:c r="V669" s="212"/>
      <x:c r="W669" s="212"/>
      <x:c r="X669" s="200"/>
      <x:c r="Y669" s="192"/>
      <x:c r="Z669" s="214"/>
      <x:c r="AA669" s="214"/>
      <x:c r="AB669" s="192"/>
      <x:c r="AC669" s="194"/>
      <x:c r="AD669" s="186" t="str">
        <x:f>IF(COUNTA(B669:H669)+COUNTA(J669:AC669)=0,"",IF(OR(B669="",D669="",E669="",G669="",J669=""),"缺少必填项",IF(H669&gt;G669,"完成数大于订单数",IF(AND(X669="",OR(Y669="排队",Y669="生产中",Y669="阻塞",Z669&lt;&gt;"",AA669&lt;&gt;"",AB669="是")),"已有排期字段缺少机台",IF(AND(X669&lt;&gt;"",Y669="待排"),"已填机台但状态为待排",IF(AND(Y669="生产中",AB669&lt;&gt;"是"),"需确认：生产中未锁定","可导入"))))))</x:f>
      </x:c>
    </x:row>
    <x:row r="670" ht="22" customHeight="1">
      <x:c r="A670" s="186" t="str">
        <x:f>IF(B670="","",ROW()-5)</x:f>
      </x:c>
      <x:c r="B670" s="196"/>
      <x:c r="C670" s="198"/>
      <x:c r="D670" s="196"/>
      <x:c r="E670" s="188"/>
      <x:c r="F670" s="198"/>
      <x:c r="G670" s="202"/>
      <x:c r="H670" s="204"/>
      <x:c r="I670" s="206" t="str">
        <x:f>IF(G670="","",MAX(G670-H670,0))</x:f>
      </x:c>
      <x:c r="J670" s="210"/>
      <x:c r="K670" s="190"/>
      <x:c r="L670" s="208"/>
      <x:c r="M670" s="208"/>
      <x:c r="N670" s="208"/>
      <x:c r="O670" s="208"/>
      <x:c r="P670" s="190"/>
      <x:c r="Q670" s="190"/>
      <x:c r="R670" s="190"/>
      <x:c r="S670" s="190"/>
      <x:c r="T670" s="190"/>
      <x:c r="U670" s="190"/>
      <x:c r="V670" s="212"/>
      <x:c r="W670" s="212"/>
      <x:c r="X670" s="200"/>
      <x:c r="Y670" s="192"/>
      <x:c r="Z670" s="214"/>
      <x:c r="AA670" s="214"/>
      <x:c r="AB670" s="192"/>
      <x:c r="AC670" s="194"/>
      <x:c r="AD670" s="186" t="str">
        <x:f>IF(COUNTA(B670:H670)+COUNTA(J670:AC670)=0,"",IF(OR(B670="",D670="",E670="",G670="",J670=""),"缺少必填项",IF(H670&gt;G670,"完成数大于订单数",IF(AND(X670="",OR(Y670="排队",Y670="生产中",Y670="阻塞",Z670&lt;&gt;"",AA670&lt;&gt;"",AB670="是")),"已有排期字段缺少机台",IF(AND(X670&lt;&gt;"",Y670="待排"),"已填机台但状态为待排",IF(AND(Y670="生产中",AB670&lt;&gt;"是"),"需确认：生产中未锁定","可导入"))))))</x:f>
      </x:c>
    </x:row>
    <x:row r="671" ht="22" customHeight="1">
      <x:c r="A671" s="186" t="str">
        <x:f>IF(B671="","",ROW()-5)</x:f>
      </x:c>
      <x:c r="B671" s="196"/>
      <x:c r="C671" s="198"/>
      <x:c r="D671" s="196"/>
      <x:c r="E671" s="188"/>
      <x:c r="F671" s="198"/>
      <x:c r="G671" s="202"/>
      <x:c r="H671" s="204"/>
      <x:c r="I671" s="206" t="str">
        <x:f>IF(G671="","",MAX(G671-H671,0))</x:f>
      </x:c>
      <x:c r="J671" s="210"/>
      <x:c r="K671" s="190"/>
      <x:c r="L671" s="208"/>
      <x:c r="M671" s="208"/>
      <x:c r="N671" s="208"/>
      <x:c r="O671" s="208"/>
      <x:c r="P671" s="190"/>
      <x:c r="Q671" s="190"/>
      <x:c r="R671" s="190"/>
      <x:c r="S671" s="190"/>
      <x:c r="T671" s="190"/>
      <x:c r="U671" s="190"/>
      <x:c r="V671" s="212"/>
      <x:c r="W671" s="212"/>
      <x:c r="X671" s="200"/>
      <x:c r="Y671" s="192"/>
      <x:c r="Z671" s="214"/>
      <x:c r="AA671" s="214"/>
      <x:c r="AB671" s="192"/>
      <x:c r="AC671" s="194"/>
      <x:c r="AD671" s="186" t="str">
        <x:f>IF(COUNTA(B671:H671)+COUNTA(J671:AC671)=0,"",IF(OR(B671="",D671="",E671="",G671="",J671=""),"缺少必填项",IF(H671&gt;G671,"完成数大于订单数",IF(AND(X671="",OR(Y671="排队",Y671="生产中",Y671="阻塞",Z671&lt;&gt;"",AA671&lt;&gt;"",AB671="是")),"已有排期字段缺少机台",IF(AND(X671&lt;&gt;"",Y671="待排"),"已填机台但状态为待排",IF(AND(Y671="生产中",AB671&lt;&gt;"是"),"需确认：生产中未锁定","可导入"))))))</x:f>
      </x:c>
    </x:row>
    <x:row r="672" ht="22" customHeight="1">
      <x:c r="A672" s="186" t="str">
        <x:f>IF(B672="","",ROW()-5)</x:f>
      </x:c>
      <x:c r="B672" s="196"/>
      <x:c r="C672" s="198"/>
      <x:c r="D672" s="196"/>
      <x:c r="E672" s="188"/>
      <x:c r="F672" s="198"/>
      <x:c r="G672" s="202"/>
      <x:c r="H672" s="204"/>
      <x:c r="I672" s="206" t="str">
        <x:f>IF(G672="","",MAX(G672-H672,0))</x:f>
      </x:c>
      <x:c r="J672" s="210"/>
      <x:c r="K672" s="190"/>
      <x:c r="L672" s="208"/>
      <x:c r="M672" s="208"/>
      <x:c r="N672" s="208"/>
      <x:c r="O672" s="208"/>
      <x:c r="P672" s="190"/>
      <x:c r="Q672" s="190"/>
      <x:c r="R672" s="190"/>
      <x:c r="S672" s="190"/>
      <x:c r="T672" s="190"/>
      <x:c r="U672" s="190"/>
      <x:c r="V672" s="212"/>
      <x:c r="W672" s="212"/>
      <x:c r="X672" s="200"/>
      <x:c r="Y672" s="192"/>
      <x:c r="Z672" s="214"/>
      <x:c r="AA672" s="214"/>
      <x:c r="AB672" s="192"/>
      <x:c r="AC672" s="194"/>
      <x:c r="AD672" s="186" t="str">
        <x:f>IF(COUNTA(B672:H672)+COUNTA(J672:AC672)=0,"",IF(OR(B672="",D672="",E672="",G672="",J672=""),"缺少必填项",IF(H672&gt;G672,"完成数大于订单数",IF(AND(X672="",OR(Y672="排队",Y672="生产中",Y672="阻塞",Z672&lt;&gt;"",AA672&lt;&gt;"",AB672="是")),"已有排期字段缺少机台",IF(AND(X672&lt;&gt;"",Y672="待排"),"已填机台但状态为待排",IF(AND(Y672="生产中",AB672&lt;&gt;"是"),"需确认：生产中未锁定","可导入"))))))</x:f>
      </x:c>
    </x:row>
    <x:row r="673" ht="22" customHeight="1">
      <x:c r="A673" s="186" t="str">
        <x:f>IF(B673="","",ROW()-5)</x:f>
      </x:c>
      <x:c r="B673" s="196"/>
      <x:c r="C673" s="198"/>
      <x:c r="D673" s="196"/>
      <x:c r="E673" s="188"/>
      <x:c r="F673" s="198"/>
      <x:c r="G673" s="202"/>
      <x:c r="H673" s="204"/>
      <x:c r="I673" s="206" t="str">
        <x:f>IF(G673="","",MAX(G673-H673,0))</x:f>
      </x:c>
      <x:c r="J673" s="210"/>
      <x:c r="K673" s="190"/>
      <x:c r="L673" s="208"/>
      <x:c r="M673" s="208"/>
      <x:c r="N673" s="208"/>
      <x:c r="O673" s="208"/>
      <x:c r="P673" s="190"/>
      <x:c r="Q673" s="190"/>
      <x:c r="R673" s="190"/>
      <x:c r="S673" s="190"/>
      <x:c r="T673" s="190"/>
      <x:c r="U673" s="190"/>
      <x:c r="V673" s="212"/>
      <x:c r="W673" s="212"/>
      <x:c r="X673" s="200"/>
      <x:c r="Y673" s="192"/>
      <x:c r="Z673" s="214"/>
      <x:c r="AA673" s="214"/>
      <x:c r="AB673" s="192"/>
      <x:c r="AC673" s="194"/>
      <x:c r="AD673" s="186" t="str">
        <x:f>IF(COUNTA(B673:H673)+COUNTA(J673:AC673)=0,"",IF(OR(B673="",D673="",E673="",G673="",J673=""),"缺少必填项",IF(H673&gt;G673,"完成数大于订单数",IF(AND(X673="",OR(Y673="排队",Y673="生产中",Y673="阻塞",Z673&lt;&gt;"",AA673&lt;&gt;"",AB673="是")),"已有排期字段缺少机台",IF(AND(X673&lt;&gt;"",Y673="待排"),"已填机台但状态为待排",IF(AND(Y673="生产中",AB673&lt;&gt;"是"),"需确认：生产中未锁定","可导入"))))))</x:f>
      </x:c>
    </x:row>
    <x:row r="674" ht="22" customHeight="1">
      <x:c r="A674" s="186" t="str">
        <x:f>IF(B674="","",ROW()-5)</x:f>
      </x:c>
      <x:c r="B674" s="196"/>
      <x:c r="C674" s="198"/>
      <x:c r="D674" s="196"/>
      <x:c r="E674" s="188"/>
      <x:c r="F674" s="198"/>
      <x:c r="G674" s="202"/>
      <x:c r="H674" s="204"/>
      <x:c r="I674" s="206" t="str">
        <x:f>IF(G674="","",MAX(G674-H674,0))</x:f>
      </x:c>
      <x:c r="J674" s="210"/>
      <x:c r="K674" s="190"/>
      <x:c r="L674" s="208"/>
      <x:c r="M674" s="208"/>
      <x:c r="N674" s="208"/>
      <x:c r="O674" s="208"/>
      <x:c r="P674" s="190"/>
      <x:c r="Q674" s="190"/>
      <x:c r="R674" s="190"/>
      <x:c r="S674" s="190"/>
      <x:c r="T674" s="190"/>
      <x:c r="U674" s="190"/>
      <x:c r="V674" s="212"/>
      <x:c r="W674" s="212"/>
      <x:c r="X674" s="200"/>
      <x:c r="Y674" s="192"/>
      <x:c r="Z674" s="214"/>
      <x:c r="AA674" s="214"/>
      <x:c r="AB674" s="192"/>
      <x:c r="AC674" s="194"/>
      <x:c r="AD674" s="186" t="str">
        <x:f>IF(COUNTA(B674:H674)+COUNTA(J674:AC674)=0,"",IF(OR(B674="",D674="",E674="",G674="",J674=""),"缺少必填项",IF(H674&gt;G674,"完成数大于订单数",IF(AND(X674="",OR(Y674="排队",Y674="生产中",Y674="阻塞",Z674&lt;&gt;"",AA674&lt;&gt;"",AB674="是")),"已有排期字段缺少机台",IF(AND(X674&lt;&gt;"",Y674="待排"),"已填机台但状态为待排",IF(AND(Y674="生产中",AB674&lt;&gt;"是"),"需确认：生产中未锁定","可导入"))))))</x:f>
      </x:c>
    </x:row>
    <x:row r="675" ht="22" customHeight="1">
      <x:c r="A675" s="186" t="str">
        <x:f>IF(B675="","",ROW()-5)</x:f>
      </x:c>
      <x:c r="B675" s="196"/>
      <x:c r="C675" s="198"/>
      <x:c r="D675" s="196"/>
      <x:c r="E675" s="188"/>
      <x:c r="F675" s="198"/>
      <x:c r="G675" s="202"/>
      <x:c r="H675" s="204"/>
      <x:c r="I675" s="206" t="str">
        <x:f>IF(G675="","",MAX(G675-H675,0))</x:f>
      </x:c>
      <x:c r="J675" s="210"/>
      <x:c r="K675" s="190"/>
      <x:c r="L675" s="208"/>
      <x:c r="M675" s="208"/>
      <x:c r="N675" s="208"/>
      <x:c r="O675" s="208"/>
      <x:c r="P675" s="190"/>
      <x:c r="Q675" s="190"/>
      <x:c r="R675" s="190"/>
      <x:c r="S675" s="190"/>
      <x:c r="T675" s="190"/>
      <x:c r="U675" s="190"/>
      <x:c r="V675" s="212"/>
      <x:c r="W675" s="212"/>
      <x:c r="X675" s="200"/>
      <x:c r="Y675" s="192"/>
      <x:c r="Z675" s="214"/>
      <x:c r="AA675" s="214"/>
      <x:c r="AB675" s="192"/>
      <x:c r="AC675" s="194"/>
      <x:c r="AD675" s="186" t="str">
        <x:f>IF(COUNTA(B675:H675)+COUNTA(J675:AC675)=0,"",IF(OR(B675="",D675="",E675="",G675="",J675=""),"缺少必填项",IF(H675&gt;G675,"完成数大于订单数",IF(AND(X675="",OR(Y675="排队",Y675="生产中",Y675="阻塞",Z675&lt;&gt;"",AA675&lt;&gt;"",AB675="是")),"已有排期字段缺少机台",IF(AND(X675&lt;&gt;"",Y675="待排"),"已填机台但状态为待排",IF(AND(Y675="生产中",AB675&lt;&gt;"是"),"需确认：生产中未锁定","可导入"))))))</x:f>
      </x:c>
    </x:row>
    <x:row r="676" ht="22" customHeight="1">
      <x:c r="A676" s="186" t="str">
        <x:f>IF(B676="","",ROW()-5)</x:f>
      </x:c>
      <x:c r="B676" s="196"/>
      <x:c r="C676" s="198"/>
      <x:c r="D676" s="196"/>
      <x:c r="E676" s="188"/>
      <x:c r="F676" s="198"/>
      <x:c r="G676" s="202"/>
      <x:c r="H676" s="204"/>
      <x:c r="I676" s="206" t="str">
        <x:f>IF(G676="","",MAX(G676-H676,0))</x:f>
      </x:c>
      <x:c r="J676" s="210"/>
      <x:c r="K676" s="190"/>
      <x:c r="L676" s="208"/>
      <x:c r="M676" s="208"/>
      <x:c r="N676" s="208"/>
      <x:c r="O676" s="208"/>
      <x:c r="P676" s="190"/>
      <x:c r="Q676" s="190"/>
      <x:c r="R676" s="190"/>
      <x:c r="S676" s="190"/>
      <x:c r="T676" s="190"/>
      <x:c r="U676" s="190"/>
      <x:c r="V676" s="212"/>
      <x:c r="W676" s="212"/>
      <x:c r="X676" s="200"/>
      <x:c r="Y676" s="192"/>
      <x:c r="Z676" s="214"/>
      <x:c r="AA676" s="214"/>
      <x:c r="AB676" s="192"/>
      <x:c r="AC676" s="194"/>
      <x:c r="AD676" s="186" t="str">
        <x:f>IF(COUNTA(B676:H676)+COUNTA(J676:AC676)=0,"",IF(OR(B676="",D676="",E676="",G676="",J676=""),"缺少必填项",IF(H676&gt;G676,"完成数大于订单数",IF(AND(X676="",OR(Y676="排队",Y676="生产中",Y676="阻塞",Z676&lt;&gt;"",AA676&lt;&gt;"",AB676="是")),"已有排期字段缺少机台",IF(AND(X676&lt;&gt;"",Y676="待排"),"已填机台但状态为待排",IF(AND(Y676="生产中",AB676&lt;&gt;"是"),"需确认：生产中未锁定","可导入"))))))</x:f>
      </x:c>
    </x:row>
    <x:row r="677" ht="22" customHeight="1">
      <x:c r="A677" s="186" t="str">
        <x:f>IF(B677="","",ROW()-5)</x:f>
      </x:c>
      <x:c r="B677" s="196"/>
      <x:c r="C677" s="198"/>
      <x:c r="D677" s="196"/>
      <x:c r="E677" s="188"/>
      <x:c r="F677" s="198"/>
      <x:c r="G677" s="202"/>
      <x:c r="H677" s="204"/>
      <x:c r="I677" s="206" t="str">
        <x:f>IF(G677="","",MAX(G677-H677,0))</x:f>
      </x:c>
      <x:c r="J677" s="210"/>
      <x:c r="K677" s="190"/>
      <x:c r="L677" s="208"/>
      <x:c r="M677" s="208"/>
      <x:c r="N677" s="208"/>
      <x:c r="O677" s="208"/>
      <x:c r="P677" s="190"/>
      <x:c r="Q677" s="190"/>
      <x:c r="R677" s="190"/>
      <x:c r="S677" s="190"/>
      <x:c r="T677" s="190"/>
      <x:c r="U677" s="190"/>
      <x:c r="V677" s="212"/>
      <x:c r="W677" s="212"/>
      <x:c r="X677" s="200"/>
      <x:c r="Y677" s="192"/>
      <x:c r="Z677" s="214"/>
      <x:c r="AA677" s="214"/>
      <x:c r="AB677" s="192"/>
      <x:c r="AC677" s="194"/>
      <x:c r="AD677" s="186" t="str">
        <x:f>IF(COUNTA(B677:H677)+COUNTA(J677:AC677)=0,"",IF(OR(B677="",D677="",E677="",G677="",J677=""),"缺少必填项",IF(H677&gt;G677,"完成数大于订单数",IF(AND(X677="",OR(Y677="排队",Y677="生产中",Y677="阻塞",Z677&lt;&gt;"",AA677&lt;&gt;"",AB677="是")),"已有排期字段缺少机台",IF(AND(X677&lt;&gt;"",Y677="待排"),"已填机台但状态为待排",IF(AND(Y677="生产中",AB677&lt;&gt;"是"),"需确认：生产中未锁定","可导入"))))))</x:f>
      </x:c>
    </x:row>
    <x:row r="678" ht="22" customHeight="1">
      <x:c r="A678" s="186" t="str">
        <x:f>IF(B678="","",ROW()-5)</x:f>
      </x:c>
      <x:c r="B678" s="196"/>
      <x:c r="C678" s="198"/>
      <x:c r="D678" s="196"/>
      <x:c r="E678" s="188"/>
      <x:c r="F678" s="198"/>
      <x:c r="G678" s="202"/>
      <x:c r="H678" s="204"/>
      <x:c r="I678" s="206" t="str">
        <x:f>IF(G678="","",MAX(G678-H678,0))</x:f>
      </x:c>
      <x:c r="J678" s="210"/>
      <x:c r="K678" s="190"/>
      <x:c r="L678" s="208"/>
      <x:c r="M678" s="208"/>
      <x:c r="N678" s="208"/>
      <x:c r="O678" s="208"/>
      <x:c r="P678" s="190"/>
      <x:c r="Q678" s="190"/>
      <x:c r="R678" s="190"/>
      <x:c r="S678" s="190"/>
      <x:c r="T678" s="190"/>
      <x:c r="U678" s="190"/>
      <x:c r="V678" s="212"/>
      <x:c r="W678" s="212"/>
      <x:c r="X678" s="200"/>
      <x:c r="Y678" s="192"/>
      <x:c r="Z678" s="214"/>
      <x:c r="AA678" s="214"/>
      <x:c r="AB678" s="192"/>
      <x:c r="AC678" s="194"/>
      <x:c r="AD678" s="186" t="str">
        <x:f>IF(COUNTA(B678:H678)+COUNTA(J678:AC678)=0,"",IF(OR(B678="",D678="",E678="",G678="",J678=""),"缺少必填项",IF(H678&gt;G678,"完成数大于订单数",IF(AND(X678="",OR(Y678="排队",Y678="生产中",Y678="阻塞",Z678&lt;&gt;"",AA678&lt;&gt;"",AB678="是")),"已有排期字段缺少机台",IF(AND(X678&lt;&gt;"",Y678="待排"),"已填机台但状态为待排",IF(AND(Y678="生产中",AB678&lt;&gt;"是"),"需确认：生产中未锁定","可导入"))))))</x:f>
      </x:c>
    </x:row>
    <x:row r="679" ht="22" customHeight="1">
      <x:c r="A679" s="186" t="str">
        <x:f>IF(B679="","",ROW()-5)</x:f>
      </x:c>
      <x:c r="B679" s="196"/>
      <x:c r="C679" s="198"/>
      <x:c r="D679" s="196"/>
      <x:c r="E679" s="188"/>
      <x:c r="F679" s="198"/>
      <x:c r="G679" s="202"/>
      <x:c r="H679" s="204"/>
      <x:c r="I679" s="206" t="str">
        <x:f>IF(G679="","",MAX(G679-H679,0))</x:f>
      </x:c>
      <x:c r="J679" s="210"/>
      <x:c r="K679" s="190"/>
      <x:c r="L679" s="208"/>
      <x:c r="M679" s="208"/>
      <x:c r="N679" s="208"/>
      <x:c r="O679" s="208"/>
      <x:c r="P679" s="190"/>
      <x:c r="Q679" s="190"/>
      <x:c r="R679" s="190"/>
      <x:c r="S679" s="190"/>
      <x:c r="T679" s="190"/>
      <x:c r="U679" s="190"/>
      <x:c r="V679" s="212"/>
      <x:c r="W679" s="212"/>
      <x:c r="X679" s="200"/>
      <x:c r="Y679" s="192"/>
      <x:c r="Z679" s="214"/>
      <x:c r="AA679" s="214"/>
      <x:c r="AB679" s="192"/>
      <x:c r="AC679" s="194"/>
      <x:c r="AD679" s="186" t="str">
        <x:f>IF(COUNTA(B679:H679)+COUNTA(J679:AC679)=0,"",IF(OR(B679="",D679="",E679="",G679="",J679=""),"缺少必填项",IF(H679&gt;G679,"完成数大于订单数",IF(AND(X679="",OR(Y679="排队",Y679="生产中",Y679="阻塞",Z679&lt;&gt;"",AA679&lt;&gt;"",AB679="是")),"已有排期字段缺少机台",IF(AND(X679&lt;&gt;"",Y679="待排"),"已填机台但状态为待排",IF(AND(Y679="生产中",AB679&lt;&gt;"是"),"需确认：生产中未锁定","可导入"))))))</x:f>
      </x:c>
    </x:row>
    <x:row r="680" ht="22" customHeight="1">
      <x:c r="A680" s="186" t="str">
        <x:f>IF(B680="","",ROW()-5)</x:f>
      </x:c>
      <x:c r="B680" s="196"/>
      <x:c r="C680" s="198"/>
      <x:c r="D680" s="196"/>
      <x:c r="E680" s="188"/>
      <x:c r="F680" s="198"/>
      <x:c r="G680" s="202"/>
      <x:c r="H680" s="204"/>
      <x:c r="I680" s="206" t="str">
        <x:f>IF(G680="","",MAX(G680-H680,0))</x:f>
      </x:c>
      <x:c r="J680" s="210"/>
      <x:c r="K680" s="190"/>
      <x:c r="L680" s="208"/>
      <x:c r="M680" s="208"/>
      <x:c r="N680" s="208"/>
      <x:c r="O680" s="208"/>
      <x:c r="P680" s="190"/>
      <x:c r="Q680" s="190"/>
      <x:c r="R680" s="190"/>
      <x:c r="S680" s="190"/>
      <x:c r="T680" s="190"/>
      <x:c r="U680" s="190"/>
      <x:c r="V680" s="212"/>
      <x:c r="W680" s="212"/>
      <x:c r="X680" s="200"/>
      <x:c r="Y680" s="192"/>
      <x:c r="Z680" s="214"/>
      <x:c r="AA680" s="214"/>
      <x:c r="AB680" s="192"/>
      <x:c r="AC680" s="194"/>
      <x:c r="AD680" s="186" t="str">
        <x:f>IF(COUNTA(B680:H680)+COUNTA(J680:AC680)=0,"",IF(OR(B680="",D680="",E680="",G680="",J680=""),"缺少必填项",IF(H680&gt;G680,"完成数大于订单数",IF(AND(X680="",OR(Y680="排队",Y680="生产中",Y680="阻塞",Z680&lt;&gt;"",AA680&lt;&gt;"",AB680="是")),"已有排期字段缺少机台",IF(AND(X680&lt;&gt;"",Y680="待排"),"已填机台但状态为待排",IF(AND(Y680="生产中",AB680&lt;&gt;"是"),"需确认：生产中未锁定","可导入"))))))</x:f>
      </x:c>
    </x:row>
    <x:row r="681" ht="22" customHeight="1">
      <x:c r="A681" s="186" t="str">
        <x:f>IF(B681="","",ROW()-5)</x:f>
      </x:c>
      <x:c r="B681" s="196"/>
      <x:c r="C681" s="198"/>
      <x:c r="D681" s="196"/>
      <x:c r="E681" s="188"/>
      <x:c r="F681" s="198"/>
      <x:c r="G681" s="202"/>
      <x:c r="H681" s="204"/>
      <x:c r="I681" s="206" t="str">
        <x:f>IF(G681="","",MAX(G681-H681,0))</x:f>
      </x:c>
      <x:c r="J681" s="210"/>
      <x:c r="K681" s="190"/>
      <x:c r="L681" s="208"/>
      <x:c r="M681" s="208"/>
      <x:c r="N681" s="208"/>
      <x:c r="O681" s="208"/>
      <x:c r="P681" s="190"/>
      <x:c r="Q681" s="190"/>
      <x:c r="R681" s="190"/>
      <x:c r="S681" s="190"/>
      <x:c r="T681" s="190"/>
      <x:c r="U681" s="190"/>
      <x:c r="V681" s="212"/>
      <x:c r="W681" s="212"/>
      <x:c r="X681" s="200"/>
      <x:c r="Y681" s="192"/>
      <x:c r="Z681" s="214"/>
      <x:c r="AA681" s="214"/>
      <x:c r="AB681" s="192"/>
      <x:c r="AC681" s="194"/>
      <x:c r="AD681" s="186" t="str">
        <x:f>IF(COUNTA(B681:H681)+COUNTA(J681:AC681)=0,"",IF(OR(B681="",D681="",E681="",G681="",J681=""),"缺少必填项",IF(H681&gt;G681,"完成数大于订单数",IF(AND(X681="",OR(Y681="排队",Y681="生产中",Y681="阻塞",Z681&lt;&gt;"",AA681&lt;&gt;"",AB681="是")),"已有排期字段缺少机台",IF(AND(X681&lt;&gt;"",Y681="待排"),"已填机台但状态为待排",IF(AND(Y681="生产中",AB681&lt;&gt;"是"),"需确认：生产中未锁定","可导入"))))))</x:f>
      </x:c>
    </x:row>
    <x:row r="682" ht="22" customHeight="1">
      <x:c r="A682" s="186" t="str">
        <x:f>IF(B682="","",ROW()-5)</x:f>
      </x:c>
      <x:c r="B682" s="196"/>
      <x:c r="C682" s="198"/>
      <x:c r="D682" s="196"/>
      <x:c r="E682" s="188"/>
      <x:c r="F682" s="198"/>
      <x:c r="G682" s="202"/>
      <x:c r="H682" s="204"/>
      <x:c r="I682" s="206" t="str">
        <x:f>IF(G682="","",MAX(G682-H682,0))</x:f>
      </x:c>
      <x:c r="J682" s="210"/>
      <x:c r="K682" s="190"/>
      <x:c r="L682" s="208"/>
      <x:c r="M682" s="208"/>
      <x:c r="N682" s="208"/>
      <x:c r="O682" s="208"/>
      <x:c r="P682" s="190"/>
      <x:c r="Q682" s="190"/>
      <x:c r="R682" s="190"/>
      <x:c r="S682" s="190"/>
      <x:c r="T682" s="190"/>
      <x:c r="U682" s="190"/>
      <x:c r="V682" s="212"/>
      <x:c r="W682" s="212"/>
      <x:c r="X682" s="200"/>
      <x:c r="Y682" s="192"/>
      <x:c r="Z682" s="214"/>
      <x:c r="AA682" s="214"/>
      <x:c r="AB682" s="192"/>
      <x:c r="AC682" s="194"/>
      <x:c r="AD682" s="186" t="str">
        <x:f>IF(COUNTA(B682:H682)+COUNTA(J682:AC682)=0,"",IF(OR(B682="",D682="",E682="",G682="",J682=""),"缺少必填项",IF(H682&gt;G682,"完成数大于订单数",IF(AND(X682="",OR(Y682="排队",Y682="生产中",Y682="阻塞",Z682&lt;&gt;"",AA682&lt;&gt;"",AB682="是")),"已有排期字段缺少机台",IF(AND(X682&lt;&gt;"",Y682="待排"),"已填机台但状态为待排",IF(AND(Y682="生产中",AB682&lt;&gt;"是"),"需确认：生产中未锁定","可导入"))))))</x:f>
      </x:c>
    </x:row>
    <x:row r="683" ht="22" customHeight="1">
      <x:c r="A683" s="186" t="str">
        <x:f>IF(B683="","",ROW()-5)</x:f>
      </x:c>
      <x:c r="B683" s="196"/>
      <x:c r="C683" s="198"/>
      <x:c r="D683" s="196"/>
      <x:c r="E683" s="188"/>
      <x:c r="F683" s="198"/>
      <x:c r="G683" s="202"/>
      <x:c r="H683" s="204"/>
      <x:c r="I683" s="206" t="str">
        <x:f>IF(G683="","",MAX(G683-H683,0))</x:f>
      </x:c>
      <x:c r="J683" s="210"/>
      <x:c r="K683" s="190"/>
      <x:c r="L683" s="208"/>
      <x:c r="M683" s="208"/>
      <x:c r="N683" s="208"/>
      <x:c r="O683" s="208"/>
      <x:c r="P683" s="190"/>
      <x:c r="Q683" s="190"/>
      <x:c r="R683" s="190"/>
      <x:c r="S683" s="190"/>
      <x:c r="T683" s="190"/>
      <x:c r="U683" s="190"/>
      <x:c r="V683" s="212"/>
      <x:c r="W683" s="212"/>
      <x:c r="X683" s="200"/>
      <x:c r="Y683" s="192"/>
      <x:c r="Z683" s="214"/>
      <x:c r="AA683" s="214"/>
      <x:c r="AB683" s="192"/>
      <x:c r="AC683" s="194"/>
      <x:c r="AD683" s="186" t="str">
        <x:f>IF(COUNTA(B683:H683)+COUNTA(J683:AC683)=0,"",IF(OR(B683="",D683="",E683="",G683="",J683=""),"缺少必填项",IF(H683&gt;G683,"完成数大于订单数",IF(AND(X683="",OR(Y683="排队",Y683="生产中",Y683="阻塞",Z683&lt;&gt;"",AA683&lt;&gt;"",AB683="是")),"已有排期字段缺少机台",IF(AND(X683&lt;&gt;"",Y683="待排"),"已填机台但状态为待排",IF(AND(Y683="生产中",AB683&lt;&gt;"是"),"需确认：生产中未锁定","可导入"))))))</x:f>
      </x:c>
    </x:row>
    <x:row r="684" ht="22" customHeight="1">
      <x:c r="A684" s="186" t="str">
        <x:f>IF(B684="","",ROW()-5)</x:f>
      </x:c>
      <x:c r="B684" s="196"/>
      <x:c r="C684" s="198"/>
      <x:c r="D684" s="196"/>
      <x:c r="E684" s="188"/>
      <x:c r="F684" s="198"/>
      <x:c r="G684" s="202"/>
      <x:c r="H684" s="204"/>
      <x:c r="I684" s="206" t="str">
        <x:f>IF(G684="","",MAX(G684-H684,0))</x:f>
      </x:c>
      <x:c r="J684" s="210"/>
      <x:c r="K684" s="190"/>
      <x:c r="L684" s="208"/>
      <x:c r="M684" s="208"/>
      <x:c r="N684" s="208"/>
      <x:c r="O684" s="208"/>
      <x:c r="P684" s="190"/>
      <x:c r="Q684" s="190"/>
      <x:c r="R684" s="190"/>
      <x:c r="S684" s="190"/>
      <x:c r="T684" s="190"/>
      <x:c r="U684" s="190"/>
      <x:c r="V684" s="212"/>
      <x:c r="W684" s="212"/>
      <x:c r="X684" s="200"/>
      <x:c r="Y684" s="192"/>
      <x:c r="Z684" s="214"/>
      <x:c r="AA684" s="214"/>
      <x:c r="AB684" s="192"/>
      <x:c r="AC684" s="194"/>
      <x:c r="AD684" s="186" t="str">
        <x:f>IF(COUNTA(B684:H684)+COUNTA(J684:AC684)=0,"",IF(OR(B684="",D684="",E684="",G684="",J684=""),"缺少必填项",IF(H684&gt;G684,"完成数大于订单数",IF(AND(X684="",OR(Y684="排队",Y684="生产中",Y684="阻塞",Z684&lt;&gt;"",AA684&lt;&gt;"",AB684="是")),"已有排期字段缺少机台",IF(AND(X684&lt;&gt;"",Y684="待排"),"已填机台但状态为待排",IF(AND(Y684="生产中",AB684&lt;&gt;"是"),"需确认：生产中未锁定","可导入"))))))</x:f>
      </x:c>
    </x:row>
    <x:row r="685" ht="22" customHeight="1">
      <x:c r="A685" s="186" t="str">
        <x:f>IF(B685="","",ROW()-5)</x:f>
      </x:c>
      <x:c r="B685" s="196"/>
      <x:c r="C685" s="198"/>
      <x:c r="D685" s="196"/>
      <x:c r="E685" s="188"/>
      <x:c r="F685" s="198"/>
      <x:c r="G685" s="202"/>
      <x:c r="H685" s="204"/>
      <x:c r="I685" s="206" t="str">
        <x:f>IF(G685="","",MAX(G685-H685,0))</x:f>
      </x:c>
      <x:c r="J685" s="210"/>
      <x:c r="K685" s="190"/>
      <x:c r="L685" s="208"/>
      <x:c r="M685" s="208"/>
      <x:c r="N685" s="208"/>
      <x:c r="O685" s="208"/>
      <x:c r="P685" s="190"/>
      <x:c r="Q685" s="190"/>
      <x:c r="R685" s="190"/>
      <x:c r="S685" s="190"/>
      <x:c r="T685" s="190"/>
      <x:c r="U685" s="190"/>
      <x:c r="V685" s="212"/>
      <x:c r="W685" s="212"/>
      <x:c r="X685" s="200"/>
      <x:c r="Y685" s="192"/>
      <x:c r="Z685" s="214"/>
      <x:c r="AA685" s="214"/>
      <x:c r="AB685" s="192"/>
      <x:c r="AC685" s="194"/>
      <x:c r="AD685" s="186" t="str">
        <x:f>IF(COUNTA(B685:H685)+COUNTA(J685:AC685)=0,"",IF(OR(B685="",D685="",E685="",G685="",J685=""),"缺少必填项",IF(H685&gt;G685,"完成数大于订单数",IF(AND(X685="",OR(Y685="排队",Y685="生产中",Y685="阻塞",Z685&lt;&gt;"",AA685&lt;&gt;"",AB685="是")),"已有排期字段缺少机台",IF(AND(X685&lt;&gt;"",Y685="待排"),"已填机台但状态为待排",IF(AND(Y685="生产中",AB685&lt;&gt;"是"),"需确认：生产中未锁定","可导入"))))))</x:f>
      </x:c>
    </x:row>
    <x:row r="686" ht="22" customHeight="1">
      <x:c r="A686" s="186" t="str">
        <x:f>IF(B686="","",ROW()-5)</x:f>
      </x:c>
      <x:c r="B686" s="196"/>
      <x:c r="C686" s="198"/>
      <x:c r="D686" s="196"/>
      <x:c r="E686" s="188"/>
      <x:c r="F686" s="198"/>
      <x:c r="G686" s="202"/>
      <x:c r="H686" s="204"/>
      <x:c r="I686" s="206" t="str">
        <x:f>IF(G686="","",MAX(G686-H686,0))</x:f>
      </x:c>
      <x:c r="J686" s="210"/>
      <x:c r="K686" s="190"/>
      <x:c r="L686" s="208"/>
      <x:c r="M686" s="208"/>
      <x:c r="N686" s="208"/>
      <x:c r="O686" s="208"/>
      <x:c r="P686" s="190"/>
      <x:c r="Q686" s="190"/>
      <x:c r="R686" s="190"/>
      <x:c r="S686" s="190"/>
      <x:c r="T686" s="190"/>
      <x:c r="U686" s="190"/>
      <x:c r="V686" s="212"/>
      <x:c r="W686" s="212"/>
      <x:c r="X686" s="200"/>
      <x:c r="Y686" s="192"/>
      <x:c r="Z686" s="214"/>
      <x:c r="AA686" s="214"/>
      <x:c r="AB686" s="192"/>
      <x:c r="AC686" s="194"/>
      <x:c r="AD686" s="186" t="str">
        <x:f>IF(COUNTA(B686:H686)+COUNTA(J686:AC686)=0,"",IF(OR(B686="",D686="",E686="",G686="",J686=""),"缺少必填项",IF(H686&gt;G686,"完成数大于订单数",IF(AND(X686="",OR(Y686="排队",Y686="生产中",Y686="阻塞",Z686&lt;&gt;"",AA686&lt;&gt;"",AB686="是")),"已有排期字段缺少机台",IF(AND(X686&lt;&gt;"",Y686="待排"),"已填机台但状态为待排",IF(AND(Y686="生产中",AB686&lt;&gt;"是"),"需确认：生产中未锁定","可导入"))))))</x:f>
      </x:c>
    </x:row>
    <x:row r="687" ht="22" customHeight="1">
      <x:c r="A687" s="186" t="str">
        <x:f>IF(B687="","",ROW()-5)</x:f>
      </x:c>
      <x:c r="B687" s="196"/>
      <x:c r="C687" s="198"/>
      <x:c r="D687" s="196"/>
      <x:c r="E687" s="188"/>
      <x:c r="F687" s="198"/>
      <x:c r="G687" s="202"/>
      <x:c r="H687" s="204"/>
      <x:c r="I687" s="206" t="str">
        <x:f>IF(G687="","",MAX(G687-H687,0))</x:f>
      </x:c>
      <x:c r="J687" s="210"/>
      <x:c r="K687" s="190"/>
      <x:c r="L687" s="208"/>
      <x:c r="M687" s="208"/>
      <x:c r="N687" s="208"/>
      <x:c r="O687" s="208"/>
      <x:c r="P687" s="190"/>
      <x:c r="Q687" s="190"/>
      <x:c r="R687" s="190"/>
      <x:c r="S687" s="190"/>
      <x:c r="T687" s="190"/>
      <x:c r="U687" s="190"/>
      <x:c r="V687" s="212"/>
      <x:c r="W687" s="212"/>
      <x:c r="X687" s="200"/>
      <x:c r="Y687" s="192"/>
      <x:c r="Z687" s="214"/>
      <x:c r="AA687" s="214"/>
      <x:c r="AB687" s="192"/>
      <x:c r="AC687" s="194"/>
      <x:c r="AD687" s="186" t="str">
        <x:f>IF(COUNTA(B687:H687)+COUNTA(J687:AC687)=0,"",IF(OR(B687="",D687="",E687="",G687="",J687=""),"缺少必填项",IF(H687&gt;G687,"完成数大于订单数",IF(AND(X687="",OR(Y687="排队",Y687="生产中",Y687="阻塞",Z687&lt;&gt;"",AA687&lt;&gt;"",AB687="是")),"已有排期字段缺少机台",IF(AND(X687&lt;&gt;"",Y687="待排"),"已填机台但状态为待排",IF(AND(Y687="生产中",AB687&lt;&gt;"是"),"需确认：生产中未锁定","可导入"))))))</x:f>
      </x:c>
    </x:row>
    <x:row r="688" ht="22" customHeight="1">
      <x:c r="A688" s="186" t="str">
        <x:f>IF(B688="","",ROW()-5)</x:f>
      </x:c>
      <x:c r="B688" s="196"/>
      <x:c r="C688" s="198"/>
      <x:c r="D688" s="196"/>
      <x:c r="E688" s="188"/>
      <x:c r="F688" s="198"/>
      <x:c r="G688" s="202"/>
      <x:c r="H688" s="204"/>
      <x:c r="I688" s="206" t="str">
        <x:f>IF(G688="","",MAX(G688-H688,0))</x:f>
      </x:c>
      <x:c r="J688" s="210"/>
      <x:c r="K688" s="190"/>
      <x:c r="L688" s="208"/>
      <x:c r="M688" s="208"/>
      <x:c r="N688" s="208"/>
      <x:c r="O688" s="208"/>
      <x:c r="P688" s="190"/>
      <x:c r="Q688" s="190"/>
      <x:c r="R688" s="190"/>
      <x:c r="S688" s="190"/>
      <x:c r="T688" s="190"/>
      <x:c r="U688" s="190"/>
      <x:c r="V688" s="212"/>
      <x:c r="W688" s="212"/>
      <x:c r="X688" s="200"/>
      <x:c r="Y688" s="192"/>
      <x:c r="Z688" s="214"/>
      <x:c r="AA688" s="214"/>
      <x:c r="AB688" s="192"/>
      <x:c r="AC688" s="194"/>
      <x:c r="AD688" s="186" t="str">
        <x:f>IF(COUNTA(B688:H688)+COUNTA(J688:AC688)=0,"",IF(OR(B688="",D688="",E688="",G688="",J688=""),"缺少必填项",IF(H688&gt;G688,"完成数大于订单数",IF(AND(X688="",OR(Y688="排队",Y688="生产中",Y688="阻塞",Z688&lt;&gt;"",AA688&lt;&gt;"",AB688="是")),"已有排期字段缺少机台",IF(AND(X688&lt;&gt;"",Y688="待排"),"已填机台但状态为待排",IF(AND(Y688="生产中",AB688&lt;&gt;"是"),"需确认：生产中未锁定","可导入"))))))</x:f>
      </x:c>
    </x:row>
    <x:row r="689" ht="22" customHeight="1">
      <x:c r="A689" s="186" t="str">
        <x:f>IF(B689="","",ROW()-5)</x:f>
      </x:c>
      <x:c r="B689" s="196"/>
      <x:c r="C689" s="198"/>
      <x:c r="D689" s="196"/>
      <x:c r="E689" s="188"/>
      <x:c r="F689" s="198"/>
      <x:c r="G689" s="202"/>
      <x:c r="H689" s="204"/>
      <x:c r="I689" s="206" t="str">
        <x:f>IF(G689="","",MAX(G689-H689,0))</x:f>
      </x:c>
      <x:c r="J689" s="210"/>
      <x:c r="K689" s="190"/>
      <x:c r="L689" s="208"/>
      <x:c r="M689" s="208"/>
      <x:c r="N689" s="208"/>
      <x:c r="O689" s="208"/>
      <x:c r="P689" s="190"/>
      <x:c r="Q689" s="190"/>
      <x:c r="R689" s="190"/>
      <x:c r="S689" s="190"/>
      <x:c r="T689" s="190"/>
      <x:c r="U689" s="190"/>
      <x:c r="V689" s="212"/>
      <x:c r="W689" s="212"/>
      <x:c r="X689" s="200"/>
      <x:c r="Y689" s="192"/>
      <x:c r="Z689" s="214"/>
      <x:c r="AA689" s="214"/>
      <x:c r="AB689" s="192"/>
      <x:c r="AC689" s="194"/>
      <x:c r="AD689" s="186" t="str">
        <x:f>IF(COUNTA(B689:H689)+COUNTA(J689:AC689)=0,"",IF(OR(B689="",D689="",E689="",G689="",J689=""),"缺少必填项",IF(H689&gt;G689,"完成数大于订单数",IF(AND(X689="",OR(Y689="排队",Y689="生产中",Y689="阻塞",Z689&lt;&gt;"",AA689&lt;&gt;"",AB689="是")),"已有排期字段缺少机台",IF(AND(X689&lt;&gt;"",Y689="待排"),"已填机台但状态为待排",IF(AND(Y689="生产中",AB689&lt;&gt;"是"),"需确认：生产中未锁定","可导入"))))))</x:f>
      </x:c>
    </x:row>
    <x:row r="690" ht="22" customHeight="1">
      <x:c r="A690" s="186" t="str">
        <x:f>IF(B690="","",ROW()-5)</x:f>
      </x:c>
      <x:c r="B690" s="196"/>
      <x:c r="C690" s="198"/>
      <x:c r="D690" s="196"/>
      <x:c r="E690" s="188"/>
      <x:c r="F690" s="198"/>
      <x:c r="G690" s="202"/>
      <x:c r="H690" s="204"/>
      <x:c r="I690" s="206" t="str">
        <x:f>IF(G690="","",MAX(G690-H690,0))</x:f>
      </x:c>
      <x:c r="J690" s="210"/>
      <x:c r="K690" s="190"/>
      <x:c r="L690" s="208"/>
      <x:c r="M690" s="208"/>
      <x:c r="N690" s="208"/>
      <x:c r="O690" s="208"/>
      <x:c r="P690" s="190"/>
      <x:c r="Q690" s="190"/>
      <x:c r="R690" s="190"/>
      <x:c r="S690" s="190"/>
      <x:c r="T690" s="190"/>
      <x:c r="U690" s="190"/>
      <x:c r="V690" s="212"/>
      <x:c r="W690" s="212"/>
      <x:c r="X690" s="200"/>
      <x:c r="Y690" s="192"/>
      <x:c r="Z690" s="214"/>
      <x:c r="AA690" s="214"/>
      <x:c r="AB690" s="192"/>
      <x:c r="AC690" s="194"/>
      <x:c r="AD690" s="186" t="str">
        <x:f>IF(COUNTA(B690:H690)+COUNTA(J690:AC690)=0,"",IF(OR(B690="",D690="",E690="",G690="",J690=""),"缺少必填项",IF(H690&gt;G690,"完成数大于订单数",IF(AND(X690="",OR(Y690="排队",Y690="生产中",Y690="阻塞",Z690&lt;&gt;"",AA690&lt;&gt;"",AB690="是")),"已有排期字段缺少机台",IF(AND(X690&lt;&gt;"",Y690="待排"),"已填机台但状态为待排",IF(AND(Y690="生产中",AB690&lt;&gt;"是"),"需确认：生产中未锁定","可导入"))))))</x:f>
      </x:c>
    </x:row>
    <x:row r="691" ht="22" customHeight="1">
      <x:c r="A691" s="186" t="str">
        <x:f>IF(B691="","",ROW()-5)</x:f>
      </x:c>
      <x:c r="B691" s="196"/>
      <x:c r="C691" s="198"/>
      <x:c r="D691" s="196"/>
      <x:c r="E691" s="188"/>
      <x:c r="F691" s="198"/>
      <x:c r="G691" s="202"/>
      <x:c r="H691" s="204"/>
      <x:c r="I691" s="206" t="str">
        <x:f>IF(G691="","",MAX(G691-H691,0))</x:f>
      </x:c>
      <x:c r="J691" s="210"/>
      <x:c r="K691" s="190"/>
      <x:c r="L691" s="208"/>
      <x:c r="M691" s="208"/>
      <x:c r="N691" s="208"/>
      <x:c r="O691" s="208"/>
      <x:c r="P691" s="190"/>
      <x:c r="Q691" s="190"/>
      <x:c r="R691" s="190"/>
      <x:c r="S691" s="190"/>
      <x:c r="T691" s="190"/>
      <x:c r="U691" s="190"/>
      <x:c r="V691" s="212"/>
      <x:c r="W691" s="212"/>
      <x:c r="X691" s="200"/>
      <x:c r="Y691" s="192"/>
      <x:c r="Z691" s="214"/>
      <x:c r="AA691" s="214"/>
      <x:c r="AB691" s="192"/>
      <x:c r="AC691" s="194"/>
      <x:c r="AD691" s="186" t="str">
        <x:f>IF(COUNTA(B691:H691)+COUNTA(J691:AC691)=0,"",IF(OR(B691="",D691="",E691="",G691="",J691=""),"缺少必填项",IF(H691&gt;G691,"完成数大于订单数",IF(AND(X691="",OR(Y691="排队",Y691="生产中",Y691="阻塞",Z691&lt;&gt;"",AA691&lt;&gt;"",AB691="是")),"已有排期字段缺少机台",IF(AND(X691&lt;&gt;"",Y691="待排"),"已填机台但状态为待排",IF(AND(Y691="生产中",AB691&lt;&gt;"是"),"需确认：生产中未锁定","可导入"))))))</x:f>
      </x:c>
    </x:row>
    <x:row r="692" ht="22" customHeight="1">
      <x:c r="A692" s="186" t="str">
        <x:f>IF(B692="","",ROW()-5)</x:f>
      </x:c>
      <x:c r="B692" s="196"/>
      <x:c r="C692" s="198"/>
      <x:c r="D692" s="196"/>
      <x:c r="E692" s="188"/>
      <x:c r="F692" s="198"/>
      <x:c r="G692" s="202"/>
      <x:c r="H692" s="204"/>
      <x:c r="I692" s="206" t="str">
        <x:f>IF(G692="","",MAX(G692-H692,0))</x:f>
      </x:c>
      <x:c r="J692" s="210"/>
      <x:c r="K692" s="190"/>
      <x:c r="L692" s="208"/>
      <x:c r="M692" s="208"/>
      <x:c r="N692" s="208"/>
      <x:c r="O692" s="208"/>
      <x:c r="P692" s="190"/>
      <x:c r="Q692" s="190"/>
      <x:c r="R692" s="190"/>
      <x:c r="S692" s="190"/>
      <x:c r="T692" s="190"/>
      <x:c r="U692" s="190"/>
      <x:c r="V692" s="212"/>
      <x:c r="W692" s="212"/>
      <x:c r="X692" s="200"/>
      <x:c r="Y692" s="192"/>
      <x:c r="Z692" s="214"/>
      <x:c r="AA692" s="214"/>
      <x:c r="AB692" s="192"/>
      <x:c r="AC692" s="194"/>
      <x:c r="AD692" s="186" t="str">
        <x:f>IF(COUNTA(B692:H692)+COUNTA(J692:AC692)=0,"",IF(OR(B692="",D692="",E692="",G692="",J692=""),"缺少必填项",IF(H692&gt;G692,"完成数大于订单数",IF(AND(X692="",OR(Y692="排队",Y692="生产中",Y692="阻塞",Z692&lt;&gt;"",AA692&lt;&gt;"",AB692="是")),"已有排期字段缺少机台",IF(AND(X692&lt;&gt;"",Y692="待排"),"已填机台但状态为待排",IF(AND(Y692="生产中",AB692&lt;&gt;"是"),"需确认：生产中未锁定","可导入"))))))</x:f>
      </x:c>
    </x:row>
    <x:row r="693" ht="22" customHeight="1">
      <x:c r="A693" s="186" t="str">
        <x:f>IF(B693="","",ROW()-5)</x:f>
      </x:c>
      <x:c r="B693" s="196"/>
      <x:c r="C693" s="198"/>
      <x:c r="D693" s="196"/>
      <x:c r="E693" s="188"/>
      <x:c r="F693" s="198"/>
      <x:c r="G693" s="202"/>
      <x:c r="H693" s="204"/>
      <x:c r="I693" s="206" t="str">
        <x:f>IF(G693="","",MAX(G693-H693,0))</x:f>
      </x:c>
      <x:c r="J693" s="210"/>
      <x:c r="K693" s="190"/>
      <x:c r="L693" s="208"/>
      <x:c r="M693" s="208"/>
      <x:c r="N693" s="208"/>
      <x:c r="O693" s="208"/>
      <x:c r="P693" s="190"/>
      <x:c r="Q693" s="190"/>
      <x:c r="R693" s="190"/>
      <x:c r="S693" s="190"/>
      <x:c r="T693" s="190"/>
      <x:c r="U693" s="190"/>
      <x:c r="V693" s="212"/>
      <x:c r="W693" s="212"/>
      <x:c r="X693" s="200"/>
      <x:c r="Y693" s="192"/>
      <x:c r="Z693" s="214"/>
      <x:c r="AA693" s="214"/>
      <x:c r="AB693" s="192"/>
      <x:c r="AC693" s="194"/>
      <x:c r="AD693" s="186" t="str">
        <x:f>IF(COUNTA(B693:H693)+COUNTA(J693:AC693)=0,"",IF(OR(B693="",D693="",E693="",G693="",J693=""),"缺少必填项",IF(H693&gt;G693,"完成数大于订单数",IF(AND(X693="",OR(Y693="排队",Y693="生产中",Y693="阻塞",Z693&lt;&gt;"",AA693&lt;&gt;"",AB693="是")),"已有排期字段缺少机台",IF(AND(X693&lt;&gt;"",Y693="待排"),"已填机台但状态为待排",IF(AND(Y693="生产中",AB693&lt;&gt;"是"),"需确认：生产中未锁定","可导入"))))))</x:f>
      </x:c>
    </x:row>
    <x:row r="694" ht="22" customHeight="1">
      <x:c r="A694" s="186" t="str">
        <x:f>IF(B694="","",ROW()-5)</x:f>
      </x:c>
      <x:c r="B694" s="196"/>
      <x:c r="C694" s="198"/>
      <x:c r="D694" s="196"/>
      <x:c r="E694" s="188"/>
      <x:c r="F694" s="198"/>
      <x:c r="G694" s="202"/>
      <x:c r="H694" s="204"/>
      <x:c r="I694" s="206" t="str">
        <x:f>IF(G694="","",MAX(G694-H694,0))</x:f>
      </x:c>
      <x:c r="J694" s="210"/>
      <x:c r="K694" s="190"/>
      <x:c r="L694" s="208"/>
      <x:c r="M694" s="208"/>
      <x:c r="N694" s="208"/>
      <x:c r="O694" s="208"/>
      <x:c r="P694" s="190"/>
      <x:c r="Q694" s="190"/>
      <x:c r="R694" s="190"/>
      <x:c r="S694" s="190"/>
      <x:c r="T694" s="190"/>
      <x:c r="U694" s="190"/>
      <x:c r="V694" s="212"/>
      <x:c r="W694" s="212"/>
      <x:c r="X694" s="200"/>
      <x:c r="Y694" s="192"/>
      <x:c r="Z694" s="214"/>
      <x:c r="AA694" s="214"/>
      <x:c r="AB694" s="192"/>
      <x:c r="AC694" s="194"/>
      <x:c r="AD694" s="186" t="str">
        <x:f>IF(COUNTA(B694:H694)+COUNTA(J694:AC694)=0,"",IF(OR(B694="",D694="",E694="",G694="",J694=""),"缺少必填项",IF(H694&gt;G694,"完成数大于订单数",IF(AND(X694="",OR(Y694="排队",Y694="生产中",Y694="阻塞",Z694&lt;&gt;"",AA694&lt;&gt;"",AB694="是")),"已有排期字段缺少机台",IF(AND(X694&lt;&gt;"",Y694="待排"),"已填机台但状态为待排",IF(AND(Y694="生产中",AB694&lt;&gt;"是"),"需确认：生产中未锁定","可导入"))))))</x:f>
      </x:c>
    </x:row>
    <x:row r="695" ht="22" customHeight="1">
      <x:c r="A695" s="186" t="str">
        <x:f>IF(B695="","",ROW()-5)</x:f>
      </x:c>
      <x:c r="B695" s="196"/>
      <x:c r="C695" s="198"/>
      <x:c r="D695" s="196"/>
      <x:c r="E695" s="188"/>
      <x:c r="F695" s="198"/>
      <x:c r="G695" s="202"/>
      <x:c r="H695" s="204"/>
      <x:c r="I695" s="206" t="str">
        <x:f>IF(G695="","",MAX(G695-H695,0))</x:f>
      </x:c>
      <x:c r="J695" s="210"/>
      <x:c r="K695" s="190"/>
      <x:c r="L695" s="208"/>
      <x:c r="M695" s="208"/>
      <x:c r="N695" s="208"/>
      <x:c r="O695" s="208"/>
      <x:c r="P695" s="190"/>
      <x:c r="Q695" s="190"/>
      <x:c r="R695" s="190"/>
      <x:c r="S695" s="190"/>
      <x:c r="T695" s="190"/>
      <x:c r="U695" s="190"/>
      <x:c r="V695" s="212"/>
      <x:c r="W695" s="212"/>
      <x:c r="X695" s="200"/>
      <x:c r="Y695" s="192"/>
      <x:c r="Z695" s="214"/>
      <x:c r="AA695" s="214"/>
      <x:c r="AB695" s="192"/>
      <x:c r="AC695" s="194"/>
      <x:c r="AD695" s="186" t="str">
        <x:f>IF(COUNTA(B695:H695)+COUNTA(J695:AC695)=0,"",IF(OR(B695="",D695="",E695="",G695="",J695=""),"缺少必填项",IF(H695&gt;G695,"完成数大于订单数",IF(AND(X695="",OR(Y695="排队",Y695="生产中",Y695="阻塞",Z695&lt;&gt;"",AA695&lt;&gt;"",AB695="是")),"已有排期字段缺少机台",IF(AND(X695&lt;&gt;"",Y695="待排"),"已填机台但状态为待排",IF(AND(Y695="生产中",AB695&lt;&gt;"是"),"需确认：生产中未锁定","可导入"))))))</x:f>
      </x:c>
    </x:row>
    <x:row r="696" ht="22" customHeight="1">
      <x:c r="A696" s="186" t="str">
        <x:f>IF(B696="","",ROW()-5)</x:f>
      </x:c>
      <x:c r="B696" s="196"/>
      <x:c r="C696" s="198"/>
      <x:c r="D696" s="196"/>
      <x:c r="E696" s="188"/>
      <x:c r="F696" s="198"/>
      <x:c r="G696" s="202"/>
      <x:c r="H696" s="204"/>
      <x:c r="I696" s="206" t="str">
        <x:f>IF(G696="","",MAX(G696-H696,0))</x:f>
      </x:c>
      <x:c r="J696" s="210"/>
      <x:c r="K696" s="190"/>
      <x:c r="L696" s="208"/>
      <x:c r="M696" s="208"/>
      <x:c r="N696" s="208"/>
      <x:c r="O696" s="208"/>
      <x:c r="P696" s="190"/>
      <x:c r="Q696" s="190"/>
      <x:c r="R696" s="190"/>
      <x:c r="S696" s="190"/>
      <x:c r="T696" s="190"/>
      <x:c r="U696" s="190"/>
      <x:c r="V696" s="212"/>
      <x:c r="W696" s="212"/>
      <x:c r="X696" s="200"/>
      <x:c r="Y696" s="192"/>
      <x:c r="Z696" s="214"/>
      <x:c r="AA696" s="214"/>
      <x:c r="AB696" s="192"/>
      <x:c r="AC696" s="194"/>
      <x:c r="AD696" s="186" t="str">
        <x:f>IF(COUNTA(B696:H696)+COUNTA(J696:AC696)=0,"",IF(OR(B696="",D696="",E696="",G696="",J696=""),"缺少必填项",IF(H696&gt;G696,"完成数大于订单数",IF(AND(X696="",OR(Y696="排队",Y696="生产中",Y696="阻塞",Z696&lt;&gt;"",AA696&lt;&gt;"",AB696="是")),"已有排期字段缺少机台",IF(AND(X696&lt;&gt;"",Y696="待排"),"已填机台但状态为待排",IF(AND(Y696="生产中",AB696&lt;&gt;"是"),"需确认：生产中未锁定","可导入"))))))</x:f>
      </x:c>
    </x:row>
    <x:row r="697" ht="22" customHeight="1">
      <x:c r="A697" s="186" t="str">
        <x:f>IF(B697="","",ROW()-5)</x:f>
      </x:c>
      <x:c r="B697" s="196"/>
      <x:c r="C697" s="198"/>
      <x:c r="D697" s="196"/>
      <x:c r="E697" s="188"/>
      <x:c r="F697" s="198"/>
      <x:c r="G697" s="202"/>
      <x:c r="H697" s="204"/>
      <x:c r="I697" s="206" t="str">
        <x:f>IF(G697="","",MAX(G697-H697,0))</x:f>
      </x:c>
      <x:c r="J697" s="210"/>
      <x:c r="K697" s="190"/>
      <x:c r="L697" s="208"/>
      <x:c r="M697" s="208"/>
      <x:c r="N697" s="208"/>
      <x:c r="O697" s="208"/>
      <x:c r="P697" s="190"/>
      <x:c r="Q697" s="190"/>
      <x:c r="R697" s="190"/>
      <x:c r="S697" s="190"/>
      <x:c r="T697" s="190"/>
      <x:c r="U697" s="190"/>
      <x:c r="V697" s="212"/>
      <x:c r="W697" s="212"/>
      <x:c r="X697" s="200"/>
      <x:c r="Y697" s="192"/>
      <x:c r="Z697" s="214"/>
      <x:c r="AA697" s="214"/>
      <x:c r="AB697" s="192"/>
      <x:c r="AC697" s="194"/>
      <x:c r="AD697" s="186" t="str">
        <x:f>IF(COUNTA(B697:H697)+COUNTA(J697:AC697)=0,"",IF(OR(B697="",D697="",E697="",G697="",J697=""),"缺少必填项",IF(H697&gt;G697,"完成数大于订单数",IF(AND(X697="",OR(Y697="排队",Y697="生产中",Y697="阻塞",Z697&lt;&gt;"",AA697&lt;&gt;"",AB697="是")),"已有排期字段缺少机台",IF(AND(X697&lt;&gt;"",Y697="待排"),"已填机台但状态为待排",IF(AND(Y697="生产中",AB697&lt;&gt;"是"),"需确认：生产中未锁定","可导入"))))))</x:f>
      </x:c>
    </x:row>
    <x:row r="698" ht="22" customHeight="1">
      <x:c r="A698" s="186" t="str">
        <x:f>IF(B698="","",ROW()-5)</x:f>
      </x:c>
      <x:c r="B698" s="196"/>
      <x:c r="C698" s="198"/>
      <x:c r="D698" s="196"/>
      <x:c r="E698" s="188"/>
      <x:c r="F698" s="198"/>
      <x:c r="G698" s="202"/>
      <x:c r="H698" s="204"/>
      <x:c r="I698" s="206" t="str">
        <x:f>IF(G698="","",MAX(G698-H698,0))</x:f>
      </x:c>
      <x:c r="J698" s="210"/>
      <x:c r="K698" s="190"/>
      <x:c r="L698" s="208"/>
      <x:c r="M698" s="208"/>
      <x:c r="N698" s="208"/>
      <x:c r="O698" s="208"/>
      <x:c r="P698" s="190"/>
      <x:c r="Q698" s="190"/>
      <x:c r="R698" s="190"/>
      <x:c r="S698" s="190"/>
      <x:c r="T698" s="190"/>
      <x:c r="U698" s="190"/>
      <x:c r="V698" s="212"/>
      <x:c r="W698" s="212"/>
      <x:c r="X698" s="200"/>
      <x:c r="Y698" s="192"/>
      <x:c r="Z698" s="214"/>
      <x:c r="AA698" s="214"/>
      <x:c r="AB698" s="192"/>
      <x:c r="AC698" s="194"/>
      <x:c r="AD698" s="186" t="str">
        <x:f>IF(COUNTA(B698:H698)+COUNTA(J698:AC698)=0,"",IF(OR(B698="",D698="",E698="",G698="",J698=""),"缺少必填项",IF(H698&gt;G698,"完成数大于订单数",IF(AND(X698="",OR(Y698="排队",Y698="生产中",Y698="阻塞",Z698&lt;&gt;"",AA698&lt;&gt;"",AB698="是")),"已有排期字段缺少机台",IF(AND(X698&lt;&gt;"",Y698="待排"),"已填机台但状态为待排",IF(AND(Y698="生产中",AB698&lt;&gt;"是"),"需确认：生产中未锁定","可导入"))))))</x:f>
      </x:c>
    </x:row>
    <x:row r="699" ht="22" customHeight="1">
      <x:c r="A699" s="186" t="str">
        <x:f>IF(B699="","",ROW()-5)</x:f>
      </x:c>
      <x:c r="B699" s="196"/>
      <x:c r="C699" s="198"/>
      <x:c r="D699" s="196"/>
      <x:c r="E699" s="188"/>
      <x:c r="F699" s="198"/>
      <x:c r="G699" s="202"/>
      <x:c r="H699" s="204"/>
      <x:c r="I699" s="206" t="str">
        <x:f>IF(G699="","",MAX(G699-H699,0))</x:f>
      </x:c>
      <x:c r="J699" s="210"/>
      <x:c r="K699" s="190"/>
      <x:c r="L699" s="208"/>
      <x:c r="M699" s="208"/>
      <x:c r="N699" s="208"/>
      <x:c r="O699" s="208"/>
      <x:c r="P699" s="190"/>
      <x:c r="Q699" s="190"/>
      <x:c r="R699" s="190"/>
      <x:c r="S699" s="190"/>
      <x:c r="T699" s="190"/>
      <x:c r="U699" s="190"/>
      <x:c r="V699" s="212"/>
      <x:c r="W699" s="212"/>
      <x:c r="X699" s="200"/>
      <x:c r="Y699" s="192"/>
      <x:c r="Z699" s="214"/>
      <x:c r="AA699" s="214"/>
      <x:c r="AB699" s="192"/>
      <x:c r="AC699" s="194"/>
      <x:c r="AD699" s="186" t="str">
        <x:f>IF(COUNTA(B699:H699)+COUNTA(J699:AC699)=0,"",IF(OR(B699="",D699="",E699="",G699="",J699=""),"缺少必填项",IF(H699&gt;G699,"完成数大于订单数",IF(AND(X699="",OR(Y699="排队",Y699="生产中",Y699="阻塞",Z699&lt;&gt;"",AA699&lt;&gt;"",AB699="是")),"已有排期字段缺少机台",IF(AND(X699&lt;&gt;"",Y699="待排"),"已填机台但状态为待排",IF(AND(Y699="生产中",AB699&lt;&gt;"是"),"需确认：生产中未锁定","可导入"))))))</x:f>
      </x:c>
    </x:row>
    <x:row r="700" ht="22" customHeight="1">
      <x:c r="A700" s="186" t="str">
        <x:f>IF(B700="","",ROW()-5)</x:f>
      </x:c>
      <x:c r="B700" s="196"/>
      <x:c r="C700" s="198"/>
      <x:c r="D700" s="196"/>
      <x:c r="E700" s="188"/>
      <x:c r="F700" s="198"/>
      <x:c r="G700" s="202"/>
      <x:c r="H700" s="204"/>
      <x:c r="I700" s="206" t="str">
        <x:f>IF(G700="","",MAX(G700-H700,0))</x:f>
      </x:c>
      <x:c r="J700" s="210"/>
      <x:c r="K700" s="190"/>
      <x:c r="L700" s="208"/>
      <x:c r="M700" s="208"/>
      <x:c r="N700" s="208"/>
      <x:c r="O700" s="208"/>
      <x:c r="P700" s="190"/>
      <x:c r="Q700" s="190"/>
      <x:c r="R700" s="190"/>
      <x:c r="S700" s="190"/>
      <x:c r="T700" s="190"/>
      <x:c r="U700" s="190"/>
      <x:c r="V700" s="212"/>
      <x:c r="W700" s="212"/>
      <x:c r="X700" s="200"/>
      <x:c r="Y700" s="192"/>
      <x:c r="Z700" s="214"/>
      <x:c r="AA700" s="214"/>
      <x:c r="AB700" s="192"/>
      <x:c r="AC700" s="194"/>
      <x:c r="AD700" s="186" t="str">
        <x:f>IF(COUNTA(B700:H700)+COUNTA(J700:AC700)=0,"",IF(OR(B700="",D700="",E700="",G700="",J700=""),"缺少必填项",IF(H700&gt;G700,"完成数大于订单数",IF(AND(X700="",OR(Y700="排队",Y700="生产中",Y700="阻塞",Z700&lt;&gt;"",AA700&lt;&gt;"",AB700="是")),"已有排期字段缺少机台",IF(AND(X700&lt;&gt;"",Y700="待排"),"已填机台但状态为待排",IF(AND(Y700="生产中",AB700&lt;&gt;"是"),"需确认：生产中未锁定","可导入"))))))</x:f>
      </x:c>
    </x:row>
    <x:row r="701" ht="22" customHeight="1">
      <x:c r="A701" s="186" t="str">
        <x:f>IF(B701="","",ROW()-5)</x:f>
      </x:c>
      <x:c r="B701" s="196"/>
      <x:c r="C701" s="198"/>
      <x:c r="D701" s="196"/>
      <x:c r="E701" s="188"/>
      <x:c r="F701" s="198"/>
      <x:c r="G701" s="202"/>
      <x:c r="H701" s="204"/>
      <x:c r="I701" s="206" t="str">
        <x:f>IF(G701="","",MAX(G701-H701,0))</x:f>
      </x:c>
      <x:c r="J701" s="210"/>
      <x:c r="K701" s="190"/>
      <x:c r="L701" s="208"/>
      <x:c r="M701" s="208"/>
      <x:c r="N701" s="208"/>
      <x:c r="O701" s="208"/>
      <x:c r="P701" s="190"/>
      <x:c r="Q701" s="190"/>
      <x:c r="R701" s="190"/>
      <x:c r="S701" s="190"/>
      <x:c r="T701" s="190"/>
      <x:c r="U701" s="190"/>
      <x:c r="V701" s="212"/>
      <x:c r="W701" s="212"/>
      <x:c r="X701" s="200"/>
      <x:c r="Y701" s="192"/>
      <x:c r="Z701" s="214"/>
      <x:c r="AA701" s="214"/>
      <x:c r="AB701" s="192"/>
      <x:c r="AC701" s="194"/>
      <x:c r="AD701" s="186" t="str">
        <x:f>IF(COUNTA(B701:H701)+COUNTA(J701:AC701)=0,"",IF(OR(B701="",D701="",E701="",G701="",J701=""),"缺少必填项",IF(H701&gt;G701,"完成数大于订单数",IF(AND(X701="",OR(Y701="排队",Y701="生产中",Y701="阻塞",Z701&lt;&gt;"",AA701&lt;&gt;"",AB701="是")),"已有排期字段缺少机台",IF(AND(X701&lt;&gt;"",Y701="待排"),"已填机台但状态为待排",IF(AND(Y701="生产中",AB701&lt;&gt;"是"),"需确认：生产中未锁定","可导入"))))))</x:f>
      </x:c>
    </x:row>
    <x:row r="702" ht="22" customHeight="1">
      <x:c r="A702" s="186" t="str">
        <x:f>IF(B702="","",ROW()-5)</x:f>
      </x:c>
      <x:c r="B702" s="196"/>
      <x:c r="C702" s="198"/>
      <x:c r="D702" s="196"/>
      <x:c r="E702" s="188"/>
      <x:c r="F702" s="198"/>
      <x:c r="G702" s="202"/>
      <x:c r="H702" s="204"/>
      <x:c r="I702" s="206" t="str">
        <x:f>IF(G702="","",MAX(G702-H702,0))</x:f>
      </x:c>
      <x:c r="J702" s="210"/>
      <x:c r="K702" s="190"/>
      <x:c r="L702" s="208"/>
      <x:c r="M702" s="208"/>
      <x:c r="N702" s="208"/>
      <x:c r="O702" s="208"/>
      <x:c r="P702" s="190"/>
      <x:c r="Q702" s="190"/>
      <x:c r="R702" s="190"/>
      <x:c r="S702" s="190"/>
      <x:c r="T702" s="190"/>
      <x:c r="U702" s="190"/>
      <x:c r="V702" s="212"/>
      <x:c r="W702" s="212"/>
      <x:c r="X702" s="200"/>
      <x:c r="Y702" s="192"/>
      <x:c r="Z702" s="214"/>
      <x:c r="AA702" s="214"/>
      <x:c r="AB702" s="192"/>
      <x:c r="AC702" s="194"/>
      <x:c r="AD702" s="186" t="str">
        <x:f>IF(COUNTA(B702:H702)+COUNTA(J702:AC702)=0,"",IF(OR(B702="",D702="",E702="",G702="",J702=""),"缺少必填项",IF(H702&gt;G702,"完成数大于订单数",IF(AND(X702="",OR(Y702="排队",Y702="生产中",Y702="阻塞",Z702&lt;&gt;"",AA702&lt;&gt;"",AB702="是")),"已有排期字段缺少机台",IF(AND(X702&lt;&gt;"",Y702="待排"),"已填机台但状态为待排",IF(AND(Y702="生产中",AB702&lt;&gt;"是"),"需确认：生产中未锁定","可导入"))))))</x:f>
      </x:c>
    </x:row>
    <x:row r="703" ht="22" customHeight="1">
      <x:c r="A703" s="186" t="str">
        <x:f>IF(B703="","",ROW()-5)</x:f>
      </x:c>
      <x:c r="B703" s="196"/>
      <x:c r="C703" s="198"/>
      <x:c r="D703" s="196"/>
      <x:c r="E703" s="188"/>
      <x:c r="F703" s="198"/>
      <x:c r="G703" s="202"/>
      <x:c r="H703" s="204"/>
      <x:c r="I703" s="206" t="str">
        <x:f>IF(G703="","",MAX(G703-H703,0))</x:f>
      </x:c>
      <x:c r="J703" s="210"/>
      <x:c r="K703" s="190"/>
      <x:c r="L703" s="208"/>
      <x:c r="M703" s="208"/>
      <x:c r="N703" s="208"/>
      <x:c r="O703" s="208"/>
      <x:c r="P703" s="190"/>
      <x:c r="Q703" s="190"/>
      <x:c r="R703" s="190"/>
      <x:c r="S703" s="190"/>
      <x:c r="T703" s="190"/>
      <x:c r="U703" s="190"/>
      <x:c r="V703" s="212"/>
      <x:c r="W703" s="212"/>
      <x:c r="X703" s="200"/>
      <x:c r="Y703" s="192"/>
      <x:c r="Z703" s="214"/>
      <x:c r="AA703" s="214"/>
      <x:c r="AB703" s="192"/>
      <x:c r="AC703" s="194"/>
      <x:c r="AD703" s="186" t="str">
        <x:f>IF(COUNTA(B703:H703)+COUNTA(J703:AC703)=0,"",IF(OR(B703="",D703="",E703="",G703="",J703=""),"缺少必填项",IF(H703&gt;G703,"完成数大于订单数",IF(AND(X703="",OR(Y703="排队",Y703="生产中",Y703="阻塞",Z703&lt;&gt;"",AA703&lt;&gt;"",AB703="是")),"已有排期字段缺少机台",IF(AND(X703&lt;&gt;"",Y703="待排"),"已填机台但状态为待排",IF(AND(Y703="生产中",AB703&lt;&gt;"是"),"需确认：生产中未锁定","可导入"))))))</x:f>
      </x:c>
    </x:row>
    <x:row r="704" ht="22" customHeight="1">
      <x:c r="A704" s="186" t="str">
        <x:f>IF(B704="","",ROW()-5)</x:f>
      </x:c>
      <x:c r="B704" s="196"/>
      <x:c r="C704" s="198"/>
      <x:c r="D704" s="196"/>
      <x:c r="E704" s="188"/>
      <x:c r="F704" s="198"/>
      <x:c r="G704" s="202"/>
      <x:c r="H704" s="204"/>
      <x:c r="I704" s="206" t="str">
        <x:f>IF(G704="","",MAX(G704-H704,0))</x:f>
      </x:c>
      <x:c r="J704" s="210"/>
      <x:c r="K704" s="190"/>
      <x:c r="L704" s="208"/>
      <x:c r="M704" s="208"/>
      <x:c r="N704" s="208"/>
      <x:c r="O704" s="208"/>
      <x:c r="P704" s="190"/>
      <x:c r="Q704" s="190"/>
      <x:c r="R704" s="190"/>
      <x:c r="S704" s="190"/>
      <x:c r="T704" s="190"/>
      <x:c r="U704" s="190"/>
      <x:c r="V704" s="212"/>
      <x:c r="W704" s="212"/>
      <x:c r="X704" s="200"/>
      <x:c r="Y704" s="192"/>
      <x:c r="Z704" s="214"/>
      <x:c r="AA704" s="214"/>
      <x:c r="AB704" s="192"/>
      <x:c r="AC704" s="194"/>
      <x:c r="AD704" s="186" t="str">
        <x:f>IF(COUNTA(B704:H704)+COUNTA(J704:AC704)=0,"",IF(OR(B704="",D704="",E704="",G704="",J704=""),"缺少必填项",IF(H704&gt;G704,"完成数大于订单数",IF(AND(X704="",OR(Y704="排队",Y704="生产中",Y704="阻塞",Z704&lt;&gt;"",AA704&lt;&gt;"",AB704="是")),"已有排期字段缺少机台",IF(AND(X704&lt;&gt;"",Y704="待排"),"已填机台但状态为待排",IF(AND(Y704="生产中",AB704&lt;&gt;"是"),"需确认：生产中未锁定","可导入"))))))</x:f>
      </x:c>
    </x:row>
    <x:row r="705" ht="22" customHeight="1">
      <x:c r="A705" s="186" t="str">
        <x:f>IF(B705="","",ROW()-5)</x:f>
      </x:c>
      <x:c r="B705" s="196"/>
      <x:c r="C705" s="198"/>
      <x:c r="D705" s="196"/>
      <x:c r="E705" s="188"/>
      <x:c r="F705" s="198"/>
      <x:c r="G705" s="202"/>
      <x:c r="H705" s="204"/>
      <x:c r="I705" s="206" t="str">
        <x:f>IF(G705="","",MAX(G705-H705,0))</x:f>
      </x:c>
      <x:c r="J705" s="210"/>
      <x:c r="K705" s="190"/>
      <x:c r="L705" s="208"/>
      <x:c r="M705" s="208"/>
      <x:c r="N705" s="208"/>
      <x:c r="O705" s="208"/>
      <x:c r="P705" s="190"/>
      <x:c r="Q705" s="190"/>
      <x:c r="R705" s="190"/>
      <x:c r="S705" s="190"/>
      <x:c r="T705" s="190"/>
      <x:c r="U705" s="190"/>
      <x:c r="V705" s="212"/>
      <x:c r="W705" s="212"/>
      <x:c r="X705" s="200"/>
      <x:c r="Y705" s="192"/>
      <x:c r="Z705" s="214"/>
      <x:c r="AA705" s="214"/>
      <x:c r="AB705" s="192"/>
      <x:c r="AC705" s="194"/>
      <x:c r="AD705" s="186" t="str">
        <x:f>IF(COUNTA(B705:H705)+COUNTA(J705:AC705)=0,"",IF(OR(B705="",D705="",E705="",G705="",J705=""),"缺少必填项",IF(H705&gt;G705,"完成数大于订单数",IF(AND(X705="",OR(Y705="排队",Y705="生产中",Y705="阻塞",Z705&lt;&gt;"",AA705&lt;&gt;"",AB705="是")),"已有排期字段缺少机台",IF(AND(X705&lt;&gt;"",Y705="待排"),"已填机台但状态为待排",IF(AND(Y705="生产中",AB705&lt;&gt;"是"),"需确认：生产中未锁定","可导入"))))))</x:f>
      </x:c>
    </x:row>
    <x:row r="706" ht="22" customHeight="1">
      <x:c r="A706" s="186" t="str">
        <x:f>IF(B706="","",ROW()-5)</x:f>
      </x:c>
      <x:c r="B706" s="196"/>
      <x:c r="C706" s="198"/>
      <x:c r="D706" s="196"/>
      <x:c r="E706" s="188"/>
      <x:c r="F706" s="198"/>
      <x:c r="G706" s="202"/>
      <x:c r="H706" s="204"/>
      <x:c r="I706" s="206" t="str">
        <x:f>IF(G706="","",MAX(G706-H706,0))</x:f>
      </x:c>
      <x:c r="J706" s="210"/>
      <x:c r="K706" s="190"/>
      <x:c r="L706" s="208"/>
      <x:c r="M706" s="208"/>
      <x:c r="N706" s="208"/>
      <x:c r="O706" s="208"/>
      <x:c r="P706" s="190"/>
      <x:c r="Q706" s="190"/>
      <x:c r="R706" s="190"/>
      <x:c r="S706" s="190"/>
      <x:c r="T706" s="190"/>
      <x:c r="U706" s="190"/>
      <x:c r="V706" s="212"/>
      <x:c r="W706" s="212"/>
      <x:c r="X706" s="200"/>
      <x:c r="Y706" s="192"/>
      <x:c r="Z706" s="214"/>
      <x:c r="AA706" s="214"/>
      <x:c r="AB706" s="192"/>
      <x:c r="AC706" s="194"/>
      <x:c r="AD706" s="186" t="str">
        <x:f>IF(COUNTA(B706:H706)+COUNTA(J706:AC706)=0,"",IF(OR(B706="",D706="",E706="",G706="",J706=""),"缺少必填项",IF(H706&gt;G706,"完成数大于订单数",IF(AND(X706="",OR(Y706="排队",Y706="生产中",Y706="阻塞",Z706&lt;&gt;"",AA706&lt;&gt;"",AB706="是")),"已有排期字段缺少机台",IF(AND(X706&lt;&gt;"",Y706="待排"),"已填机台但状态为待排",IF(AND(Y706="生产中",AB706&lt;&gt;"是"),"需确认：生产中未锁定","可导入"))))))</x:f>
      </x:c>
    </x:row>
    <x:row r="707" ht="22" customHeight="1">
      <x:c r="A707" s="186" t="str">
        <x:f>IF(B707="","",ROW()-5)</x:f>
      </x:c>
      <x:c r="B707" s="196"/>
      <x:c r="C707" s="198"/>
      <x:c r="D707" s="196"/>
      <x:c r="E707" s="188"/>
      <x:c r="F707" s="198"/>
      <x:c r="G707" s="202"/>
      <x:c r="H707" s="204"/>
      <x:c r="I707" s="206" t="str">
        <x:f>IF(G707="","",MAX(G707-H707,0))</x:f>
      </x:c>
      <x:c r="J707" s="210"/>
      <x:c r="K707" s="190"/>
      <x:c r="L707" s="208"/>
      <x:c r="M707" s="208"/>
      <x:c r="N707" s="208"/>
      <x:c r="O707" s="208"/>
      <x:c r="P707" s="190"/>
      <x:c r="Q707" s="190"/>
      <x:c r="R707" s="190"/>
      <x:c r="S707" s="190"/>
      <x:c r="T707" s="190"/>
      <x:c r="U707" s="190"/>
      <x:c r="V707" s="212"/>
      <x:c r="W707" s="212"/>
      <x:c r="X707" s="200"/>
      <x:c r="Y707" s="192"/>
      <x:c r="Z707" s="214"/>
      <x:c r="AA707" s="214"/>
      <x:c r="AB707" s="192"/>
      <x:c r="AC707" s="194"/>
      <x:c r="AD707" s="186" t="str">
        <x:f>IF(COUNTA(B707:H707)+COUNTA(J707:AC707)=0,"",IF(OR(B707="",D707="",E707="",G707="",J707=""),"缺少必填项",IF(H707&gt;G707,"完成数大于订单数",IF(AND(X707="",OR(Y707="排队",Y707="生产中",Y707="阻塞",Z707&lt;&gt;"",AA707&lt;&gt;"",AB707="是")),"已有排期字段缺少机台",IF(AND(X707&lt;&gt;"",Y707="待排"),"已填机台但状态为待排",IF(AND(Y707="生产中",AB707&lt;&gt;"是"),"需确认：生产中未锁定","可导入"))))))</x:f>
      </x:c>
    </x:row>
    <x:row r="708" ht="22" customHeight="1">
      <x:c r="A708" s="186" t="str">
        <x:f>IF(B708="","",ROW()-5)</x:f>
      </x:c>
      <x:c r="B708" s="196"/>
      <x:c r="C708" s="198"/>
      <x:c r="D708" s="196"/>
      <x:c r="E708" s="188"/>
      <x:c r="F708" s="198"/>
      <x:c r="G708" s="202"/>
      <x:c r="H708" s="204"/>
      <x:c r="I708" s="206" t="str">
        <x:f>IF(G708="","",MAX(G708-H708,0))</x:f>
      </x:c>
      <x:c r="J708" s="210"/>
      <x:c r="K708" s="190"/>
      <x:c r="L708" s="208"/>
      <x:c r="M708" s="208"/>
      <x:c r="N708" s="208"/>
      <x:c r="O708" s="208"/>
      <x:c r="P708" s="190"/>
      <x:c r="Q708" s="190"/>
      <x:c r="R708" s="190"/>
      <x:c r="S708" s="190"/>
      <x:c r="T708" s="190"/>
      <x:c r="U708" s="190"/>
      <x:c r="V708" s="212"/>
      <x:c r="W708" s="212"/>
      <x:c r="X708" s="200"/>
      <x:c r="Y708" s="192"/>
      <x:c r="Z708" s="214"/>
      <x:c r="AA708" s="214"/>
      <x:c r="AB708" s="192"/>
      <x:c r="AC708" s="194"/>
      <x:c r="AD708" s="186" t="str">
        <x:f>IF(COUNTA(B708:H708)+COUNTA(J708:AC708)=0,"",IF(OR(B708="",D708="",E708="",G708="",J708=""),"缺少必填项",IF(H708&gt;G708,"完成数大于订单数",IF(AND(X708="",OR(Y708="排队",Y708="生产中",Y708="阻塞",Z708&lt;&gt;"",AA708&lt;&gt;"",AB708="是")),"已有排期字段缺少机台",IF(AND(X708&lt;&gt;"",Y708="待排"),"已填机台但状态为待排",IF(AND(Y708="生产中",AB708&lt;&gt;"是"),"需确认：生产中未锁定","可导入"))))))</x:f>
      </x:c>
    </x:row>
    <x:row r="709" ht="22" customHeight="1">
      <x:c r="A709" s="186" t="str">
        <x:f>IF(B709="","",ROW()-5)</x:f>
      </x:c>
      <x:c r="B709" s="196"/>
      <x:c r="C709" s="198"/>
      <x:c r="D709" s="196"/>
      <x:c r="E709" s="188"/>
      <x:c r="F709" s="198"/>
      <x:c r="G709" s="202"/>
      <x:c r="H709" s="204"/>
      <x:c r="I709" s="206" t="str">
        <x:f>IF(G709="","",MAX(G709-H709,0))</x:f>
      </x:c>
      <x:c r="J709" s="210"/>
      <x:c r="K709" s="190"/>
      <x:c r="L709" s="208"/>
      <x:c r="M709" s="208"/>
      <x:c r="N709" s="208"/>
      <x:c r="O709" s="208"/>
      <x:c r="P709" s="190"/>
      <x:c r="Q709" s="190"/>
      <x:c r="R709" s="190"/>
      <x:c r="S709" s="190"/>
      <x:c r="T709" s="190"/>
      <x:c r="U709" s="190"/>
      <x:c r="V709" s="212"/>
      <x:c r="W709" s="212"/>
      <x:c r="X709" s="200"/>
      <x:c r="Y709" s="192"/>
      <x:c r="Z709" s="214"/>
      <x:c r="AA709" s="214"/>
      <x:c r="AB709" s="192"/>
      <x:c r="AC709" s="194"/>
      <x:c r="AD709" s="186" t="str">
        <x:f>IF(COUNTA(B709:H709)+COUNTA(J709:AC709)=0,"",IF(OR(B709="",D709="",E709="",G709="",J709=""),"缺少必填项",IF(H709&gt;G709,"完成数大于订单数",IF(AND(X709="",OR(Y709="排队",Y709="生产中",Y709="阻塞",Z709&lt;&gt;"",AA709&lt;&gt;"",AB709="是")),"已有排期字段缺少机台",IF(AND(X709&lt;&gt;"",Y709="待排"),"已填机台但状态为待排",IF(AND(Y709="生产中",AB709&lt;&gt;"是"),"需确认：生产中未锁定","可导入"))))))</x:f>
      </x:c>
    </x:row>
    <x:row r="710" ht="22" customHeight="1">
      <x:c r="A710" s="186" t="str">
        <x:f>IF(B710="","",ROW()-5)</x:f>
      </x:c>
      <x:c r="B710" s="196"/>
      <x:c r="C710" s="198"/>
      <x:c r="D710" s="196"/>
      <x:c r="E710" s="188"/>
      <x:c r="F710" s="198"/>
      <x:c r="G710" s="202"/>
      <x:c r="H710" s="204"/>
      <x:c r="I710" s="206" t="str">
        <x:f>IF(G710="","",MAX(G710-H710,0))</x:f>
      </x:c>
      <x:c r="J710" s="210"/>
      <x:c r="K710" s="190"/>
      <x:c r="L710" s="208"/>
      <x:c r="M710" s="208"/>
      <x:c r="N710" s="208"/>
      <x:c r="O710" s="208"/>
      <x:c r="P710" s="190"/>
      <x:c r="Q710" s="190"/>
      <x:c r="R710" s="190"/>
      <x:c r="S710" s="190"/>
      <x:c r="T710" s="190"/>
      <x:c r="U710" s="190"/>
      <x:c r="V710" s="212"/>
      <x:c r="W710" s="212"/>
      <x:c r="X710" s="200"/>
      <x:c r="Y710" s="192"/>
      <x:c r="Z710" s="214"/>
      <x:c r="AA710" s="214"/>
      <x:c r="AB710" s="192"/>
      <x:c r="AC710" s="194"/>
      <x:c r="AD710" s="186" t="str">
        <x:f>IF(COUNTA(B710:H710)+COUNTA(J710:AC710)=0,"",IF(OR(B710="",D710="",E710="",G710="",J710=""),"缺少必填项",IF(H710&gt;G710,"完成数大于订单数",IF(AND(X710="",OR(Y710="排队",Y710="生产中",Y710="阻塞",Z710&lt;&gt;"",AA710&lt;&gt;"",AB710="是")),"已有排期字段缺少机台",IF(AND(X710&lt;&gt;"",Y710="待排"),"已填机台但状态为待排",IF(AND(Y710="生产中",AB710&lt;&gt;"是"),"需确认：生产中未锁定","可导入"))))))</x:f>
      </x:c>
    </x:row>
    <x:row r="711" ht="22" customHeight="1">
      <x:c r="A711" s="186" t="str">
        <x:f>IF(B711="","",ROW()-5)</x:f>
      </x:c>
      <x:c r="B711" s="196"/>
      <x:c r="C711" s="198"/>
      <x:c r="D711" s="196"/>
      <x:c r="E711" s="188"/>
      <x:c r="F711" s="198"/>
      <x:c r="G711" s="202"/>
      <x:c r="H711" s="204"/>
      <x:c r="I711" s="206" t="str">
        <x:f>IF(G711="","",MAX(G711-H711,0))</x:f>
      </x:c>
      <x:c r="J711" s="210"/>
      <x:c r="K711" s="190"/>
      <x:c r="L711" s="208"/>
      <x:c r="M711" s="208"/>
      <x:c r="N711" s="208"/>
      <x:c r="O711" s="208"/>
      <x:c r="P711" s="190"/>
      <x:c r="Q711" s="190"/>
      <x:c r="R711" s="190"/>
      <x:c r="S711" s="190"/>
      <x:c r="T711" s="190"/>
      <x:c r="U711" s="190"/>
      <x:c r="V711" s="212"/>
      <x:c r="W711" s="212"/>
      <x:c r="X711" s="200"/>
      <x:c r="Y711" s="192"/>
      <x:c r="Z711" s="214"/>
      <x:c r="AA711" s="214"/>
      <x:c r="AB711" s="192"/>
      <x:c r="AC711" s="194"/>
      <x:c r="AD711" s="186" t="str">
        <x:f>IF(COUNTA(B711:H711)+COUNTA(J711:AC711)=0,"",IF(OR(B711="",D711="",E711="",G711="",J711=""),"缺少必填项",IF(H711&gt;G711,"完成数大于订单数",IF(AND(X711="",OR(Y711="排队",Y711="生产中",Y711="阻塞",Z711&lt;&gt;"",AA711&lt;&gt;"",AB711="是")),"已有排期字段缺少机台",IF(AND(X711&lt;&gt;"",Y711="待排"),"已填机台但状态为待排",IF(AND(Y711="生产中",AB711&lt;&gt;"是"),"需确认：生产中未锁定","可导入"))))))</x:f>
      </x:c>
    </x:row>
    <x:row r="712" ht="22" customHeight="1">
      <x:c r="A712" s="186" t="str">
        <x:f>IF(B712="","",ROW()-5)</x:f>
      </x:c>
      <x:c r="B712" s="196"/>
      <x:c r="C712" s="198"/>
      <x:c r="D712" s="196"/>
      <x:c r="E712" s="188"/>
      <x:c r="F712" s="198"/>
      <x:c r="G712" s="202"/>
      <x:c r="H712" s="204"/>
      <x:c r="I712" s="206" t="str">
        <x:f>IF(G712="","",MAX(G712-H712,0))</x:f>
      </x:c>
      <x:c r="J712" s="210"/>
      <x:c r="K712" s="190"/>
      <x:c r="L712" s="208"/>
      <x:c r="M712" s="208"/>
      <x:c r="N712" s="208"/>
      <x:c r="O712" s="208"/>
      <x:c r="P712" s="190"/>
      <x:c r="Q712" s="190"/>
      <x:c r="R712" s="190"/>
      <x:c r="S712" s="190"/>
      <x:c r="T712" s="190"/>
      <x:c r="U712" s="190"/>
      <x:c r="V712" s="212"/>
      <x:c r="W712" s="212"/>
      <x:c r="X712" s="200"/>
      <x:c r="Y712" s="192"/>
      <x:c r="Z712" s="214"/>
      <x:c r="AA712" s="214"/>
      <x:c r="AB712" s="192"/>
      <x:c r="AC712" s="194"/>
      <x:c r="AD712" s="186" t="str">
        <x:f>IF(COUNTA(B712:H712)+COUNTA(J712:AC712)=0,"",IF(OR(B712="",D712="",E712="",G712="",J712=""),"缺少必填项",IF(H712&gt;G712,"完成数大于订单数",IF(AND(X712="",OR(Y712="排队",Y712="生产中",Y712="阻塞",Z712&lt;&gt;"",AA712&lt;&gt;"",AB712="是")),"已有排期字段缺少机台",IF(AND(X712&lt;&gt;"",Y712="待排"),"已填机台但状态为待排",IF(AND(Y712="生产中",AB712&lt;&gt;"是"),"需确认：生产中未锁定","可导入"))))))</x:f>
      </x:c>
    </x:row>
    <x:row r="713" ht="22" customHeight="1">
      <x:c r="A713" s="186" t="str">
        <x:f>IF(B713="","",ROW()-5)</x:f>
      </x:c>
      <x:c r="B713" s="196"/>
      <x:c r="C713" s="198"/>
      <x:c r="D713" s="196"/>
      <x:c r="E713" s="188"/>
      <x:c r="F713" s="198"/>
      <x:c r="G713" s="202"/>
      <x:c r="H713" s="204"/>
      <x:c r="I713" s="206" t="str">
        <x:f>IF(G713="","",MAX(G713-H713,0))</x:f>
      </x:c>
      <x:c r="J713" s="210"/>
      <x:c r="K713" s="190"/>
      <x:c r="L713" s="208"/>
      <x:c r="M713" s="208"/>
      <x:c r="N713" s="208"/>
      <x:c r="O713" s="208"/>
      <x:c r="P713" s="190"/>
      <x:c r="Q713" s="190"/>
      <x:c r="R713" s="190"/>
      <x:c r="S713" s="190"/>
      <x:c r="T713" s="190"/>
      <x:c r="U713" s="190"/>
      <x:c r="V713" s="212"/>
      <x:c r="W713" s="212"/>
      <x:c r="X713" s="200"/>
      <x:c r="Y713" s="192"/>
      <x:c r="Z713" s="214"/>
      <x:c r="AA713" s="214"/>
      <x:c r="AB713" s="192"/>
      <x:c r="AC713" s="194"/>
      <x:c r="AD713" s="186" t="str">
        <x:f>IF(COUNTA(B713:H713)+COUNTA(J713:AC713)=0,"",IF(OR(B713="",D713="",E713="",G713="",J713=""),"缺少必填项",IF(H713&gt;G713,"完成数大于订单数",IF(AND(X713="",OR(Y713="排队",Y713="生产中",Y713="阻塞",Z713&lt;&gt;"",AA713&lt;&gt;"",AB713="是")),"已有排期字段缺少机台",IF(AND(X713&lt;&gt;"",Y713="待排"),"已填机台但状态为待排",IF(AND(Y713="生产中",AB713&lt;&gt;"是"),"需确认：生产中未锁定","可导入"))))))</x:f>
      </x:c>
    </x:row>
    <x:row r="714" ht="22" customHeight="1">
      <x:c r="A714" s="186" t="str">
        <x:f>IF(B714="","",ROW()-5)</x:f>
      </x:c>
      <x:c r="B714" s="196"/>
      <x:c r="C714" s="198"/>
      <x:c r="D714" s="196"/>
      <x:c r="E714" s="188"/>
      <x:c r="F714" s="198"/>
      <x:c r="G714" s="202"/>
      <x:c r="H714" s="204"/>
      <x:c r="I714" s="206" t="str">
        <x:f>IF(G714="","",MAX(G714-H714,0))</x:f>
      </x:c>
      <x:c r="J714" s="210"/>
      <x:c r="K714" s="190"/>
      <x:c r="L714" s="208"/>
      <x:c r="M714" s="208"/>
      <x:c r="N714" s="208"/>
      <x:c r="O714" s="208"/>
      <x:c r="P714" s="190"/>
      <x:c r="Q714" s="190"/>
      <x:c r="R714" s="190"/>
      <x:c r="S714" s="190"/>
      <x:c r="T714" s="190"/>
      <x:c r="U714" s="190"/>
      <x:c r="V714" s="212"/>
      <x:c r="W714" s="212"/>
      <x:c r="X714" s="200"/>
      <x:c r="Y714" s="192"/>
      <x:c r="Z714" s="214"/>
      <x:c r="AA714" s="214"/>
      <x:c r="AB714" s="192"/>
      <x:c r="AC714" s="194"/>
      <x:c r="AD714" s="186" t="str">
        <x:f>IF(COUNTA(B714:H714)+COUNTA(J714:AC714)=0,"",IF(OR(B714="",D714="",E714="",G714="",J714=""),"缺少必填项",IF(H714&gt;G714,"完成数大于订单数",IF(AND(X714="",OR(Y714="排队",Y714="生产中",Y714="阻塞",Z714&lt;&gt;"",AA714&lt;&gt;"",AB714="是")),"已有排期字段缺少机台",IF(AND(X714&lt;&gt;"",Y714="待排"),"已填机台但状态为待排",IF(AND(Y714="生产中",AB714&lt;&gt;"是"),"需确认：生产中未锁定","可导入"))))))</x:f>
      </x:c>
    </x:row>
    <x:row r="715" ht="22" customHeight="1">
      <x:c r="A715" s="186" t="str">
        <x:f>IF(B715="","",ROW()-5)</x:f>
      </x:c>
      <x:c r="B715" s="196"/>
      <x:c r="C715" s="198"/>
      <x:c r="D715" s="196"/>
      <x:c r="E715" s="188"/>
      <x:c r="F715" s="198"/>
      <x:c r="G715" s="202"/>
      <x:c r="H715" s="204"/>
      <x:c r="I715" s="206" t="str">
        <x:f>IF(G715="","",MAX(G715-H715,0))</x:f>
      </x:c>
      <x:c r="J715" s="210"/>
      <x:c r="K715" s="190"/>
      <x:c r="L715" s="208"/>
      <x:c r="M715" s="208"/>
      <x:c r="N715" s="208"/>
      <x:c r="O715" s="208"/>
      <x:c r="P715" s="190"/>
      <x:c r="Q715" s="190"/>
      <x:c r="R715" s="190"/>
      <x:c r="S715" s="190"/>
      <x:c r="T715" s="190"/>
      <x:c r="U715" s="190"/>
      <x:c r="V715" s="212"/>
      <x:c r="W715" s="212"/>
      <x:c r="X715" s="200"/>
      <x:c r="Y715" s="192"/>
      <x:c r="Z715" s="214"/>
      <x:c r="AA715" s="214"/>
      <x:c r="AB715" s="192"/>
      <x:c r="AC715" s="194"/>
      <x:c r="AD715" s="186" t="str">
        <x:f>IF(COUNTA(B715:H715)+COUNTA(J715:AC715)=0,"",IF(OR(B715="",D715="",E715="",G715="",J715=""),"缺少必填项",IF(H715&gt;G715,"完成数大于订单数",IF(AND(X715="",OR(Y715="排队",Y715="生产中",Y715="阻塞",Z715&lt;&gt;"",AA715&lt;&gt;"",AB715="是")),"已有排期字段缺少机台",IF(AND(X715&lt;&gt;"",Y715="待排"),"已填机台但状态为待排",IF(AND(Y715="生产中",AB715&lt;&gt;"是"),"需确认：生产中未锁定","可导入"))))))</x:f>
      </x:c>
    </x:row>
    <x:row r="716" ht="22" customHeight="1">
      <x:c r="A716" s="186" t="str">
        <x:f>IF(B716="","",ROW()-5)</x:f>
      </x:c>
      <x:c r="B716" s="196"/>
      <x:c r="C716" s="198"/>
      <x:c r="D716" s="196"/>
      <x:c r="E716" s="188"/>
      <x:c r="F716" s="198"/>
      <x:c r="G716" s="202"/>
      <x:c r="H716" s="204"/>
      <x:c r="I716" s="206" t="str">
        <x:f>IF(G716="","",MAX(G716-H716,0))</x:f>
      </x:c>
      <x:c r="J716" s="210"/>
      <x:c r="K716" s="190"/>
      <x:c r="L716" s="208"/>
      <x:c r="M716" s="208"/>
      <x:c r="N716" s="208"/>
      <x:c r="O716" s="208"/>
      <x:c r="P716" s="190"/>
      <x:c r="Q716" s="190"/>
      <x:c r="R716" s="190"/>
      <x:c r="S716" s="190"/>
      <x:c r="T716" s="190"/>
      <x:c r="U716" s="190"/>
      <x:c r="V716" s="212"/>
      <x:c r="W716" s="212"/>
      <x:c r="X716" s="200"/>
      <x:c r="Y716" s="192"/>
      <x:c r="Z716" s="214"/>
      <x:c r="AA716" s="214"/>
      <x:c r="AB716" s="192"/>
      <x:c r="AC716" s="194"/>
      <x:c r="AD716" s="186" t="str">
        <x:f>IF(COUNTA(B716:H716)+COUNTA(J716:AC716)=0,"",IF(OR(B716="",D716="",E716="",G716="",J716=""),"缺少必填项",IF(H716&gt;G716,"完成数大于订单数",IF(AND(X716="",OR(Y716="排队",Y716="生产中",Y716="阻塞",Z716&lt;&gt;"",AA716&lt;&gt;"",AB716="是")),"已有排期字段缺少机台",IF(AND(X716&lt;&gt;"",Y716="待排"),"已填机台但状态为待排",IF(AND(Y716="生产中",AB716&lt;&gt;"是"),"需确认：生产中未锁定","可导入"))))))</x:f>
      </x:c>
    </x:row>
    <x:row r="717" ht="22" customHeight="1">
      <x:c r="A717" s="186" t="str">
        <x:f>IF(B717="","",ROW()-5)</x:f>
      </x:c>
      <x:c r="B717" s="196"/>
      <x:c r="C717" s="198"/>
      <x:c r="D717" s="196"/>
      <x:c r="E717" s="188"/>
      <x:c r="F717" s="198"/>
      <x:c r="G717" s="202"/>
      <x:c r="H717" s="204"/>
      <x:c r="I717" s="206" t="str">
        <x:f>IF(G717="","",MAX(G717-H717,0))</x:f>
      </x:c>
      <x:c r="J717" s="210"/>
      <x:c r="K717" s="190"/>
      <x:c r="L717" s="208"/>
      <x:c r="M717" s="208"/>
      <x:c r="N717" s="208"/>
      <x:c r="O717" s="208"/>
      <x:c r="P717" s="190"/>
      <x:c r="Q717" s="190"/>
      <x:c r="R717" s="190"/>
      <x:c r="S717" s="190"/>
      <x:c r="T717" s="190"/>
      <x:c r="U717" s="190"/>
      <x:c r="V717" s="212"/>
      <x:c r="W717" s="212"/>
      <x:c r="X717" s="200"/>
      <x:c r="Y717" s="192"/>
      <x:c r="Z717" s="214"/>
      <x:c r="AA717" s="214"/>
      <x:c r="AB717" s="192"/>
      <x:c r="AC717" s="194"/>
      <x:c r="AD717" s="186" t="str">
        <x:f>IF(COUNTA(B717:H717)+COUNTA(J717:AC717)=0,"",IF(OR(B717="",D717="",E717="",G717="",J717=""),"缺少必填项",IF(H717&gt;G717,"完成数大于订单数",IF(AND(X717="",OR(Y717="排队",Y717="生产中",Y717="阻塞",Z717&lt;&gt;"",AA717&lt;&gt;"",AB717="是")),"已有排期字段缺少机台",IF(AND(X717&lt;&gt;"",Y717="待排"),"已填机台但状态为待排",IF(AND(Y717="生产中",AB717&lt;&gt;"是"),"需确认：生产中未锁定","可导入"))))))</x:f>
      </x:c>
    </x:row>
    <x:row r="718" ht="22" customHeight="1">
      <x:c r="A718" s="186" t="str">
        <x:f>IF(B718="","",ROW()-5)</x:f>
      </x:c>
      <x:c r="B718" s="196"/>
      <x:c r="C718" s="198"/>
      <x:c r="D718" s="196"/>
      <x:c r="E718" s="188"/>
      <x:c r="F718" s="198"/>
      <x:c r="G718" s="202"/>
      <x:c r="H718" s="204"/>
      <x:c r="I718" s="206" t="str">
        <x:f>IF(G718="","",MAX(G718-H718,0))</x:f>
      </x:c>
      <x:c r="J718" s="210"/>
      <x:c r="K718" s="190"/>
      <x:c r="L718" s="208"/>
      <x:c r="M718" s="208"/>
      <x:c r="N718" s="208"/>
      <x:c r="O718" s="208"/>
      <x:c r="P718" s="190"/>
      <x:c r="Q718" s="190"/>
      <x:c r="R718" s="190"/>
      <x:c r="S718" s="190"/>
      <x:c r="T718" s="190"/>
      <x:c r="U718" s="190"/>
      <x:c r="V718" s="212"/>
      <x:c r="W718" s="212"/>
      <x:c r="X718" s="200"/>
      <x:c r="Y718" s="192"/>
      <x:c r="Z718" s="214"/>
      <x:c r="AA718" s="214"/>
      <x:c r="AB718" s="192"/>
      <x:c r="AC718" s="194"/>
      <x:c r="AD718" s="186" t="str">
        <x:f>IF(COUNTA(B718:H718)+COUNTA(J718:AC718)=0,"",IF(OR(B718="",D718="",E718="",G718="",J718=""),"缺少必填项",IF(H718&gt;G718,"完成数大于订单数",IF(AND(X718="",OR(Y718="排队",Y718="生产中",Y718="阻塞",Z718&lt;&gt;"",AA718&lt;&gt;"",AB718="是")),"已有排期字段缺少机台",IF(AND(X718&lt;&gt;"",Y718="待排"),"已填机台但状态为待排",IF(AND(Y718="生产中",AB718&lt;&gt;"是"),"需确认：生产中未锁定","可导入"))))))</x:f>
      </x:c>
    </x:row>
    <x:row r="719" ht="22" customHeight="1">
      <x:c r="A719" s="186" t="str">
        <x:f>IF(B719="","",ROW()-5)</x:f>
      </x:c>
      <x:c r="B719" s="196"/>
      <x:c r="C719" s="198"/>
      <x:c r="D719" s="196"/>
      <x:c r="E719" s="188"/>
      <x:c r="F719" s="198"/>
      <x:c r="G719" s="202"/>
      <x:c r="H719" s="204"/>
      <x:c r="I719" s="206" t="str">
        <x:f>IF(G719="","",MAX(G719-H719,0))</x:f>
      </x:c>
      <x:c r="J719" s="210"/>
      <x:c r="K719" s="190"/>
      <x:c r="L719" s="208"/>
      <x:c r="M719" s="208"/>
      <x:c r="N719" s="208"/>
      <x:c r="O719" s="208"/>
      <x:c r="P719" s="190"/>
      <x:c r="Q719" s="190"/>
      <x:c r="R719" s="190"/>
      <x:c r="S719" s="190"/>
      <x:c r="T719" s="190"/>
      <x:c r="U719" s="190"/>
      <x:c r="V719" s="212"/>
      <x:c r="W719" s="212"/>
      <x:c r="X719" s="200"/>
      <x:c r="Y719" s="192"/>
      <x:c r="Z719" s="214"/>
      <x:c r="AA719" s="214"/>
      <x:c r="AB719" s="192"/>
      <x:c r="AC719" s="194"/>
      <x:c r="AD719" s="186" t="str">
        <x:f>IF(COUNTA(B719:H719)+COUNTA(J719:AC719)=0,"",IF(OR(B719="",D719="",E719="",G719="",J719=""),"缺少必填项",IF(H719&gt;G719,"完成数大于订单数",IF(AND(X719="",OR(Y719="排队",Y719="生产中",Y719="阻塞",Z719&lt;&gt;"",AA719&lt;&gt;"",AB719="是")),"已有排期字段缺少机台",IF(AND(X719&lt;&gt;"",Y719="待排"),"已填机台但状态为待排",IF(AND(Y719="生产中",AB719&lt;&gt;"是"),"需确认：生产中未锁定","可导入"))))))</x:f>
      </x:c>
    </x:row>
    <x:row r="720" ht="22" customHeight="1">
      <x:c r="A720" s="186" t="str">
        <x:f>IF(B720="","",ROW()-5)</x:f>
      </x:c>
      <x:c r="B720" s="196"/>
      <x:c r="C720" s="198"/>
      <x:c r="D720" s="196"/>
      <x:c r="E720" s="188"/>
      <x:c r="F720" s="198"/>
      <x:c r="G720" s="202"/>
      <x:c r="H720" s="204"/>
      <x:c r="I720" s="206" t="str">
        <x:f>IF(G720="","",MAX(G720-H720,0))</x:f>
      </x:c>
      <x:c r="J720" s="210"/>
      <x:c r="K720" s="190"/>
      <x:c r="L720" s="208"/>
      <x:c r="M720" s="208"/>
      <x:c r="N720" s="208"/>
      <x:c r="O720" s="208"/>
      <x:c r="P720" s="190"/>
      <x:c r="Q720" s="190"/>
      <x:c r="R720" s="190"/>
      <x:c r="S720" s="190"/>
      <x:c r="T720" s="190"/>
      <x:c r="U720" s="190"/>
      <x:c r="V720" s="212"/>
      <x:c r="W720" s="212"/>
      <x:c r="X720" s="200"/>
      <x:c r="Y720" s="192"/>
      <x:c r="Z720" s="214"/>
      <x:c r="AA720" s="214"/>
      <x:c r="AB720" s="192"/>
      <x:c r="AC720" s="194"/>
      <x:c r="AD720" s="186" t="str">
        <x:f>IF(COUNTA(B720:H720)+COUNTA(J720:AC720)=0,"",IF(OR(B720="",D720="",E720="",G720="",J720=""),"缺少必填项",IF(H720&gt;G720,"完成数大于订单数",IF(AND(X720="",OR(Y720="排队",Y720="生产中",Y720="阻塞",Z720&lt;&gt;"",AA720&lt;&gt;"",AB720="是")),"已有排期字段缺少机台",IF(AND(X720&lt;&gt;"",Y720="待排"),"已填机台但状态为待排",IF(AND(Y720="生产中",AB720&lt;&gt;"是"),"需确认：生产中未锁定","可导入"))))))</x:f>
      </x:c>
    </x:row>
    <x:row r="721" ht="22" customHeight="1">
      <x:c r="A721" s="186" t="str">
        <x:f>IF(B721="","",ROW()-5)</x:f>
      </x:c>
      <x:c r="B721" s="196"/>
      <x:c r="C721" s="198"/>
      <x:c r="D721" s="196"/>
      <x:c r="E721" s="188"/>
      <x:c r="F721" s="198"/>
      <x:c r="G721" s="202"/>
      <x:c r="H721" s="204"/>
      <x:c r="I721" s="206" t="str">
        <x:f>IF(G721="","",MAX(G721-H721,0))</x:f>
      </x:c>
      <x:c r="J721" s="210"/>
      <x:c r="K721" s="190"/>
      <x:c r="L721" s="208"/>
      <x:c r="M721" s="208"/>
      <x:c r="N721" s="208"/>
      <x:c r="O721" s="208"/>
      <x:c r="P721" s="190"/>
      <x:c r="Q721" s="190"/>
      <x:c r="R721" s="190"/>
      <x:c r="S721" s="190"/>
      <x:c r="T721" s="190"/>
      <x:c r="U721" s="190"/>
      <x:c r="V721" s="212"/>
      <x:c r="W721" s="212"/>
      <x:c r="X721" s="200"/>
      <x:c r="Y721" s="192"/>
      <x:c r="Z721" s="214"/>
      <x:c r="AA721" s="214"/>
      <x:c r="AB721" s="192"/>
      <x:c r="AC721" s="194"/>
      <x:c r="AD721" s="186" t="str">
        <x:f>IF(COUNTA(B721:H721)+COUNTA(J721:AC721)=0,"",IF(OR(B721="",D721="",E721="",G721="",J721=""),"缺少必填项",IF(H721&gt;G721,"完成数大于订单数",IF(AND(X721="",OR(Y721="排队",Y721="生产中",Y721="阻塞",Z721&lt;&gt;"",AA721&lt;&gt;"",AB721="是")),"已有排期字段缺少机台",IF(AND(X721&lt;&gt;"",Y721="待排"),"已填机台但状态为待排",IF(AND(Y721="生产中",AB721&lt;&gt;"是"),"需确认：生产中未锁定","可导入"))))))</x:f>
      </x:c>
    </x:row>
    <x:row r="722" ht="22" customHeight="1">
      <x:c r="A722" s="186" t="str">
        <x:f>IF(B722="","",ROW()-5)</x:f>
      </x:c>
      <x:c r="B722" s="196"/>
      <x:c r="C722" s="198"/>
      <x:c r="D722" s="196"/>
      <x:c r="E722" s="188"/>
      <x:c r="F722" s="198"/>
      <x:c r="G722" s="202"/>
      <x:c r="H722" s="204"/>
      <x:c r="I722" s="206" t="str">
        <x:f>IF(G722="","",MAX(G722-H722,0))</x:f>
      </x:c>
      <x:c r="J722" s="210"/>
      <x:c r="K722" s="190"/>
      <x:c r="L722" s="208"/>
      <x:c r="M722" s="208"/>
      <x:c r="N722" s="208"/>
      <x:c r="O722" s="208"/>
      <x:c r="P722" s="190"/>
      <x:c r="Q722" s="190"/>
      <x:c r="R722" s="190"/>
      <x:c r="S722" s="190"/>
      <x:c r="T722" s="190"/>
      <x:c r="U722" s="190"/>
      <x:c r="V722" s="212"/>
      <x:c r="W722" s="212"/>
      <x:c r="X722" s="200"/>
      <x:c r="Y722" s="192"/>
      <x:c r="Z722" s="214"/>
      <x:c r="AA722" s="214"/>
      <x:c r="AB722" s="192"/>
      <x:c r="AC722" s="194"/>
      <x:c r="AD722" s="186" t="str">
        <x:f>IF(COUNTA(B722:H722)+COUNTA(J722:AC722)=0,"",IF(OR(B722="",D722="",E722="",G722="",J722=""),"缺少必填项",IF(H722&gt;G722,"完成数大于订单数",IF(AND(X722="",OR(Y722="排队",Y722="生产中",Y722="阻塞",Z722&lt;&gt;"",AA722&lt;&gt;"",AB722="是")),"已有排期字段缺少机台",IF(AND(X722&lt;&gt;"",Y722="待排"),"已填机台但状态为待排",IF(AND(Y722="生产中",AB722&lt;&gt;"是"),"需确认：生产中未锁定","可导入"))))))</x:f>
      </x:c>
    </x:row>
    <x:row r="723" ht="22" customHeight="1">
      <x:c r="A723" s="186" t="str">
        <x:f>IF(B723="","",ROW()-5)</x:f>
      </x:c>
      <x:c r="B723" s="196"/>
      <x:c r="C723" s="198"/>
      <x:c r="D723" s="196"/>
      <x:c r="E723" s="188"/>
      <x:c r="F723" s="198"/>
      <x:c r="G723" s="202"/>
      <x:c r="H723" s="204"/>
      <x:c r="I723" s="206" t="str">
        <x:f>IF(G723="","",MAX(G723-H723,0))</x:f>
      </x:c>
      <x:c r="J723" s="210"/>
      <x:c r="K723" s="190"/>
      <x:c r="L723" s="208"/>
      <x:c r="M723" s="208"/>
      <x:c r="N723" s="208"/>
      <x:c r="O723" s="208"/>
      <x:c r="P723" s="190"/>
      <x:c r="Q723" s="190"/>
      <x:c r="R723" s="190"/>
      <x:c r="S723" s="190"/>
      <x:c r="T723" s="190"/>
      <x:c r="U723" s="190"/>
      <x:c r="V723" s="212"/>
      <x:c r="W723" s="212"/>
      <x:c r="X723" s="200"/>
      <x:c r="Y723" s="192"/>
      <x:c r="Z723" s="214"/>
      <x:c r="AA723" s="214"/>
      <x:c r="AB723" s="192"/>
      <x:c r="AC723" s="194"/>
      <x:c r="AD723" s="186" t="str">
        <x:f>IF(COUNTA(B723:H723)+COUNTA(J723:AC723)=0,"",IF(OR(B723="",D723="",E723="",G723="",J723=""),"缺少必填项",IF(H723&gt;G723,"完成数大于订单数",IF(AND(X723="",OR(Y723="排队",Y723="生产中",Y723="阻塞",Z723&lt;&gt;"",AA723&lt;&gt;"",AB723="是")),"已有排期字段缺少机台",IF(AND(X723&lt;&gt;"",Y723="待排"),"已填机台但状态为待排",IF(AND(Y723="生产中",AB723&lt;&gt;"是"),"需确认：生产中未锁定","可导入"))))))</x:f>
      </x:c>
    </x:row>
    <x:row r="724" ht="22" customHeight="1">
      <x:c r="A724" s="186" t="str">
        <x:f>IF(B724="","",ROW()-5)</x:f>
      </x:c>
      <x:c r="B724" s="196"/>
      <x:c r="C724" s="198"/>
      <x:c r="D724" s="196"/>
      <x:c r="E724" s="188"/>
      <x:c r="F724" s="198"/>
      <x:c r="G724" s="202"/>
      <x:c r="H724" s="204"/>
      <x:c r="I724" s="206" t="str">
        <x:f>IF(G724="","",MAX(G724-H724,0))</x:f>
      </x:c>
      <x:c r="J724" s="210"/>
      <x:c r="K724" s="190"/>
      <x:c r="L724" s="208"/>
      <x:c r="M724" s="208"/>
      <x:c r="N724" s="208"/>
      <x:c r="O724" s="208"/>
      <x:c r="P724" s="190"/>
      <x:c r="Q724" s="190"/>
      <x:c r="R724" s="190"/>
      <x:c r="S724" s="190"/>
      <x:c r="T724" s="190"/>
      <x:c r="U724" s="190"/>
      <x:c r="V724" s="212"/>
      <x:c r="W724" s="212"/>
      <x:c r="X724" s="200"/>
      <x:c r="Y724" s="192"/>
      <x:c r="Z724" s="214"/>
      <x:c r="AA724" s="214"/>
      <x:c r="AB724" s="192"/>
      <x:c r="AC724" s="194"/>
      <x:c r="AD724" s="186" t="str">
        <x:f>IF(COUNTA(B724:H724)+COUNTA(J724:AC724)=0,"",IF(OR(B724="",D724="",E724="",G724="",J724=""),"缺少必填项",IF(H724&gt;G724,"完成数大于订单数",IF(AND(X724="",OR(Y724="排队",Y724="生产中",Y724="阻塞",Z724&lt;&gt;"",AA724&lt;&gt;"",AB724="是")),"已有排期字段缺少机台",IF(AND(X724&lt;&gt;"",Y724="待排"),"已填机台但状态为待排",IF(AND(Y724="生产中",AB724&lt;&gt;"是"),"需确认：生产中未锁定","可导入"))))))</x:f>
      </x:c>
    </x:row>
    <x:row r="725" ht="22" customHeight="1">
      <x:c r="A725" s="186" t="str">
        <x:f>IF(B725="","",ROW()-5)</x:f>
      </x:c>
      <x:c r="B725" s="196"/>
      <x:c r="C725" s="198"/>
      <x:c r="D725" s="196"/>
      <x:c r="E725" s="188"/>
      <x:c r="F725" s="198"/>
      <x:c r="G725" s="202"/>
      <x:c r="H725" s="204"/>
      <x:c r="I725" s="206" t="str">
        <x:f>IF(G725="","",MAX(G725-H725,0))</x:f>
      </x:c>
      <x:c r="J725" s="210"/>
      <x:c r="K725" s="190"/>
      <x:c r="L725" s="208"/>
      <x:c r="M725" s="208"/>
      <x:c r="N725" s="208"/>
      <x:c r="O725" s="208"/>
      <x:c r="P725" s="190"/>
      <x:c r="Q725" s="190"/>
      <x:c r="R725" s="190"/>
      <x:c r="S725" s="190"/>
      <x:c r="T725" s="190"/>
      <x:c r="U725" s="190"/>
      <x:c r="V725" s="212"/>
      <x:c r="W725" s="212"/>
      <x:c r="X725" s="200"/>
      <x:c r="Y725" s="192"/>
      <x:c r="Z725" s="214"/>
      <x:c r="AA725" s="214"/>
      <x:c r="AB725" s="192"/>
      <x:c r="AC725" s="194"/>
      <x:c r="AD725" s="186" t="str">
        <x:f>IF(COUNTA(B725:H725)+COUNTA(J725:AC725)=0,"",IF(OR(B725="",D725="",E725="",G725="",J725=""),"缺少必填项",IF(H725&gt;G725,"完成数大于订单数",IF(AND(X725="",OR(Y725="排队",Y725="生产中",Y725="阻塞",Z725&lt;&gt;"",AA725&lt;&gt;"",AB725="是")),"已有排期字段缺少机台",IF(AND(X725&lt;&gt;"",Y725="待排"),"已填机台但状态为待排",IF(AND(Y725="生产中",AB725&lt;&gt;"是"),"需确认：生产中未锁定","可导入"))))))</x:f>
      </x:c>
    </x:row>
    <x:row r="726" ht="22" customHeight="1">
      <x:c r="A726" s="186" t="str">
        <x:f>IF(B726="","",ROW()-5)</x:f>
      </x:c>
      <x:c r="B726" s="196"/>
      <x:c r="C726" s="198"/>
      <x:c r="D726" s="196"/>
      <x:c r="E726" s="188"/>
      <x:c r="F726" s="198"/>
      <x:c r="G726" s="202"/>
      <x:c r="H726" s="204"/>
      <x:c r="I726" s="206" t="str">
        <x:f>IF(G726="","",MAX(G726-H726,0))</x:f>
      </x:c>
      <x:c r="J726" s="210"/>
      <x:c r="K726" s="190"/>
      <x:c r="L726" s="208"/>
      <x:c r="M726" s="208"/>
      <x:c r="N726" s="208"/>
      <x:c r="O726" s="208"/>
      <x:c r="P726" s="190"/>
      <x:c r="Q726" s="190"/>
      <x:c r="R726" s="190"/>
      <x:c r="S726" s="190"/>
      <x:c r="T726" s="190"/>
      <x:c r="U726" s="190"/>
      <x:c r="V726" s="212"/>
      <x:c r="W726" s="212"/>
      <x:c r="X726" s="200"/>
      <x:c r="Y726" s="192"/>
      <x:c r="Z726" s="214"/>
      <x:c r="AA726" s="214"/>
      <x:c r="AB726" s="192"/>
      <x:c r="AC726" s="194"/>
      <x:c r="AD726" s="186" t="str">
        <x:f>IF(COUNTA(B726:H726)+COUNTA(J726:AC726)=0,"",IF(OR(B726="",D726="",E726="",G726="",J726=""),"缺少必填项",IF(H726&gt;G726,"完成数大于订单数",IF(AND(X726="",OR(Y726="排队",Y726="生产中",Y726="阻塞",Z726&lt;&gt;"",AA726&lt;&gt;"",AB726="是")),"已有排期字段缺少机台",IF(AND(X726&lt;&gt;"",Y726="待排"),"已填机台但状态为待排",IF(AND(Y726="生产中",AB726&lt;&gt;"是"),"需确认：生产中未锁定","可导入"))))))</x:f>
      </x:c>
    </x:row>
    <x:row r="727" ht="22" customHeight="1">
      <x:c r="A727" s="186" t="str">
        <x:f>IF(B727="","",ROW()-5)</x:f>
      </x:c>
      <x:c r="B727" s="196"/>
      <x:c r="C727" s="198"/>
      <x:c r="D727" s="196"/>
      <x:c r="E727" s="188"/>
      <x:c r="F727" s="198"/>
      <x:c r="G727" s="202"/>
      <x:c r="H727" s="204"/>
      <x:c r="I727" s="206" t="str">
        <x:f>IF(G727="","",MAX(G727-H727,0))</x:f>
      </x:c>
      <x:c r="J727" s="210"/>
      <x:c r="K727" s="190"/>
      <x:c r="L727" s="208"/>
      <x:c r="M727" s="208"/>
      <x:c r="N727" s="208"/>
      <x:c r="O727" s="208"/>
      <x:c r="P727" s="190"/>
      <x:c r="Q727" s="190"/>
      <x:c r="R727" s="190"/>
      <x:c r="S727" s="190"/>
      <x:c r="T727" s="190"/>
      <x:c r="U727" s="190"/>
      <x:c r="V727" s="212"/>
      <x:c r="W727" s="212"/>
      <x:c r="X727" s="200"/>
      <x:c r="Y727" s="192"/>
      <x:c r="Z727" s="214"/>
      <x:c r="AA727" s="214"/>
      <x:c r="AB727" s="192"/>
      <x:c r="AC727" s="194"/>
      <x:c r="AD727" s="186" t="str">
        <x:f>IF(COUNTA(B727:H727)+COUNTA(J727:AC727)=0,"",IF(OR(B727="",D727="",E727="",G727="",J727=""),"缺少必填项",IF(H727&gt;G727,"完成数大于订单数",IF(AND(X727="",OR(Y727="排队",Y727="生产中",Y727="阻塞",Z727&lt;&gt;"",AA727&lt;&gt;"",AB727="是")),"已有排期字段缺少机台",IF(AND(X727&lt;&gt;"",Y727="待排"),"已填机台但状态为待排",IF(AND(Y727="生产中",AB727&lt;&gt;"是"),"需确认：生产中未锁定","可导入"))))))</x:f>
      </x:c>
    </x:row>
    <x:row r="728" ht="22" customHeight="1">
      <x:c r="A728" s="186" t="str">
        <x:f>IF(B728="","",ROW()-5)</x:f>
      </x:c>
      <x:c r="B728" s="196"/>
      <x:c r="C728" s="198"/>
      <x:c r="D728" s="196"/>
      <x:c r="E728" s="188"/>
      <x:c r="F728" s="198"/>
      <x:c r="G728" s="202"/>
      <x:c r="H728" s="204"/>
      <x:c r="I728" s="206" t="str">
        <x:f>IF(G728="","",MAX(G728-H728,0))</x:f>
      </x:c>
      <x:c r="J728" s="210"/>
      <x:c r="K728" s="190"/>
      <x:c r="L728" s="208"/>
      <x:c r="M728" s="208"/>
      <x:c r="N728" s="208"/>
      <x:c r="O728" s="208"/>
      <x:c r="P728" s="190"/>
      <x:c r="Q728" s="190"/>
      <x:c r="R728" s="190"/>
      <x:c r="S728" s="190"/>
      <x:c r="T728" s="190"/>
      <x:c r="U728" s="190"/>
      <x:c r="V728" s="212"/>
      <x:c r="W728" s="212"/>
      <x:c r="X728" s="200"/>
      <x:c r="Y728" s="192"/>
      <x:c r="Z728" s="214"/>
      <x:c r="AA728" s="214"/>
      <x:c r="AB728" s="192"/>
      <x:c r="AC728" s="194"/>
      <x:c r="AD728" s="186" t="str">
        <x:f>IF(COUNTA(B728:H728)+COUNTA(J728:AC728)=0,"",IF(OR(B728="",D728="",E728="",G728="",J728=""),"缺少必填项",IF(H728&gt;G728,"完成数大于订单数",IF(AND(X728="",OR(Y728="排队",Y728="生产中",Y728="阻塞",Z728&lt;&gt;"",AA728&lt;&gt;"",AB728="是")),"已有排期字段缺少机台",IF(AND(X728&lt;&gt;"",Y728="待排"),"已填机台但状态为待排",IF(AND(Y728="生产中",AB728&lt;&gt;"是"),"需确认：生产中未锁定","可导入"))))))</x:f>
      </x:c>
    </x:row>
    <x:row r="729" ht="22" customHeight="1">
      <x:c r="A729" s="186" t="str">
        <x:f>IF(B729="","",ROW()-5)</x:f>
      </x:c>
      <x:c r="B729" s="196"/>
      <x:c r="C729" s="198"/>
      <x:c r="D729" s="196"/>
      <x:c r="E729" s="188"/>
      <x:c r="F729" s="198"/>
      <x:c r="G729" s="202"/>
      <x:c r="H729" s="204"/>
      <x:c r="I729" s="206" t="str">
        <x:f>IF(G729="","",MAX(G729-H729,0))</x:f>
      </x:c>
      <x:c r="J729" s="210"/>
      <x:c r="K729" s="190"/>
      <x:c r="L729" s="208"/>
      <x:c r="M729" s="208"/>
      <x:c r="N729" s="208"/>
      <x:c r="O729" s="208"/>
      <x:c r="P729" s="190"/>
      <x:c r="Q729" s="190"/>
      <x:c r="R729" s="190"/>
      <x:c r="S729" s="190"/>
      <x:c r="T729" s="190"/>
      <x:c r="U729" s="190"/>
      <x:c r="V729" s="212"/>
      <x:c r="W729" s="212"/>
      <x:c r="X729" s="200"/>
      <x:c r="Y729" s="192"/>
      <x:c r="Z729" s="214"/>
      <x:c r="AA729" s="214"/>
      <x:c r="AB729" s="192"/>
      <x:c r="AC729" s="194"/>
      <x:c r="AD729" s="186" t="str">
        <x:f>IF(COUNTA(B729:H729)+COUNTA(J729:AC729)=0,"",IF(OR(B729="",D729="",E729="",G729="",J729=""),"缺少必填项",IF(H729&gt;G729,"完成数大于订单数",IF(AND(X729="",OR(Y729="排队",Y729="生产中",Y729="阻塞",Z729&lt;&gt;"",AA729&lt;&gt;"",AB729="是")),"已有排期字段缺少机台",IF(AND(X729&lt;&gt;"",Y729="待排"),"已填机台但状态为待排",IF(AND(Y729="生产中",AB729&lt;&gt;"是"),"需确认：生产中未锁定","可导入"))))))</x:f>
      </x:c>
    </x:row>
    <x:row r="730" ht="22" customHeight="1">
      <x:c r="A730" s="186" t="str">
        <x:f>IF(B730="","",ROW()-5)</x:f>
      </x:c>
      <x:c r="B730" s="196"/>
      <x:c r="C730" s="198"/>
      <x:c r="D730" s="196"/>
      <x:c r="E730" s="188"/>
      <x:c r="F730" s="198"/>
      <x:c r="G730" s="202"/>
      <x:c r="H730" s="204"/>
      <x:c r="I730" s="206" t="str">
        <x:f>IF(G730="","",MAX(G730-H730,0))</x:f>
      </x:c>
      <x:c r="J730" s="210"/>
      <x:c r="K730" s="190"/>
      <x:c r="L730" s="208"/>
      <x:c r="M730" s="208"/>
      <x:c r="N730" s="208"/>
      <x:c r="O730" s="208"/>
      <x:c r="P730" s="190"/>
      <x:c r="Q730" s="190"/>
      <x:c r="R730" s="190"/>
      <x:c r="S730" s="190"/>
      <x:c r="T730" s="190"/>
      <x:c r="U730" s="190"/>
      <x:c r="V730" s="212"/>
      <x:c r="W730" s="212"/>
      <x:c r="X730" s="200"/>
      <x:c r="Y730" s="192"/>
      <x:c r="Z730" s="214"/>
      <x:c r="AA730" s="214"/>
      <x:c r="AB730" s="192"/>
      <x:c r="AC730" s="194"/>
      <x:c r="AD730" s="186" t="str">
        <x:f>IF(COUNTA(B730:H730)+COUNTA(J730:AC730)=0,"",IF(OR(B730="",D730="",E730="",G730="",J730=""),"缺少必填项",IF(H730&gt;G730,"完成数大于订单数",IF(AND(X730="",OR(Y730="排队",Y730="生产中",Y730="阻塞",Z730&lt;&gt;"",AA730&lt;&gt;"",AB730="是")),"已有排期字段缺少机台",IF(AND(X730&lt;&gt;"",Y730="待排"),"已填机台但状态为待排",IF(AND(Y730="生产中",AB730&lt;&gt;"是"),"需确认：生产中未锁定","可导入"))))))</x:f>
      </x:c>
    </x:row>
    <x:row r="731" ht="22" customHeight="1">
      <x:c r="A731" s="186" t="str">
        <x:f>IF(B731="","",ROW()-5)</x:f>
      </x:c>
      <x:c r="B731" s="196"/>
      <x:c r="C731" s="198"/>
      <x:c r="D731" s="196"/>
      <x:c r="E731" s="188"/>
      <x:c r="F731" s="198"/>
      <x:c r="G731" s="202"/>
      <x:c r="H731" s="204"/>
      <x:c r="I731" s="206" t="str">
        <x:f>IF(G731="","",MAX(G731-H731,0))</x:f>
      </x:c>
      <x:c r="J731" s="210"/>
      <x:c r="K731" s="190"/>
      <x:c r="L731" s="208"/>
      <x:c r="M731" s="208"/>
      <x:c r="N731" s="208"/>
      <x:c r="O731" s="208"/>
      <x:c r="P731" s="190"/>
      <x:c r="Q731" s="190"/>
      <x:c r="R731" s="190"/>
      <x:c r="S731" s="190"/>
      <x:c r="T731" s="190"/>
      <x:c r="U731" s="190"/>
      <x:c r="V731" s="212"/>
      <x:c r="W731" s="212"/>
      <x:c r="X731" s="200"/>
      <x:c r="Y731" s="192"/>
      <x:c r="Z731" s="214"/>
      <x:c r="AA731" s="214"/>
      <x:c r="AB731" s="192"/>
      <x:c r="AC731" s="194"/>
      <x:c r="AD731" s="186" t="str">
        <x:f>IF(COUNTA(B731:H731)+COUNTA(J731:AC731)=0,"",IF(OR(B731="",D731="",E731="",G731="",J731=""),"缺少必填项",IF(H731&gt;G731,"完成数大于订单数",IF(AND(X731="",OR(Y731="排队",Y731="生产中",Y731="阻塞",Z731&lt;&gt;"",AA731&lt;&gt;"",AB731="是")),"已有排期字段缺少机台",IF(AND(X731&lt;&gt;"",Y731="待排"),"已填机台但状态为待排",IF(AND(Y731="生产中",AB731&lt;&gt;"是"),"需确认：生产中未锁定","可导入"))))))</x:f>
      </x:c>
    </x:row>
    <x:row r="732" ht="22" customHeight="1">
      <x:c r="A732" s="186" t="str">
        <x:f>IF(B732="","",ROW()-5)</x:f>
      </x:c>
      <x:c r="B732" s="196"/>
      <x:c r="C732" s="198"/>
      <x:c r="D732" s="196"/>
      <x:c r="E732" s="188"/>
      <x:c r="F732" s="198"/>
      <x:c r="G732" s="202"/>
      <x:c r="H732" s="204"/>
      <x:c r="I732" s="206" t="str">
        <x:f>IF(G732="","",MAX(G732-H732,0))</x:f>
      </x:c>
      <x:c r="J732" s="210"/>
      <x:c r="K732" s="190"/>
      <x:c r="L732" s="208"/>
      <x:c r="M732" s="208"/>
      <x:c r="N732" s="208"/>
      <x:c r="O732" s="208"/>
      <x:c r="P732" s="190"/>
      <x:c r="Q732" s="190"/>
      <x:c r="R732" s="190"/>
      <x:c r="S732" s="190"/>
      <x:c r="T732" s="190"/>
      <x:c r="U732" s="190"/>
      <x:c r="V732" s="212"/>
      <x:c r="W732" s="212"/>
      <x:c r="X732" s="200"/>
      <x:c r="Y732" s="192"/>
      <x:c r="Z732" s="214"/>
      <x:c r="AA732" s="214"/>
      <x:c r="AB732" s="192"/>
      <x:c r="AC732" s="194"/>
      <x:c r="AD732" s="186" t="str">
        <x:f>IF(COUNTA(B732:H732)+COUNTA(J732:AC732)=0,"",IF(OR(B732="",D732="",E732="",G732="",J732=""),"缺少必填项",IF(H732&gt;G732,"完成数大于订单数",IF(AND(X732="",OR(Y732="排队",Y732="生产中",Y732="阻塞",Z732&lt;&gt;"",AA732&lt;&gt;"",AB732="是")),"已有排期字段缺少机台",IF(AND(X732&lt;&gt;"",Y732="待排"),"已填机台但状态为待排",IF(AND(Y732="生产中",AB732&lt;&gt;"是"),"需确认：生产中未锁定","可导入"))))))</x:f>
      </x:c>
    </x:row>
    <x:row r="733" ht="22" customHeight="1">
      <x:c r="A733" s="186" t="str">
        <x:f>IF(B733="","",ROW()-5)</x:f>
      </x:c>
      <x:c r="B733" s="196"/>
      <x:c r="C733" s="198"/>
      <x:c r="D733" s="196"/>
      <x:c r="E733" s="188"/>
      <x:c r="F733" s="198"/>
      <x:c r="G733" s="202"/>
      <x:c r="H733" s="204"/>
      <x:c r="I733" s="206" t="str">
        <x:f>IF(G733="","",MAX(G733-H733,0))</x:f>
      </x:c>
      <x:c r="J733" s="210"/>
      <x:c r="K733" s="190"/>
      <x:c r="L733" s="208"/>
      <x:c r="M733" s="208"/>
      <x:c r="N733" s="208"/>
      <x:c r="O733" s="208"/>
      <x:c r="P733" s="190"/>
      <x:c r="Q733" s="190"/>
      <x:c r="R733" s="190"/>
      <x:c r="S733" s="190"/>
      <x:c r="T733" s="190"/>
      <x:c r="U733" s="190"/>
      <x:c r="V733" s="212"/>
      <x:c r="W733" s="212"/>
      <x:c r="X733" s="200"/>
      <x:c r="Y733" s="192"/>
      <x:c r="Z733" s="214"/>
      <x:c r="AA733" s="214"/>
      <x:c r="AB733" s="192"/>
      <x:c r="AC733" s="194"/>
      <x:c r="AD733" s="186" t="str">
        <x:f>IF(COUNTA(B733:H733)+COUNTA(J733:AC733)=0,"",IF(OR(B733="",D733="",E733="",G733="",J733=""),"缺少必填项",IF(H733&gt;G733,"完成数大于订单数",IF(AND(X733="",OR(Y733="排队",Y733="生产中",Y733="阻塞",Z733&lt;&gt;"",AA733&lt;&gt;"",AB733="是")),"已有排期字段缺少机台",IF(AND(X733&lt;&gt;"",Y733="待排"),"已填机台但状态为待排",IF(AND(Y733="生产中",AB733&lt;&gt;"是"),"需确认：生产中未锁定","可导入"))))))</x:f>
      </x:c>
    </x:row>
    <x:row r="734" ht="22" customHeight="1">
      <x:c r="A734" s="186" t="str">
        <x:f>IF(B734="","",ROW()-5)</x:f>
      </x:c>
      <x:c r="B734" s="196"/>
      <x:c r="C734" s="198"/>
      <x:c r="D734" s="196"/>
      <x:c r="E734" s="188"/>
      <x:c r="F734" s="198"/>
      <x:c r="G734" s="202"/>
      <x:c r="H734" s="204"/>
      <x:c r="I734" s="206" t="str">
        <x:f>IF(G734="","",MAX(G734-H734,0))</x:f>
      </x:c>
      <x:c r="J734" s="210"/>
      <x:c r="K734" s="190"/>
      <x:c r="L734" s="208"/>
      <x:c r="M734" s="208"/>
      <x:c r="N734" s="208"/>
      <x:c r="O734" s="208"/>
      <x:c r="P734" s="190"/>
      <x:c r="Q734" s="190"/>
      <x:c r="R734" s="190"/>
      <x:c r="S734" s="190"/>
      <x:c r="T734" s="190"/>
      <x:c r="U734" s="190"/>
      <x:c r="V734" s="212"/>
      <x:c r="W734" s="212"/>
      <x:c r="X734" s="200"/>
      <x:c r="Y734" s="192"/>
      <x:c r="Z734" s="214"/>
      <x:c r="AA734" s="214"/>
      <x:c r="AB734" s="192"/>
      <x:c r="AC734" s="194"/>
      <x:c r="AD734" s="186" t="str">
        <x:f>IF(COUNTA(B734:H734)+COUNTA(J734:AC734)=0,"",IF(OR(B734="",D734="",E734="",G734="",J734=""),"缺少必填项",IF(H734&gt;G734,"完成数大于订单数",IF(AND(X734="",OR(Y734="排队",Y734="生产中",Y734="阻塞",Z734&lt;&gt;"",AA734&lt;&gt;"",AB734="是")),"已有排期字段缺少机台",IF(AND(X734&lt;&gt;"",Y734="待排"),"已填机台但状态为待排",IF(AND(Y734="生产中",AB734&lt;&gt;"是"),"需确认：生产中未锁定","可导入"))))))</x:f>
      </x:c>
    </x:row>
    <x:row r="735" ht="22" customHeight="1">
      <x:c r="A735" s="186" t="str">
        <x:f>IF(B735="","",ROW()-5)</x:f>
      </x:c>
      <x:c r="B735" s="196"/>
      <x:c r="C735" s="198"/>
      <x:c r="D735" s="196"/>
      <x:c r="E735" s="188"/>
      <x:c r="F735" s="198"/>
      <x:c r="G735" s="202"/>
      <x:c r="H735" s="204"/>
      <x:c r="I735" s="206" t="str">
        <x:f>IF(G735="","",MAX(G735-H735,0))</x:f>
      </x:c>
      <x:c r="J735" s="210"/>
      <x:c r="K735" s="190"/>
      <x:c r="L735" s="208"/>
      <x:c r="M735" s="208"/>
      <x:c r="N735" s="208"/>
      <x:c r="O735" s="208"/>
      <x:c r="P735" s="190"/>
      <x:c r="Q735" s="190"/>
      <x:c r="R735" s="190"/>
      <x:c r="S735" s="190"/>
      <x:c r="T735" s="190"/>
      <x:c r="U735" s="190"/>
      <x:c r="V735" s="212"/>
      <x:c r="W735" s="212"/>
      <x:c r="X735" s="200"/>
      <x:c r="Y735" s="192"/>
      <x:c r="Z735" s="214"/>
      <x:c r="AA735" s="214"/>
      <x:c r="AB735" s="192"/>
      <x:c r="AC735" s="194"/>
      <x:c r="AD735" s="186" t="str">
        <x:f>IF(COUNTA(B735:H735)+COUNTA(J735:AC735)=0,"",IF(OR(B735="",D735="",E735="",G735="",J735=""),"缺少必填项",IF(H735&gt;G735,"完成数大于订单数",IF(AND(X735="",OR(Y735="排队",Y735="生产中",Y735="阻塞",Z735&lt;&gt;"",AA735&lt;&gt;"",AB735="是")),"已有排期字段缺少机台",IF(AND(X735&lt;&gt;"",Y735="待排"),"已填机台但状态为待排",IF(AND(Y735="生产中",AB735&lt;&gt;"是"),"需确认：生产中未锁定","可导入"))))))</x:f>
      </x:c>
    </x:row>
    <x:row r="736" ht="22" customHeight="1">
      <x:c r="A736" s="186" t="str">
        <x:f>IF(B736="","",ROW()-5)</x:f>
      </x:c>
      <x:c r="B736" s="196"/>
      <x:c r="C736" s="198"/>
      <x:c r="D736" s="196"/>
      <x:c r="E736" s="188"/>
      <x:c r="F736" s="198"/>
      <x:c r="G736" s="202"/>
      <x:c r="H736" s="204"/>
      <x:c r="I736" s="206" t="str">
        <x:f>IF(G736="","",MAX(G736-H736,0))</x:f>
      </x:c>
      <x:c r="J736" s="210"/>
      <x:c r="K736" s="190"/>
      <x:c r="L736" s="208"/>
      <x:c r="M736" s="208"/>
      <x:c r="N736" s="208"/>
      <x:c r="O736" s="208"/>
      <x:c r="P736" s="190"/>
      <x:c r="Q736" s="190"/>
      <x:c r="R736" s="190"/>
      <x:c r="S736" s="190"/>
      <x:c r="T736" s="190"/>
      <x:c r="U736" s="190"/>
      <x:c r="V736" s="212"/>
      <x:c r="W736" s="212"/>
      <x:c r="X736" s="200"/>
      <x:c r="Y736" s="192"/>
      <x:c r="Z736" s="214"/>
      <x:c r="AA736" s="214"/>
      <x:c r="AB736" s="192"/>
      <x:c r="AC736" s="194"/>
      <x:c r="AD736" s="186" t="str">
        <x:f>IF(COUNTA(B736:H736)+COUNTA(J736:AC736)=0,"",IF(OR(B736="",D736="",E736="",G736="",J736=""),"缺少必填项",IF(H736&gt;G736,"完成数大于订单数",IF(AND(X736="",OR(Y736="排队",Y736="生产中",Y736="阻塞",Z736&lt;&gt;"",AA736&lt;&gt;"",AB736="是")),"已有排期字段缺少机台",IF(AND(X736&lt;&gt;"",Y736="待排"),"已填机台但状态为待排",IF(AND(Y736="生产中",AB736&lt;&gt;"是"),"需确认：生产中未锁定","可导入"))))))</x:f>
      </x:c>
    </x:row>
    <x:row r="737" ht="22" customHeight="1">
      <x:c r="A737" s="186" t="str">
        <x:f>IF(B737="","",ROW()-5)</x:f>
      </x:c>
      <x:c r="B737" s="196"/>
      <x:c r="C737" s="198"/>
      <x:c r="D737" s="196"/>
      <x:c r="E737" s="188"/>
      <x:c r="F737" s="198"/>
      <x:c r="G737" s="202"/>
      <x:c r="H737" s="204"/>
      <x:c r="I737" s="206" t="str">
        <x:f>IF(G737="","",MAX(G737-H737,0))</x:f>
      </x:c>
      <x:c r="J737" s="210"/>
      <x:c r="K737" s="190"/>
      <x:c r="L737" s="208"/>
      <x:c r="M737" s="208"/>
      <x:c r="N737" s="208"/>
      <x:c r="O737" s="208"/>
      <x:c r="P737" s="190"/>
      <x:c r="Q737" s="190"/>
      <x:c r="R737" s="190"/>
      <x:c r="S737" s="190"/>
      <x:c r="T737" s="190"/>
      <x:c r="U737" s="190"/>
      <x:c r="V737" s="212"/>
      <x:c r="W737" s="212"/>
      <x:c r="X737" s="200"/>
      <x:c r="Y737" s="192"/>
      <x:c r="Z737" s="214"/>
      <x:c r="AA737" s="214"/>
      <x:c r="AB737" s="192"/>
      <x:c r="AC737" s="194"/>
      <x:c r="AD737" s="186" t="str">
        <x:f>IF(COUNTA(B737:H737)+COUNTA(J737:AC737)=0,"",IF(OR(B737="",D737="",E737="",G737="",J737=""),"缺少必填项",IF(H737&gt;G737,"完成数大于订单数",IF(AND(X737="",OR(Y737="排队",Y737="生产中",Y737="阻塞",Z737&lt;&gt;"",AA737&lt;&gt;"",AB737="是")),"已有排期字段缺少机台",IF(AND(X737&lt;&gt;"",Y737="待排"),"已填机台但状态为待排",IF(AND(Y737="生产中",AB737&lt;&gt;"是"),"需确认：生产中未锁定","可导入"))))))</x:f>
      </x:c>
    </x:row>
    <x:row r="738" ht="22" customHeight="1">
      <x:c r="A738" s="186" t="str">
        <x:f>IF(B738="","",ROW()-5)</x:f>
      </x:c>
      <x:c r="B738" s="196"/>
      <x:c r="C738" s="198"/>
      <x:c r="D738" s="196"/>
      <x:c r="E738" s="188"/>
      <x:c r="F738" s="198"/>
      <x:c r="G738" s="202"/>
      <x:c r="H738" s="204"/>
      <x:c r="I738" s="206" t="str">
        <x:f>IF(G738="","",MAX(G738-H738,0))</x:f>
      </x:c>
      <x:c r="J738" s="210"/>
      <x:c r="K738" s="190"/>
      <x:c r="L738" s="208"/>
      <x:c r="M738" s="208"/>
      <x:c r="N738" s="208"/>
      <x:c r="O738" s="208"/>
      <x:c r="P738" s="190"/>
      <x:c r="Q738" s="190"/>
      <x:c r="R738" s="190"/>
      <x:c r="S738" s="190"/>
      <x:c r="T738" s="190"/>
      <x:c r="U738" s="190"/>
      <x:c r="V738" s="212"/>
      <x:c r="W738" s="212"/>
      <x:c r="X738" s="200"/>
      <x:c r="Y738" s="192"/>
      <x:c r="Z738" s="214"/>
      <x:c r="AA738" s="214"/>
      <x:c r="AB738" s="192"/>
      <x:c r="AC738" s="194"/>
      <x:c r="AD738" s="186" t="str">
        <x:f>IF(COUNTA(B738:H738)+COUNTA(J738:AC738)=0,"",IF(OR(B738="",D738="",E738="",G738="",J738=""),"缺少必填项",IF(H738&gt;G738,"完成数大于订单数",IF(AND(X738="",OR(Y738="排队",Y738="生产中",Y738="阻塞",Z738&lt;&gt;"",AA738&lt;&gt;"",AB738="是")),"已有排期字段缺少机台",IF(AND(X738&lt;&gt;"",Y738="待排"),"已填机台但状态为待排",IF(AND(Y738="生产中",AB738&lt;&gt;"是"),"需确认：生产中未锁定","可导入"))))))</x:f>
      </x:c>
    </x:row>
    <x:row r="739" ht="22" customHeight="1">
      <x:c r="A739" s="186" t="str">
        <x:f>IF(B739="","",ROW()-5)</x:f>
      </x:c>
      <x:c r="B739" s="196"/>
      <x:c r="C739" s="198"/>
      <x:c r="D739" s="196"/>
      <x:c r="E739" s="188"/>
      <x:c r="F739" s="198"/>
      <x:c r="G739" s="202"/>
      <x:c r="H739" s="204"/>
      <x:c r="I739" s="206" t="str">
        <x:f>IF(G739="","",MAX(G739-H739,0))</x:f>
      </x:c>
      <x:c r="J739" s="210"/>
      <x:c r="K739" s="190"/>
      <x:c r="L739" s="208"/>
      <x:c r="M739" s="208"/>
      <x:c r="N739" s="208"/>
      <x:c r="O739" s="208"/>
      <x:c r="P739" s="190"/>
      <x:c r="Q739" s="190"/>
      <x:c r="R739" s="190"/>
      <x:c r="S739" s="190"/>
      <x:c r="T739" s="190"/>
      <x:c r="U739" s="190"/>
      <x:c r="V739" s="212"/>
      <x:c r="W739" s="212"/>
      <x:c r="X739" s="200"/>
      <x:c r="Y739" s="192"/>
      <x:c r="Z739" s="214"/>
      <x:c r="AA739" s="214"/>
      <x:c r="AB739" s="192"/>
      <x:c r="AC739" s="194"/>
      <x:c r="AD739" s="186" t="str">
        <x:f>IF(COUNTA(B739:H739)+COUNTA(J739:AC739)=0,"",IF(OR(B739="",D739="",E739="",G739="",J739=""),"缺少必填项",IF(H739&gt;G739,"完成数大于订单数",IF(AND(X739="",OR(Y739="排队",Y739="生产中",Y739="阻塞",Z739&lt;&gt;"",AA739&lt;&gt;"",AB739="是")),"已有排期字段缺少机台",IF(AND(X739&lt;&gt;"",Y739="待排"),"已填机台但状态为待排",IF(AND(Y739="生产中",AB739&lt;&gt;"是"),"需确认：生产中未锁定","可导入"))))))</x:f>
      </x:c>
    </x:row>
    <x:row r="740" ht="22" customHeight="1">
      <x:c r="A740" s="186" t="str">
        <x:f>IF(B740="","",ROW()-5)</x:f>
      </x:c>
      <x:c r="B740" s="196"/>
      <x:c r="C740" s="198"/>
      <x:c r="D740" s="196"/>
      <x:c r="E740" s="188"/>
      <x:c r="F740" s="198"/>
      <x:c r="G740" s="202"/>
      <x:c r="H740" s="204"/>
      <x:c r="I740" s="206" t="str">
        <x:f>IF(G740="","",MAX(G740-H740,0))</x:f>
      </x:c>
      <x:c r="J740" s="210"/>
      <x:c r="K740" s="190"/>
      <x:c r="L740" s="208"/>
      <x:c r="M740" s="208"/>
      <x:c r="N740" s="208"/>
      <x:c r="O740" s="208"/>
      <x:c r="P740" s="190"/>
      <x:c r="Q740" s="190"/>
      <x:c r="R740" s="190"/>
      <x:c r="S740" s="190"/>
      <x:c r="T740" s="190"/>
      <x:c r="U740" s="190"/>
      <x:c r="V740" s="212"/>
      <x:c r="W740" s="212"/>
      <x:c r="X740" s="200"/>
      <x:c r="Y740" s="192"/>
      <x:c r="Z740" s="214"/>
      <x:c r="AA740" s="214"/>
      <x:c r="AB740" s="192"/>
      <x:c r="AC740" s="194"/>
      <x:c r="AD740" s="186" t="str">
        <x:f>IF(COUNTA(B740:H740)+COUNTA(J740:AC740)=0,"",IF(OR(B740="",D740="",E740="",G740="",J740=""),"缺少必填项",IF(H740&gt;G740,"完成数大于订单数",IF(AND(X740="",OR(Y740="排队",Y740="生产中",Y740="阻塞",Z740&lt;&gt;"",AA740&lt;&gt;"",AB740="是")),"已有排期字段缺少机台",IF(AND(X740&lt;&gt;"",Y740="待排"),"已填机台但状态为待排",IF(AND(Y740="生产中",AB740&lt;&gt;"是"),"需确认：生产中未锁定","可导入"))))))</x:f>
      </x:c>
    </x:row>
    <x:row r="741" ht="22" customHeight="1">
      <x:c r="A741" s="186" t="str">
        <x:f>IF(B741="","",ROW()-5)</x:f>
      </x:c>
      <x:c r="B741" s="196"/>
      <x:c r="C741" s="198"/>
      <x:c r="D741" s="196"/>
      <x:c r="E741" s="188"/>
      <x:c r="F741" s="198"/>
      <x:c r="G741" s="202"/>
      <x:c r="H741" s="204"/>
      <x:c r="I741" s="206" t="str">
        <x:f>IF(G741="","",MAX(G741-H741,0))</x:f>
      </x:c>
      <x:c r="J741" s="210"/>
      <x:c r="K741" s="190"/>
      <x:c r="L741" s="208"/>
      <x:c r="M741" s="208"/>
      <x:c r="N741" s="208"/>
      <x:c r="O741" s="208"/>
      <x:c r="P741" s="190"/>
      <x:c r="Q741" s="190"/>
      <x:c r="R741" s="190"/>
      <x:c r="S741" s="190"/>
      <x:c r="T741" s="190"/>
      <x:c r="U741" s="190"/>
      <x:c r="V741" s="212"/>
      <x:c r="W741" s="212"/>
      <x:c r="X741" s="200"/>
      <x:c r="Y741" s="192"/>
      <x:c r="Z741" s="214"/>
      <x:c r="AA741" s="214"/>
      <x:c r="AB741" s="192"/>
      <x:c r="AC741" s="194"/>
      <x:c r="AD741" s="186" t="str">
        <x:f>IF(COUNTA(B741:H741)+COUNTA(J741:AC741)=0,"",IF(OR(B741="",D741="",E741="",G741="",J741=""),"缺少必填项",IF(H741&gt;G741,"完成数大于订单数",IF(AND(X741="",OR(Y741="排队",Y741="生产中",Y741="阻塞",Z741&lt;&gt;"",AA741&lt;&gt;"",AB741="是")),"已有排期字段缺少机台",IF(AND(X741&lt;&gt;"",Y741="待排"),"已填机台但状态为待排",IF(AND(Y741="生产中",AB741&lt;&gt;"是"),"需确认：生产中未锁定","可导入"))))))</x:f>
      </x:c>
    </x:row>
    <x:row r="742" ht="22" customHeight="1">
      <x:c r="A742" s="186" t="str">
        <x:f>IF(B742="","",ROW()-5)</x:f>
      </x:c>
      <x:c r="B742" s="196"/>
      <x:c r="C742" s="198"/>
      <x:c r="D742" s="196"/>
      <x:c r="E742" s="188"/>
      <x:c r="F742" s="198"/>
      <x:c r="G742" s="202"/>
      <x:c r="H742" s="204"/>
      <x:c r="I742" s="206" t="str">
        <x:f>IF(G742="","",MAX(G742-H742,0))</x:f>
      </x:c>
      <x:c r="J742" s="210"/>
      <x:c r="K742" s="190"/>
      <x:c r="L742" s="208"/>
      <x:c r="M742" s="208"/>
      <x:c r="N742" s="208"/>
      <x:c r="O742" s="208"/>
      <x:c r="P742" s="190"/>
      <x:c r="Q742" s="190"/>
      <x:c r="R742" s="190"/>
      <x:c r="S742" s="190"/>
      <x:c r="T742" s="190"/>
      <x:c r="U742" s="190"/>
      <x:c r="V742" s="212"/>
      <x:c r="W742" s="212"/>
      <x:c r="X742" s="200"/>
      <x:c r="Y742" s="192"/>
      <x:c r="Z742" s="214"/>
      <x:c r="AA742" s="214"/>
      <x:c r="AB742" s="192"/>
      <x:c r="AC742" s="194"/>
      <x:c r="AD742" s="186" t="str">
        <x:f>IF(COUNTA(B742:H742)+COUNTA(J742:AC742)=0,"",IF(OR(B742="",D742="",E742="",G742="",J742=""),"缺少必填项",IF(H742&gt;G742,"完成数大于订单数",IF(AND(X742="",OR(Y742="排队",Y742="生产中",Y742="阻塞",Z742&lt;&gt;"",AA742&lt;&gt;"",AB742="是")),"已有排期字段缺少机台",IF(AND(X742&lt;&gt;"",Y742="待排"),"已填机台但状态为待排",IF(AND(Y742="生产中",AB742&lt;&gt;"是"),"需确认：生产中未锁定","可导入"))))))</x:f>
      </x:c>
    </x:row>
    <x:row r="743" ht="22" customHeight="1">
      <x:c r="A743" s="186" t="str">
        <x:f>IF(B743="","",ROW()-5)</x:f>
      </x:c>
      <x:c r="B743" s="196"/>
      <x:c r="C743" s="198"/>
      <x:c r="D743" s="196"/>
      <x:c r="E743" s="188"/>
      <x:c r="F743" s="198"/>
      <x:c r="G743" s="202"/>
      <x:c r="H743" s="204"/>
      <x:c r="I743" s="206" t="str">
        <x:f>IF(G743="","",MAX(G743-H743,0))</x:f>
      </x:c>
      <x:c r="J743" s="210"/>
      <x:c r="K743" s="190"/>
      <x:c r="L743" s="208"/>
      <x:c r="M743" s="208"/>
      <x:c r="N743" s="208"/>
      <x:c r="O743" s="208"/>
      <x:c r="P743" s="190"/>
      <x:c r="Q743" s="190"/>
      <x:c r="R743" s="190"/>
      <x:c r="S743" s="190"/>
      <x:c r="T743" s="190"/>
      <x:c r="U743" s="190"/>
      <x:c r="V743" s="212"/>
      <x:c r="W743" s="212"/>
      <x:c r="X743" s="200"/>
      <x:c r="Y743" s="192"/>
      <x:c r="Z743" s="214"/>
      <x:c r="AA743" s="214"/>
      <x:c r="AB743" s="192"/>
      <x:c r="AC743" s="194"/>
      <x:c r="AD743" s="186" t="str">
        <x:f>IF(COUNTA(B743:H743)+COUNTA(J743:AC743)=0,"",IF(OR(B743="",D743="",E743="",G743="",J743=""),"缺少必填项",IF(H743&gt;G743,"完成数大于订单数",IF(AND(X743="",OR(Y743="排队",Y743="生产中",Y743="阻塞",Z743&lt;&gt;"",AA743&lt;&gt;"",AB743="是")),"已有排期字段缺少机台",IF(AND(X743&lt;&gt;"",Y743="待排"),"已填机台但状态为待排",IF(AND(Y743="生产中",AB743&lt;&gt;"是"),"需确认：生产中未锁定","可导入"))))))</x:f>
      </x:c>
    </x:row>
    <x:row r="744" ht="22" customHeight="1">
      <x:c r="A744" s="186" t="str">
        <x:f>IF(B744="","",ROW()-5)</x:f>
      </x:c>
      <x:c r="B744" s="196"/>
      <x:c r="C744" s="198"/>
      <x:c r="D744" s="196"/>
      <x:c r="E744" s="188"/>
      <x:c r="F744" s="198"/>
      <x:c r="G744" s="202"/>
      <x:c r="H744" s="204"/>
      <x:c r="I744" s="206" t="str">
        <x:f>IF(G744="","",MAX(G744-H744,0))</x:f>
      </x:c>
      <x:c r="J744" s="210"/>
      <x:c r="K744" s="190"/>
      <x:c r="L744" s="208"/>
      <x:c r="M744" s="208"/>
      <x:c r="N744" s="208"/>
      <x:c r="O744" s="208"/>
      <x:c r="P744" s="190"/>
      <x:c r="Q744" s="190"/>
      <x:c r="R744" s="190"/>
      <x:c r="S744" s="190"/>
      <x:c r="T744" s="190"/>
      <x:c r="U744" s="190"/>
      <x:c r="V744" s="212"/>
      <x:c r="W744" s="212"/>
      <x:c r="X744" s="200"/>
      <x:c r="Y744" s="192"/>
      <x:c r="Z744" s="214"/>
      <x:c r="AA744" s="214"/>
      <x:c r="AB744" s="192"/>
      <x:c r="AC744" s="194"/>
      <x:c r="AD744" s="186" t="str">
        <x:f>IF(COUNTA(B744:H744)+COUNTA(J744:AC744)=0,"",IF(OR(B744="",D744="",E744="",G744="",J744=""),"缺少必填项",IF(H744&gt;G744,"完成数大于订单数",IF(AND(X744="",OR(Y744="排队",Y744="生产中",Y744="阻塞",Z744&lt;&gt;"",AA744&lt;&gt;"",AB744="是")),"已有排期字段缺少机台",IF(AND(X744&lt;&gt;"",Y744="待排"),"已填机台但状态为待排",IF(AND(Y744="生产中",AB744&lt;&gt;"是"),"需确认：生产中未锁定","可导入"))))))</x:f>
      </x:c>
    </x:row>
    <x:row r="745" ht="22" customHeight="1">
      <x:c r="A745" s="186" t="str">
        <x:f>IF(B745="","",ROW()-5)</x:f>
      </x:c>
      <x:c r="B745" s="196"/>
      <x:c r="C745" s="198"/>
      <x:c r="D745" s="196"/>
      <x:c r="E745" s="188"/>
      <x:c r="F745" s="198"/>
      <x:c r="G745" s="202"/>
      <x:c r="H745" s="204"/>
      <x:c r="I745" s="206" t="str">
        <x:f>IF(G745="","",MAX(G745-H745,0))</x:f>
      </x:c>
      <x:c r="J745" s="210"/>
      <x:c r="K745" s="190"/>
      <x:c r="L745" s="208"/>
      <x:c r="M745" s="208"/>
      <x:c r="N745" s="208"/>
      <x:c r="O745" s="208"/>
      <x:c r="P745" s="190"/>
      <x:c r="Q745" s="190"/>
      <x:c r="R745" s="190"/>
      <x:c r="S745" s="190"/>
      <x:c r="T745" s="190"/>
      <x:c r="U745" s="190"/>
      <x:c r="V745" s="212"/>
      <x:c r="W745" s="212"/>
      <x:c r="X745" s="200"/>
      <x:c r="Y745" s="192"/>
      <x:c r="Z745" s="214"/>
      <x:c r="AA745" s="214"/>
      <x:c r="AB745" s="192"/>
      <x:c r="AC745" s="194"/>
      <x:c r="AD745" s="186" t="str">
        <x:f>IF(COUNTA(B745:H745)+COUNTA(J745:AC745)=0,"",IF(OR(B745="",D745="",E745="",G745="",J745=""),"缺少必填项",IF(H745&gt;G745,"完成数大于订单数",IF(AND(X745="",OR(Y745="排队",Y745="生产中",Y745="阻塞",Z745&lt;&gt;"",AA745&lt;&gt;"",AB745="是")),"已有排期字段缺少机台",IF(AND(X745&lt;&gt;"",Y745="待排"),"已填机台但状态为待排",IF(AND(Y745="生产中",AB745&lt;&gt;"是"),"需确认：生产中未锁定","可导入"))))))</x:f>
      </x:c>
    </x:row>
    <x:row r="746" ht="22" customHeight="1">
      <x:c r="A746" s="186" t="str">
        <x:f>IF(B746="","",ROW()-5)</x:f>
      </x:c>
      <x:c r="B746" s="196"/>
      <x:c r="C746" s="198"/>
      <x:c r="D746" s="196"/>
      <x:c r="E746" s="188"/>
      <x:c r="F746" s="198"/>
      <x:c r="G746" s="202"/>
      <x:c r="H746" s="204"/>
      <x:c r="I746" s="206" t="str">
        <x:f>IF(G746="","",MAX(G746-H746,0))</x:f>
      </x:c>
      <x:c r="J746" s="210"/>
      <x:c r="K746" s="190"/>
      <x:c r="L746" s="208"/>
      <x:c r="M746" s="208"/>
      <x:c r="N746" s="208"/>
      <x:c r="O746" s="208"/>
      <x:c r="P746" s="190"/>
      <x:c r="Q746" s="190"/>
      <x:c r="R746" s="190"/>
      <x:c r="S746" s="190"/>
      <x:c r="T746" s="190"/>
      <x:c r="U746" s="190"/>
      <x:c r="V746" s="212"/>
      <x:c r="W746" s="212"/>
      <x:c r="X746" s="200"/>
      <x:c r="Y746" s="192"/>
      <x:c r="Z746" s="214"/>
      <x:c r="AA746" s="214"/>
      <x:c r="AB746" s="192"/>
      <x:c r="AC746" s="194"/>
      <x:c r="AD746" s="186" t="str">
        <x:f>IF(COUNTA(B746:H746)+COUNTA(J746:AC746)=0,"",IF(OR(B746="",D746="",E746="",G746="",J746=""),"缺少必填项",IF(H746&gt;G746,"完成数大于订单数",IF(AND(X746="",OR(Y746="排队",Y746="生产中",Y746="阻塞",Z746&lt;&gt;"",AA746&lt;&gt;"",AB746="是")),"已有排期字段缺少机台",IF(AND(X746&lt;&gt;"",Y746="待排"),"已填机台但状态为待排",IF(AND(Y746="生产中",AB746&lt;&gt;"是"),"需确认：生产中未锁定","可导入"))))))</x:f>
      </x:c>
    </x:row>
    <x:row r="747" ht="22" customHeight="1">
      <x:c r="A747" s="186" t="str">
        <x:f>IF(B747="","",ROW()-5)</x:f>
      </x:c>
      <x:c r="B747" s="196"/>
      <x:c r="C747" s="198"/>
      <x:c r="D747" s="196"/>
      <x:c r="E747" s="188"/>
      <x:c r="F747" s="198"/>
      <x:c r="G747" s="202"/>
      <x:c r="H747" s="204"/>
      <x:c r="I747" s="206" t="str">
        <x:f>IF(G747="","",MAX(G747-H747,0))</x:f>
      </x:c>
      <x:c r="J747" s="210"/>
      <x:c r="K747" s="190"/>
      <x:c r="L747" s="208"/>
      <x:c r="M747" s="208"/>
      <x:c r="N747" s="208"/>
      <x:c r="O747" s="208"/>
      <x:c r="P747" s="190"/>
      <x:c r="Q747" s="190"/>
      <x:c r="R747" s="190"/>
      <x:c r="S747" s="190"/>
      <x:c r="T747" s="190"/>
      <x:c r="U747" s="190"/>
      <x:c r="V747" s="212"/>
      <x:c r="W747" s="212"/>
      <x:c r="X747" s="200"/>
      <x:c r="Y747" s="192"/>
      <x:c r="Z747" s="214"/>
      <x:c r="AA747" s="214"/>
      <x:c r="AB747" s="192"/>
      <x:c r="AC747" s="194"/>
      <x:c r="AD747" s="186" t="str">
        <x:f>IF(COUNTA(B747:H747)+COUNTA(J747:AC747)=0,"",IF(OR(B747="",D747="",E747="",G747="",J747=""),"缺少必填项",IF(H747&gt;G747,"完成数大于订单数",IF(AND(X747="",OR(Y747="排队",Y747="生产中",Y747="阻塞",Z747&lt;&gt;"",AA747&lt;&gt;"",AB747="是")),"已有排期字段缺少机台",IF(AND(X747&lt;&gt;"",Y747="待排"),"已填机台但状态为待排",IF(AND(Y747="生产中",AB747&lt;&gt;"是"),"需确认：生产中未锁定","可导入"))))))</x:f>
      </x:c>
    </x:row>
    <x:row r="748" ht="22" customHeight="1">
      <x:c r="A748" s="186" t="str">
        <x:f>IF(B748="","",ROW()-5)</x:f>
      </x:c>
      <x:c r="B748" s="196"/>
      <x:c r="C748" s="198"/>
      <x:c r="D748" s="196"/>
      <x:c r="E748" s="188"/>
      <x:c r="F748" s="198"/>
      <x:c r="G748" s="202"/>
      <x:c r="H748" s="204"/>
      <x:c r="I748" s="206" t="str">
        <x:f>IF(G748="","",MAX(G748-H748,0))</x:f>
      </x:c>
      <x:c r="J748" s="210"/>
      <x:c r="K748" s="190"/>
      <x:c r="L748" s="208"/>
      <x:c r="M748" s="208"/>
      <x:c r="N748" s="208"/>
      <x:c r="O748" s="208"/>
      <x:c r="P748" s="190"/>
      <x:c r="Q748" s="190"/>
      <x:c r="R748" s="190"/>
      <x:c r="S748" s="190"/>
      <x:c r="T748" s="190"/>
      <x:c r="U748" s="190"/>
      <x:c r="V748" s="212"/>
      <x:c r="W748" s="212"/>
      <x:c r="X748" s="200"/>
      <x:c r="Y748" s="192"/>
      <x:c r="Z748" s="214"/>
      <x:c r="AA748" s="214"/>
      <x:c r="AB748" s="192"/>
      <x:c r="AC748" s="194"/>
      <x:c r="AD748" s="186" t="str">
        <x:f>IF(COUNTA(B748:H748)+COUNTA(J748:AC748)=0,"",IF(OR(B748="",D748="",E748="",G748="",J748=""),"缺少必填项",IF(H748&gt;G748,"完成数大于订单数",IF(AND(X748="",OR(Y748="排队",Y748="生产中",Y748="阻塞",Z748&lt;&gt;"",AA748&lt;&gt;"",AB748="是")),"已有排期字段缺少机台",IF(AND(X748&lt;&gt;"",Y748="待排"),"已填机台但状态为待排",IF(AND(Y748="生产中",AB748&lt;&gt;"是"),"需确认：生产中未锁定","可导入"))))))</x:f>
      </x:c>
    </x:row>
    <x:row r="749" ht="22" customHeight="1">
      <x:c r="A749" s="186" t="str">
        <x:f>IF(B749="","",ROW()-5)</x:f>
      </x:c>
      <x:c r="B749" s="196"/>
      <x:c r="C749" s="198"/>
      <x:c r="D749" s="196"/>
      <x:c r="E749" s="188"/>
      <x:c r="F749" s="198"/>
      <x:c r="G749" s="202"/>
      <x:c r="H749" s="204"/>
      <x:c r="I749" s="206" t="str">
        <x:f>IF(G749="","",MAX(G749-H749,0))</x:f>
      </x:c>
      <x:c r="J749" s="210"/>
      <x:c r="K749" s="190"/>
      <x:c r="L749" s="208"/>
      <x:c r="M749" s="208"/>
      <x:c r="N749" s="208"/>
      <x:c r="O749" s="208"/>
      <x:c r="P749" s="190"/>
      <x:c r="Q749" s="190"/>
      <x:c r="R749" s="190"/>
      <x:c r="S749" s="190"/>
      <x:c r="T749" s="190"/>
      <x:c r="U749" s="190"/>
      <x:c r="V749" s="212"/>
      <x:c r="W749" s="212"/>
      <x:c r="X749" s="200"/>
      <x:c r="Y749" s="192"/>
      <x:c r="Z749" s="214"/>
      <x:c r="AA749" s="214"/>
      <x:c r="AB749" s="192"/>
      <x:c r="AC749" s="194"/>
      <x:c r="AD749" s="186" t="str">
        <x:f>IF(COUNTA(B749:H749)+COUNTA(J749:AC749)=0,"",IF(OR(B749="",D749="",E749="",G749="",J749=""),"缺少必填项",IF(H749&gt;G749,"完成数大于订单数",IF(AND(X749="",OR(Y749="排队",Y749="生产中",Y749="阻塞",Z749&lt;&gt;"",AA749&lt;&gt;"",AB749="是")),"已有排期字段缺少机台",IF(AND(X749&lt;&gt;"",Y749="待排"),"已填机台但状态为待排",IF(AND(Y749="生产中",AB749&lt;&gt;"是"),"需确认：生产中未锁定","可导入"))))))</x:f>
      </x:c>
    </x:row>
    <x:row r="750" ht="22" customHeight="1">
      <x:c r="A750" s="186" t="str">
        <x:f>IF(B750="","",ROW()-5)</x:f>
      </x:c>
      <x:c r="B750" s="196"/>
      <x:c r="C750" s="198"/>
      <x:c r="D750" s="196"/>
      <x:c r="E750" s="188"/>
      <x:c r="F750" s="198"/>
      <x:c r="G750" s="202"/>
      <x:c r="H750" s="204"/>
      <x:c r="I750" s="206" t="str">
        <x:f>IF(G750="","",MAX(G750-H750,0))</x:f>
      </x:c>
      <x:c r="J750" s="210"/>
      <x:c r="K750" s="190"/>
      <x:c r="L750" s="208"/>
      <x:c r="M750" s="208"/>
      <x:c r="N750" s="208"/>
      <x:c r="O750" s="208"/>
      <x:c r="P750" s="190"/>
      <x:c r="Q750" s="190"/>
      <x:c r="R750" s="190"/>
      <x:c r="S750" s="190"/>
      <x:c r="T750" s="190"/>
      <x:c r="U750" s="190"/>
      <x:c r="V750" s="212"/>
      <x:c r="W750" s="212"/>
      <x:c r="X750" s="200"/>
      <x:c r="Y750" s="192"/>
      <x:c r="Z750" s="214"/>
      <x:c r="AA750" s="214"/>
      <x:c r="AB750" s="192"/>
      <x:c r="AC750" s="194"/>
      <x:c r="AD750" s="186" t="str">
        <x:f>IF(COUNTA(B750:H750)+COUNTA(J750:AC750)=0,"",IF(OR(B750="",D750="",E750="",G750="",J750=""),"缺少必填项",IF(H750&gt;G750,"完成数大于订单数",IF(AND(X750="",OR(Y750="排队",Y750="生产中",Y750="阻塞",Z750&lt;&gt;"",AA750&lt;&gt;"",AB750="是")),"已有排期字段缺少机台",IF(AND(X750&lt;&gt;"",Y750="待排"),"已填机台但状态为待排",IF(AND(Y750="生产中",AB750&lt;&gt;"是"),"需确认：生产中未锁定","可导入"))))))</x:f>
      </x:c>
    </x:row>
    <x:row r="751" ht="22" customHeight="1">
      <x:c r="A751" s="186" t="str">
        <x:f>IF(B751="","",ROW()-5)</x:f>
      </x:c>
      <x:c r="B751" s="196"/>
      <x:c r="C751" s="198"/>
      <x:c r="D751" s="196"/>
      <x:c r="E751" s="188"/>
      <x:c r="F751" s="198"/>
      <x:c r="G751" s="202"/>
      <x:c r="H751" s="204"/>
      <x:c r="I751" s="206" t="str">
        <x:f>IF(G751="","",MAX(G751-H751,0))</x:f>
      </x:c>
      <x:c r="J751" s="210"/>
      <x:c r="K751" s="190"/>
      <x:c r="L751" s="208"/>
      <x:c r="M751" s="208"/>
      <x:c r="N751" s="208"/>
      <x:c r="O751" s="208"/>
      <x:c r="P751" s="190"/>
      <x:c r="Q751" s="190"/>
      <x:c r="R751" s="190"/>
      <x:c r="S751" s="190"/>
      <x:c r="T751" s="190"/>
      <x:c r="U751" s="190"/>
      <x:c r="V751" s="212"/>
      <x:c r="W751" s="212"/>
      <x:c r="X751" s="200"/>
      <x:c r="Y751" s="192"/>
      <x:c r="Z751" s="214"/>
      <x:c r="AA751" s="214"/>
      <x:c r="AB751" s="192"/>
      <x:c r="AC751" s="194"/>
      <x:c r="AD751" s="186" t="str">
        <x:f>IF(COUNTA(B751:H751)+COUNTA(J751:AC751)=0,"",IF(OR(B751="",D751="",E751="",G751="",J751=""),"缺少必填项",IF(H751&gt;G751,"完成数大于订单数",IF(AND(X751="",OR(Y751="排队",Y751="生产中",Y751="阻塞",Z751&lt;&gt;"",AA751&lt;&gt;"",AB751="是")),"已有排期字段缺少机台",IF(AND(X751&lt;&gt;"",Y751="待排"),"已填机台但状态为待排",IF(AND(Y751="生产中",AB751&lt;&gt;"是"),"需确认：生产中未锁定","可导入"))))))</x:f>
      </x:c>
    </x:row>
    <x:row r="752" ht="22" customHeight="1">
      <x:c r="A752" s="186" t="str">
        <x:f>IF(B752="","",ROW()-5)</x:f>
      </x:c>
      <x:c r="B752" s="196"/>
      <x:c r="C752" s="198"/>
      <x:c r="D752" s="196"/>
      <x:c r="E752" s="188"/>
      <x:c r="F752" s="198"/>
      <x:c r="G752" s="202"/>
      <x:c r="H752" s="204"/>
      <x:c r="I752" s="206" t="str">
        <x:f>IF(G752="","",MAX(G752-H752,0))</x:f>
      </x:c>
      <x:c r="J752" s="210"/>
      <x:c r="K752" s="190"/>
      <x:c r="L752" s="208"/>
      <x:c r="M752" s="208"/>
      <x:c r="N752" s="208"/>
      <x:c r="O752" s="208"/>
      <x:c r="P752" s="190"/>
      <x:c r="Q752" s="190"/>
      <x:c r="R752" s="190"/>
      <x:c r="S752" s="190"/>
      <x:c r="T752" s="190"/>
      <x:c r="U752" s="190"/>
      <x:c r="V752" s="212"/>
      <x:c r="W752" s="212"/>
      <x:c r="X752" s="200"/>
      <x:c r="Y752" s="192"/>
      <x:c r="Z752" s="214"/>
      <x:c r="AA752" s="214"/>
      <x:c r="AB752" s="192"/>
      <x:c r="AC752" s="194"/>
      <x:c r="AD752" s="186" t="str">
        <x:f>IF(COUNTA(B752:H752)+COUNTA(J752:AC752)=0,"",IF(OR(B752="",D752="",E752="",G752="",J752=""),"缺少必填项",IF(H752&gt;G752,"完成数大于订单数",IF(AND(X752="",OR(Y752="排队",Y752="生产中",Y752="阻塞",Z752&lt;&gt;"",AA752&lt;&gt;"",AB752="是")),"已有排期字段缺少机台",IF(AND(X752&lt;&gt;"",Y752="待排"),"已填机台但状态为待排",IF(AND(Y752="生产中",AB752&lt;&gt;"是"),"需确认：生产中未锁定","可导入"))))))</x:f>
      </x:c>
    </x:row>
    <x:row r="753" ht="22" customHeight="1">
      <x:c r="A753" s="186" t="str">
        <x:f>IF(B753="","",ROW()-5)</x:f>
      </x:c>
      <x:c r="B753" s="196"/>
      <x:c r="C753" s="198"/>
      <x:c r="D753" s="196"/>
      <x:c r="E753" s="188"/>
      <x:c r="F753" s="198"/>
      <x:c r="G753" s="202"/>
      <x:c r="H753" s="204"/>
      <x:c r="I753" s="206" t="str">
        <x:f>IF(G753="","",MAX(G753-H753,0))</x:f>
      </x:c>
      <x:c r="J753" s="210"/>
      <x:c r="K753" s="190"/>
      <x:c r="L753" s="208"/>
      <x:c r="M753" s="208"/>
      <x:c r="N753" s="208"/>
      <x:c r="O753" s="208"/>
      <x:c r="P753" s="190"/>
      <x:c r="Q753" s="190"/>
      <x:c r="R753" s="190"/>
      <x:c r="S753" s="190"/>
      <x:c r="T753" s="190"/>
      <x:c r="U753" s="190"/>
      <x:c r="V753" s="212"/>
      <x:c r="W753" s="212"/>
      <x:c r="X753" s="200"/>
      <x:c r="Y753" s="192"/>
      <x:c r="Z753" s="214"/>
      <x:c r="AA753" s="214"/>
      <x:c r="AB753" s="192"/>
      <x:c r="AC753" s="194"/>
      <x:c r="AD753" s="186" t="str">
        <x:f>IF(COUNTA(B753:H753)+COUNTA(J753:AC753)=0,"",IF(OR(B753="",D753="",E753="",G753="",J753=""),"缺少必填项",IF(H753&gt;G753,"完成数大于订单数",IF(AND(X753="",OR(Y753="排队",Y753="生产中",Y753="阻塞",Z753&lt;&gt;"",AA753&lt;&gt;"",AB753="是")),"已有排期字段缺少机台",IF(AND(X753&lt;&gt;"",Y753="待排"),"已填机台但状态为待排",IF(AND(Y753="生产中",AB753&lt;&gt;"是"),"需确认：生产中未锁定","可导入"))))))</x:f>
      </x:c>
    </x:row>
    <x:row r="754" ht="22" customHeight="1">
      <x:c r="A754" s="186" t="str">
        <x:f>IF(B754="","",ROW()-5)</x:f>
      </x:c>
      <x:c r="B754" s="196"/>
      <x:c r="C754" s="198"/>
      <x:c r="D754" s="196"/>
      <x:c r="E754" s="188"/>
      <x:c r="F754" s="198"/>
      <x:c r="G754" s="202"/>
      <x:c r="H754" s="204"/>
      <x:c r="I754" s="206" t="str">
        <x:f>IF(G754="","",MAX(G754-H754,0))</x:f>
      </x:c>
      <x:c r="J754" s="210"/>
      <x:c r="K754" s="190"/>
      <x:c r="L754" s="208"/>
      <x:c r="M754" s="208"/>
      <x:c r="N754" s="208"/>
      <x:c r="O754" s="208"/>
      <x:c r="P754" s="190"/>
      <x:c r="Q754" s="190"/>
      <x:c r="R754" s="190"/>
      <x:c r="S754" s="190"/>
      <x:c r="T754" s="190"/>
      <x:c r="U754" s="190"/>
      <x:c r="V754" s="212"/>
      <x:c r="W754" s="212"/>
      <x:c r="X754" s="200"/>
      <x:c r="Y754" s="192"/>
      <x:c r="Z754" s="214"/>
      <x:c r="AA754" s="214"/>
      <x:c r="AB754" s="192"/>
      <x:c r="AC754" s="194"/>
      <x:c r="AD754" s="186" t="str">
        <x:f>IF(COUNTA(B754:H754)+COUNTA(J754:AC754)=0,"",IF(OR(B754="",D754="",E754="",G754="",J754=""),"缺少必填项",IF(H754&gt;G754,"完成数大于订单数",IF(AND(X754="",OR(Y754="排队",Y754="生产中",Y754="阻塞",Z754&lt;&gt;"",AA754&lt;&gt;"",AB754="是")),"已有排期字段缺少机台",IF(AND(X754&lt;&gt;"",Y754="待排"),"已填机台但状态为待排",IF(AND(Y754="生产中",AB754&lt;&gt;"是"),"需确认：生产中未锁定","可导入"))))))</x:f>
      </x:c>
    </x:row>
    <x:row r="755" ht="22" customHeight="1">
      <x:c r="A755" s="186" t="str">
        <x:f>IF(B755="","",ROW()-5)</x:f>
      </x:c>
      <x:c r="B755" s="196"/>
      <x:c r="C755" s="198"/>
      <x:c r="D755" s="196"/>
      <x:c r="E755" s="188"/>
      <x:c r="F755" s="198"/>
      <x:c r="G755" s="202"/>
      <x:c r="H755" s="204"/>
      <x:c r="I755" s="206" t="str">
        <x:f>IF(G755="","",MAX(G755-H755,0))</x:f>
      </x:c>
      <x:c r="J755" s="210"/>
      <x:c r="K755" s="190"/>
      <x:c r="L755" s="208"/>
      <x:c r="M755" s="208"/>
      <x:c r="N755" s="208"/>
      <x:c r="O755" s="208"/>
      <x:c r="P755" s="190"/>
      <x:c r="Q755" s="190"/>
      <x:c r="R755" s="190"/>
      <x:c r="S755" s="190"/>
      <x:c r="T755" s="190"/>
      <x:c r="U755" s="190"/>
      <x:c r="V755" s="212"/>
      <x:c r="W755" s="212"/>
      <x:c r="X755" s="200"/>
      <x:c r="Y755" s="192"/>
      <x:c r="Z755" s="214"/>
      <x:c r="AA755" s="214"/>
      <x:c r="AB755" s="192"/>
      <x:c r="AC755" s="194"/>
      <x:c r="AD755" s="186" t="str">
        <x:f>IF(COUNTA(B755:H755)+COUNTA(J755:AC755)=0,"",IF(OR(B755="",D755="",E755="",G755="",J755=""),"缺少必填项",IF(H755&gt;G755,"完成数大于订单数",IF(AND(X755="",OR(Y755="排队",Y755="生产中",Y755="阻塞",Z755&lt;&gt;"",AA755&lt;&gt;"",AB755="是")),"已有排期字段缺少机台",IF(AND(X755&lt;&gt;"",Y755="待排"),"已填机台但状态为待排",IF(AND(Y755="生产中",AB755&lt;&gt;"是"),"需确认：生产中未锁定","可导入"))))))</x:f>
      </x:c>
    </x:row>
    <x:row r="756" ht="22" customHeight="1">
      <x:c r="A756" s="186" t="str">
        <x:f>IF(B756="","",ROW()-5)</x:f>
      </x:c>
      <x:c r="B756" s="196"/>
      <x:c r="C756" s="198"/>
      <x:c r="D756" s="196"/>
      <x:c r="E756" s="188"/>
      <x:c r="F756" s="198"/>
      <x:c r="G756" s="202"/>
      <x:c r="H756" s="204"/>
      <x:c r="I756" s="206" t="str">
        <x:f>IF(G756="","",MAX(G756-H756,0))</x:f>
      </x:c>
      <x:c r="J756" s="210"/>
      <x:c r="K756" s="190"/>
      <x:c r="L756" s="208"/>
      <x:c r="M756" s="208"/>
      <x:c r="N756" s="208"/>
      <x:c r="O756" s="208"/>
      <x:c r="P756" s="190"/>
      <x:c r="Q756" s="190"/>
      <x:c r="R756" s="190"/>
      <x:c r="S756" s="190"/>
      <x:c r="T756" s="190"/>
      <x:c r="U756" s="190"/>
      <x:c r="V756" s="212"/>
      <x:c r="W756" s="212"/>
      <x:c r="X756" s="200"/>
      <x:c r="Y756" s="192"/>
      <x:c r="Z756" s="214"/>
      <x:c r="AA756" s="214"/>
      <x:c r="AB756" s="192"/>
      <x:c r="AC756" s="194"/>
      <x:c r="AD756" s="186" t="str">
        <x:f>IF(COUNTA(B756:H756)+COUNTA(J756:AC756)=0,"",IF(OR(B756="",D756="",E756="",G756="",J756=""),"缺少必填项",IF(H756&gt;G756,"完成数大于订单数",IF(AND(X756="",OR(Y756="排队",Y756="生产中",Y756="阻塞",Z756&lt;&gt;"",AA756&lt;&gt;"",AB756="是")),"已有排期字段缺少机台",IF(AND(X756&lt;&gt;"",Y756="待排"),"已填机台但状态为待排",IF(AND(Y756="生产中",AB756&lt;&gt;"是"),"需确认：生产中未锁定","可导入"))))))</x:f>
      </x:c>
    </x:row>
    <x:row r="757" ht="22" customHeight="1">
      <x:c r="A757" s="186" t="str">
        <x:f>IF(B757="","",ROW()-5)</x:f>
      </x:c>
      <x:c r="B757" s="196"/>
      <x:c r="C757" s="198"/>
      <x:c r="D757" s="196"/>
      <x:c r="E757" s="188"/>
      <x:c r="F757" s="198"/>
      <x:c r="G757" s="202"/>
      <x:c r="H757" s="204"/>
      <x:c r="I757" s="206" t="str">
        <x:f>IF(G757="","",MAX(G757-H757,0))</x:f>
      </x:c>
      <x:c r="J757" s="210"/>
      <x:c r="K757" s="190"/>
      <x:c r="L757" s="208"/>
      <x:c r="M757" s="208"/>
      <x:c r="N757" s="208"/>
      <x:c r="O757" s="208"/>
      <x:c r="P757" s="190"/>
      <x:c r="Q757" s="190"/>
      <x:c r="R757" s="190"/>
      <x:c r="S757" s="190"/>
      <x:c r="T757" s="190"/>
      <x:c r="U757" s="190"/>
      <x:c r="V757" s="212"/>
      <x:c r="W757" s="212"/>
      <x:c r="X757" s="200"/>
      <x:c r="Y757" s="192"/>
      <x:c r="Z757" s="214"/>
      <x:c r="AA757" s="214"/>
      <x:c r="AB757" s="192"/>
      <x:c r="AC757" s="194"/>
      <x:c r="AD757" s="186" t="str">
        <x:f>IF(COUNTA(B757:H757)+COUNTA(J757:AC757)=0,"",IF(OR(B757="",D757="",E757="",G757="",J757=""),"缺少必填项",IF(H757&gt;G757,"完成数大于订单数",IF(AND(X757="",OR(Y757="排队",Y757="生产中",Y757="阻塞",Z757&lt;&gt;"",AA757&lt;&gt;"",AB757="是")),"已有排期字段缺少机台",IF(AND(X757&lt;&gt;"",Y757="待排"),"已填机台但状态为待排",IF(AND(Y757="生产中",AB757&lt;&gt;"是"),"需确认：生产中未锁定","可导入"))))))</x:f>
      </x:c>
    </x:row>
    <x:row r="758" ht="22" customHeight="1">
      <x:c r="A758" s="186" t="str">
        <x:f>IF(B758="","",ROW()-5)</x:f>
      </x:c>
      <x:c r="B758" s="196"/>
      <x:c r="C758" s="198"/>
      <x:c r="D758" s="196"/>
      <x:c r="E758" s="188"/>
      <x:c r="F758" s="198"/>
      <x:c r="G758" s="202"/>
      <x:c r="H758" s="204"/>
      <x:c r="I758" s="206" t="str">
        <x:f>IF(G758="","",MAX(G758-H758,0))</x:f>
      </x:c>
      <x:c r="J758" s="210"/>
      <x:c r="K758" s="190"/>
      <x:c r="L758" s="208"/>
      <x:c r="M758" s="208"/>
      <x:c r="N758" s="208"/>
      <x:c r="O758" s="208"/>
      <x:c r="P758" s="190"/>
      <x:c r="Q758" s="190"/>
      <x:c r="R758" s="190"/>
      <x:c r="S758" s="190"/>
      <x:c r="T758" s="190"/>
      <x:c r="U758" s="190"/>
      <x:c r="V758" s="212"/>
      <x:c r="W758" s="212"/>
      <x:c r="X758" s="200"/>
      <x:c r="Y758" s="192"/>
      <x:c r="Z758" s="214"/>
      <x:c r="AA758" s="214"/>
      <x:c r="AB758" s="192"/>
      <x:c r="AC758" s="194"/>
      <x:c r="AD758" s="186" t="str">
        <x:f>IF(COUNTA(B758:H758)+COUNTA(J758:AC758)=0,"",IF(OR(B758="",D758="",E758="",G758="",J758=""),"缺少必填项",IF(H758&gt;G758,"完成数大于订单数",IF(AND(X758="",OR(Y758="排队",Y758="生产中",Y758="阻塞",Z758&lt;&gt;"",AA758&lt;&gt;"",AB758="是")),"已有排期字段缺少机台",IF(AND(X758&lt;&gt;"",Y758="待排"),"已填机台但状态为待排",IF(AND(Y758="生产中",AB758&lt;&gt;"是"),"需确认：生产中未锁定","可导入"))))))</x:f>
      </x:c>
    </x:row>
    <x:row r="759" ht="22" customHeight="1">
      <x:c r="A759" s="186" t="str">
        <x:f>IF(B759="","",ROW()-5)</x:f>
      </x:c>
      <x:c r="B759" s="196"/>
      <x:c r="C759" s="198"/>
      <x:c r="D759" s="196"/>
      <x:c r="E759" s="188"/>
      <x:c r="F759" s="198"/>
      <x:c r="G759" s="202"/>
      <x:c r="H759" s="204"/>
      <x:c r="I759" s="206" t="str">
        <x:f>IF(G759="","",MAX(G759-H759,0))</x:f>
      </x:c>
      <x:c r="J759" s="210"/>
      <x:c r="K759" s="190"/>
      <x:c r="L759" s="208"/>
      <x:c r="M759" s="208"/>
      <x:c r="N759" s="208"/>
      <x:c r="O759" s="208"/>
      <x:c r="P759" s="190"/>
      <x:c r="Q759" s="190"/>
      <x:c r="R759" s="190"/>
      <x:c r="S759" s="190"/>
      <x:c r="T759" s="190"/>
      <x:c r="U759" s="190"/>
      <x:c r="V759" s="212"/>
      <x:c r="W759" s="212"/>
      <x:c r="X759" s="200"/>
      <x:c r="Y759" s="192"/>
      <x:c r="Z759" s="214"/>
      <x:c r="AA759" s="214"/>
      <x:c r="AB759" s="192"/>
      <x:c r="AC759" s="194"/>
      <x:c r="AD759" s="186" t="str">
        <x:f>IF(COUNTA(B759:H759)+COUNTA(J759:AC759)=0,"",IF(OR(B759="",D759="",E759="",G759="",J759=""),"缺少必填项",IF(H759&gt;G759,"完成数大于订单数",IF(AND(X759="",OR(Y759="排队",Y759="生产中",Y759="阻塞",Z759&lt;&gt;"",AA759&lt;&gt;"",AB759="是")),"已有排期字段缺少机台",IF(AND(X759&lt;&gt;"",Y759="待排"),"已填机台但状态为待排",IF(AND(Y759="生产中",AB759&lt;&gt;"是"),"需确认：生产中未锁定","可导入"))))))</x:f>
      </x:c>
    </x:row>
    <x:row r="760" ht="22" customHeight="1">
      <x:c r="A760" s="186" t="str">
        <x:f>IF(B760="","",ROW()-5)</x:f>
      </x:c>
      <x:c r="B760" s="196"/>
      <x:c r="C760" s="198"/>
      <x:c r="D760" s="196"/>
      <x:c r="E760" s="188"/>
      <x:c r="F760" s="198"/>
      <x:c r="G760" s="202"/>
      <x:c r="H760" s="204"/>
      <x:c r="I760" s="206" t="str">
        <x:f>IF(G760="","",MAX(G760-H760,0))</x:f>
      </x:c>
      <x:c r="J760" s="210"/>
      <x:c r="K760" s="190"/>
      <x:c r="L760" s="208"/>
      <x:c r="M760" s="208"/>
      <x:c r="N760" s="208"/>
      <x:c r="O760" s="208"/>
      <x:c r="P760" s="190"/>
      <x:c r="Q760" s="190"/>
      <x:c r="R760" s="190"/>
      <x:c r="S760" s="190"/>
      <x:c r="T760" s="190"/>
      <x:c r="U760" s="190"/>
      <x:c r="V760" s="212"/>
      <x:c r="W760" s="212"/>
      <x:c r="X760" s="200"/>
      <x:c r="Y760" s="192"/>
      <x:c r="Z760" s="214"/>
      <x:c r="AA760" s="214"/>
      <x:c r="AB760" s="192"/>
      <x:c r="AC760" s="194"/>
      <x:c r="AD760" s="186" t="str">
        <x:f>IF(COUNTA(B760:H760)+COUNTA(J760:AC760)=0,"",IF(OR(B760="",D760="",E760="",G760="",J760=""),"缺少必填项",IF(H760&gt;G760,"完成数大于订单数",IF(AND(X760="",OR(Y760="排队",Y760="生产中",Y760="阻塞",Z760&lt;&gt;"",AA760&lt;&gt;"",AB760="是")),"已有排期字段缺少机台",IF(AND(X760&lt;&gt;"",Y760="待排"),"已填机台但状态为待排",IF(AND(Y760="生产中",AB760&lt;&gt;"是"),"需确认：生产中未锁定","可导入"))))))</x:f>
      </x:c>
    </x:row>
    <x:row r="761" ht="22" customHeight="1">
      <x:c r="A761" s="186" t="str">
        <x:f>IF(B761="","",ROW()-5)</x:f>
      </x:c>
      <x:c r="B761" s="196"/>
      <x:c r="C761" s="198"/>
      <x:c r="D761" s="196"/>
      <x:c r="E761" s="188"/>
      <x:c r="F761" s="198"/>
      <x:c r="G761" s="202"/>
      <x:c r="H761" s="204"/>
      <x:c r="I761" s="206" t="str">
        <x:f>IF(G761="","",MAX(G761-H761,0))</x:f>
      </x:c>
      <x:c r="J761" s="210"/>
      <x:c r="K761" s="190"/>
      <x:c r="L761" s="208"/>
      <x:c r="M761" s="208"/>
      <x:c r="N761" s="208"/>
      <x:c r="O761" s="208"/>
      <x:c r="P761" s="190"/>
      <x:c r="Q761" s="190"/>
      <x:c r="R761" s="190"/>
      <x:c r="S761" s="190"/>
      <x:c r="T761" s="190"/>
      <x:c r="U761" s="190"/>
      <x:c r="V761" s="212"/>
      <x:c r="W761" s="212"/>
      <x:c r="X761" s="200"/>
      <x:c r="Y761" s="192"/>
      <x:c r="Z761" s="214"/>
      <x:c r="AA761" s="214"/>
      <x:c r="AB761" s="192"/>
      <x:c r="AC761" s="194"/>
      <x:c r="AD761" s="186" t="str">
        <x:f>IF(COUNTA(B761:H761)+COUNTA(J761:AC761)=0,"",IF(OR(B761="",D761="",E761="",G761="",J761=""),"缺少必填项",IF(H761&gt;G761,"完成数大于订单数",IF(AND(X761="",OR(Y761="排队",Y761="生产中",Y761="阻塞",Z761&lt;&gt;"",AA761&lt;&gt;"",AB761="是")),"已有排期字段缺少机台",IF(AND(X761&lt;&gt;"",Y761="待排"),"已填机台但状态为待排",IF(AND(Y761="生产中",AB761&lt;&gt;"是"),"需确认：生产中未锁定","可导入"))))))</x:f>
      </x:c>
    </x:row>
    <x:row r="762" ht="22" customHeight="1">
      <x:c r="A762" s="186" t="str">
        <x:f>IF(B762="","",ROW()-5)</x:f>
      </x:c>
      <x:c r="B762" s="196"/>
      <x:c r="C762" s="198"/>
      <x:c r="D762" s="196"/>
      <x:c r="E762" s="188"/>
      <x:c r="F762" s="198"/>
      <x:c r="G762" s="202"/>
      <x:c r="H762" s="204"/>
      <x:c r="I762" s="206" t="str">
        <x:f>IF(G762="","",MAX(G762-H762,0))</x:f>
      </x:c>
      <x:c r="J762" s="210"/>
      <x:c r="K762" s="190"/>
      <x:c r="L762" s="208"/>
      <x:c r="M762" s="208"/>
      <x:c r="N762" s="208"/>
      <x:c r="O762" s="208"/>
      <x:c r="P762" s="190"/>
      <x:c r="Q762" s="190"/>
      <x:c r="R762" s="190"/>
      <x:c r="S762" s="190"/>
      <x:c r="T762" s="190"/>
      <x:c r="U762" s="190"/>
      <x:c r="V762" s="212"/>
      <x:c r="W762" s="212"/>
      <x:c r="X762" s="200"/>
      <x:c r="Y762" s="192"/>
      <x:c r="Z762" s="214"/>
      <x:c r="AA762" s="214"/>
      <x:c r="AB762" s="192"/>
      <x:c r="AC762" s="194"/>
      <x:c r="AD762" s="186" t="str">
        <x:f>IF(COUNTA(B762:H762)+COUNTA(J762:AC762)=0,"",IF(OR(B762="",D762="",E762="",G762="",J762=""),"缺少必填项",IF(H762&gt;G762,"完成数大于订单数",IF(AND(X762="",OR(Y762="排队",Y762="生产中",Y762="阻塞",Z762&lt;&gt;"",AA762&lt;&gt;"",AB762="是")),"已有排期字段缺少机台",IF(AND(X762&lt;&gt;"",Y762="待排"),"已填机台但状态为待排",IF(AND(Y762="生产中",AB762&lt;&gt;"是"),"需确认：生产中未锁定","可导入"))))))</x:f>
      </x:c>
    </x:row>
    <x:row r="763" ht="22" customHeight="1">
      <x:c r="A763" s="186" t="str">
        <x:f>IF(B763="","",ROW()-5)</x:f>
      </x:c>
      <x:c r="B763" s="196"/>
      <x:c r="C763" s="198"/>
      <x:c r="D763" s="196"/>
      <x:c r="E763" s="188"/>
      <x:c r="F763" s="198"/>
      <x:c r="G763" s="202"/>
      <x:c r="H763" s="204"/>
      <x:c r="I763" s="206" t="str">
        <x:f>IF(G763="","",MAX(G763-H763,0))</x:f>
      </x:c>
      <x:c r="J763" s="210"/>
      <x:c r="K763" s="190"/>
      <x:c r="L763" s="208"/>
      <x:c r="M763" s="208"/>
      <x:c r="N763" s="208"/>
      <x:c r="O763" s="208"/>
      <x:c r="P763" s="190"/>
      <x:c r="Q763" s="190"/>
      <x:c r="R763" s="190"/>
      <x:c r="S763" s="190"/>
      <x:c r="T763" s="190"/>
      <x:c r="U763" s="190"/>
      <x:c r="V763" s="212"/>
      <x:c r="W763" s="212"/>
      <x:c r="X763" s="200"/>
      <x:c r="Y763" s="192"/>
      <x:c r="Z763" s="214"/>
      <x:c r="AA763" s="214"/>
      <x:c r="AB763" s="192"/>
      <x:c r="AC763" s="194"/>
      <x:c r="AD763" s="186" t="str">
        <x:f>IF(COUNTA(B763:H763)+COUNTA(J763:AC763)=0,"",IF(OR(B763="",D763="",E763="",G763="",J763=""),"缺少必填项",IF(H763&gt;G763,"完成数大于订单数",IF(AND(X763="",OR(Y763="排队",Y763="生产中",Y763="阻塞",Z763&lt;&gt;"",AA763&lt;&gt;"",AB763="是")),"已有排期字段缺少机台",IF(AND(X763&lt;&gt;"",Y763="待排"),"已填机台但状态为待排",IF(AND(Y763="生产中",AB763&lt;&gt;"是"),"需确认：生产中未锁定","可导入"))))))</x:f>
      </x:c>
    </x:row>
    <x:row r="764" ht="22" customHeight="1">
      <x:c r="A764" s="186" t="str">
        <x:f>IF(B764="","",ROW()-5)</x:f>
      </x:c>
      <x:c r="B764" s="196"/>
      <x:c r="C764" s="198"/>
      <x:c r="D764" s="196"/>
      <x:c r="E764" s="188"/>
      <x:c r="F764" s="198"/>
      <x:c r="G764" s="202"/>
      <x:c r="H764" s="204"/>
      <x:c r="I764" s="206" t="str">
        <x:f>IF(G764="","",MAX(G764-H764,0))</x:f>
      </x:c>
      <x:c r="J764" s="210"/>
      <x:c r="K764" s="190"/>
      <x:c r="L764" s="208"/>
      <x:c r="M764" s="208"/>
      <x:c r="N764" s="208"/>
      <x:c r="O764" s="208"/>
      <x:c r="P764" s="190"/>
      <x:c r="Q764" s="190"/>
      <x:c r="R764" s="190"/>
      <x:c r="S764" s="190"/>
      <x:c r="T764" s="190"/>
      <x:c r="U764" s="190"/>
      <x:c r="V764" s="212"/>
      <x:c r="W764" s="212"/>
      <x:c r="X764" s="200"/>
      <x:c r="Y764" s="192"/>
      <x:c r="Z764" s="214"/>
      <x:c r="AA764" s="214"/>
      <x:c r="AB764" s="192"/>
      <x:c r="AC764" s="194"/>
      <x:c r="AD764" s="186" t="str">
        <x:f>IF(COUNTA(B764:H764)+COUNTA(J764:AC764)=0,"",IF(OR(B764="",D764="",E764="",G764="",J764=""),"缺少必填项",IF(H764&gt;G764,"完成数大于订单数",IF(AND(X764="",OR(Y764="排队",Y764="生产中",Y764="阻塞",Z764&lt;&gt;"",AA764&lt;&gt;"",AB764="是")),"已有排期字段缺少机台",IF(AND(X764&lt;&gt;"",Y764="待排"),"已填机台但状态为待排",IF(AND(Y764="生产中",AB764&lt;&gt;"是"),"需确认：生产中未锁定","可导入"))))))</x:f>
      </x:c>
    </x:row>
    <x:row r="765" ht="22" customHeight="1">
      <x:c r="A765" s="186" t="str">
        <x:f>IF(B765="","",ROW()-5)</x:f>
      </x:c>
      <x:c r="B765" s="196"/>
      <x:c r="C765" s="198"/>
      <x:c r="D765" s="196"/>
      <x:c r="E765" s="188"/>
      <x:c r="F765" s="198"/>
      <x:c r="G765" s="202"/>
      <x:c r="H765" s="204"/>
      <x:c r="I765" s="206" t="str">
        <x:f>IF(G765="","",MAX(G765-H765,0))</x:f>
      </x:c>
      <x:c r="J765" s="210"/>
      <x:c r="K765" s="190"/>
      <x:c r="L765" s="208"/>
      <x:c r="M765" s="208"/>
      <x:c r="N765" s="208"/>
      <x:c r="O765" s="208"/>
      <x:c r="P765" s="190"/>
      <x:c r="Q765" s="190"/>
      <x:c r="R765" s="190"/>
      <x:c r="S765" s="190"/>
      <x:c r="T765" s="190"/>
      <x:c r="U765" s="190"/>
      <x:c r="V765" s="212"/>
      <x:c r="W765" s="212"/>
      <x:c r="X765" s="200"/>
      <x:c r="Y765" s="192"/>
      <x:c r="Z765" s="214"/>
      <x:c r="AA765" s="214"/>
      <x:c r="AB765" s="192"/>
      <x:c r="AC765" s="194"/>
      <x:c r="AD765" s="186" t="str">
        <x:f>IF(COUNTA(B765:H765)+COUNTA(J765:AC765)=0,"",IF(OR(B765="",D765="",E765="",G765="",J765=""),"缺少必填项",IF(H765&gt;G765,"完成数大于订单数",IF(AND(X765="",OR(Y765="排队",Y765="生产中",Y765="阻塞",Z765&lt;&gt;"",AA765&lt;&gt;"",AB765="是")),"已有排期字段缺少机台",IF(AND(X765&lt;&gt;"",Y765="待排"),"已填机台但状态为待排",IF(AND(Y765="生产中",AB765&lt;&gt;"是"),"需确认：生产中未锁定","可导入"))))))</x:f>
      </x:c>
    </x:row>
    <x:row r="766" ht="22" customHeight="1">
      <x:c r="A766" s="186" t="str">
        <x:f>IF(B766="","",ROW()-5)</x:f>
      </x:c>
      <x:c r="B766" s="196"/>
      <x:c r="C766" s="198"/>
      <x:c r="D766" s="196"/>
      <x:c r="E766" s="188"/>
      <x:c r="F766" s="198"/>
      <x:c r="G766" s="202"/>
      <x:c r="H766" s="204"/>
      <x:c r="I766" s="206" t="str">
        <x:f>IF(G766="","",MAX(G766-H766,0))</x:f>
      </x:c>
      <x:c r="J766" s="210"/>
      <x:c r="K766" s="190"/>
      <x:c r="L766" s="208"/>
      <x:c r="M766" s="208"/>
      <x:c r="N766" s="208"/>
      <x:c r="O766" s="208"/>
      <x:c r="P766" s="190"/>
      <x:c r="Q766" s="190"/>
      <x:c r="R766" s="190"/>
      <x:c r="S766" s="190"/>
      <x:c r="T766" s="190"/>
      <x:c r="U766" s="190"/>
      <x:c r="V766" s="212"/>
      <x:c r="W766" s="212"/>
      <x:c r="X766" s="200"/>
      <x:c r="Y766" s="192"/>
      <x:c r="Z766" s="214"/>
      <x:c r="AA766" s="214"/>
      <x:c r="AB766" s="192"/>
      <x:c r="AC766" s="194"/>
      <x:c r="AD766" s="186" t="str">
        <x:f>IF(COUNTA(B766:H766)+COUNTA(J766:AC766)=0,"",IF(OR(B766="",D766="",E766="",G766="",J766=""),"缺少必填项",IF(H766&gt;G766,"完成数大于订单数",IF(AND(X766="",OR(Y766="排队",Y766="生产中",Y766="阻塞",Z766&lt;&gt;"",AA766&lt;&gt;"",AB766="是")),"已有排期字段缺少机台",IF(AND(X766&lt;&gt;"",Y766="待排"),"已填机台但状态为待排",IF(AND(Y766="生产中",AB766&lt;&gt;"是"),"需确认：生产中未锁定","可导入"))))))</x:f>
      </x:c>
    </x:row>
    <x:row r="767" ht="22" customHeight="1">
      <x:c r="A767" s="186" t="str">
        <x:f>IF(B767="","",ROW()-5)</x:f>
      </x:c>
      <x:c r="B767" s="196"/>
      <x:c r="C767" s="198"/>
      <x:c r="D767" s="196"/>
      <x:c r="E767" s="188"/>
      <x:c r="F767" s="198"/>
      <x:c r="G767" s="202"/>
      <x:c r="H767" s="204"/>
      <x:c r="I767" s="206" t="str">
        <x:f>IF(G767="","",MAX(G767-H767,0))</x:f>
      </x:c>
      <x:c r="J767" s="210"/>
      <x:c r="K767" s="190"/>
      <x:c r="L767" s="208"/>
      <x:c r="M767" s="208"/>
      <x:c r="N767" s="208"/>
      <x:c r="O767" s="208"/>
      <x:c r="P767" s="190"/>
      <x:c r="Q767" s="190"/>
      <x:c r="R767" s="190"/>
      <x:c r="S767" s="190"/>
      <x:c r="T767" s="190"/>
      <x:c r="U767" s="190"/>
      <x:c r="V767" s="212"/>
      <x:c r="W767" s="212"/>
      <x:c r="X767" s="200"/>
      <x:c r="Y767" s="192"/>
      <x:c r="Z767" s="214"/>
      <x:c r="AA767" s="214"/>
      <x:c r="AB767" s="192"/>
      <x:c r="AC767" s="194"/>
      <x:c r="AD767" s="186" t="str">
        <x:f>IF(COUNTA(B767:H767)+COUNTA(J767:AC767)=0,"",IF(OR(B767="",D767="",E767="",G767="",J767=""),"缺少必填项",IF(H767&gt;G767,"完成数大于订单数",IF(AND(X767="",OR(Y767="排队",Y767="生产中",Y767="阻塞",Z767&lt;&gt;"",AA767&lt;&gt;"",AB767="是")),"已有排期字段缺少机台",IF(AND(X767&lt;&gt;"",Y767="待排"),"已填机台但状态为待排",IF(AND(Y767="生产中",AB767&lt;&gt;"是"),"需确认：生产中未锁定","可导入"))))))</x:f>
      </x:c>
    </x:row>
    <x:row r="768" ht="22" customHeight="1">
      <x:c r="A768" s="186" t="str">
        <x:f>IF(B768="","",ROW()-5)</x:f>
      </x:c>
      <x:c r="B768" s="196"/>
      <x:c r="C768" s="198"/>
      <x:c r="D768" s="196"/>
      <x:c r="E768" s="188"/>
      <x:c r="F768" s="198"/>
      <x:c r="G768" s="202"/>
      <x:c r="H768" s="204"/>
      <x:c r="I768" s="206" t="str">
        <x:f>IF(G768="","",MAX(G768-H768,0))</x:f>
      </x:c>
      <x:c r="J768" s="210"/>
      <x:c r="K768" s="190"/>
      <x:c r="L768" s="208"/>
      <x:c r="M768" s="208"/>
      <x:c r="N768" s="208"/>
      <x:c r="O768" s="208"/>
      <x:c r="P768" s="190"/>
      <x:c r="Q768" s="190"/>
      <x:c r="R768" s="190"/>
      <x:c r="S768" s="190"/>
      <x:c r="T768" s="190"/>
      <x:c r="U768" s="190"/>
      <x:c r="V768" s="212"/>
      <x:c r="W768" s="212"/>
      <x:c r="X768" s="200"/>
      <x:c r="Y768" s="192"/>
      <x:c r="Z768" s="214"/>
      <x:c r="AA768" s="214"/>
      <x:c r="AB768" s="192"/>
      <x:c r="AC768" s="194"/>
      <x:c r="AD768" s="186" t="str">
        <x:f>IF(COUNTA(B768:H768)+COUNTA(J768:AC768)=0,"",IF(OR(B768="",D768="",E768="",G768="",J768=""),"缺少必填项",IF(H768&gt;G768,"完成数大于订单数",IF(AND(X768="",OR(Y768="排队",Y768="生产中",Y768="阻塞",Z768&lt;&gt;"",AA768&lt;&gt;"",AB768="是")),"已有排期字段缺少机台",IF(AND(X768&lt;&gt;"",Y768="待排"),"已填机台但状态为待排",IF(AND(Y768="生产中",AB768&lt;&gt;"是"),"需确认：生产中未锁定","可导入"))))))</x:f>
      </x:c>
    </x:row>
    <x:row r="769" ht="22" customHeight="1">
      <x:c r="A769" s="186" t="str">
        <x:f>IF(B769="","",ROW()-5)</x:f>
      </x:c>
      <x:c r="B769" s="196"/>
      <x:c r="C769" s="198"/>
      <x:c r="D769" s="196"/>
      <x:c r="E769" s="188"/>
      <x:c r="F769" s="198"/>
      <x:c r="G769" s="202"/>
      <x:c r="H769" s="204"/>
      <x:c r="I769" s="206" t="str">
        <x:f>IF(G769="","",MAX(G769-H769,0))</x:f>
      </x:c>
      <x:c r="J769" s="210"/>
      <x:c r="K769" s="190"/>
      <x:c r="L769" s="208"/>
      <x:c r="M769" s="208"/>
      <x:c r="N769" s="208"/>
      <x:c r="O769" s="208"/>
      <x:c r="P769" s="190"/>
      <x:c r="Q769" s="190"/>
      <x:c r="R769" s="190"/>
      <x:c r="S769" s="190"/>
      <x:c r="T769" s="190"/>
      <x:c r="U769" s="190"/>
      <x:c r="V769" s="212"/>
      <x:c r="W769" s="212"/>
      <x:c r="X769" s="200"/>
      <x:c r="Y769" s="192"/>
      <x:c r="Z769" s="214"/>
      <x:c r="AA769" s="214"/>
      <x:c r="AB769" s="192"/>
      <x:c r="AC769" s="194"/>
      <x:c r="AD769" s="186" t="str">
        <x:f>IF(COUNTA(B769:H769)+COUNTA(J769:AC769)=0,"",IF(OR(B769="",D769="",E769="",G769="",J769=""),"缺少必填项",IF(H769&gt;G769,"完成数大于订单数",IF(AND(X769="",OR(Y769="排队",Y769="生产中",Y769="阻塞",Z769&lt;&gt;"",AA769&lt;&gt;"",AB769="是")),"已有排期字段缺少机台",IF(AND(X769&lt;&gt;"",Y769="待排"),"已填机台但状态为待排",IF(AND(Y769="生产中",AB769&lt;&gt;"是"),"需确认：生产中未锁定","可导入"))))))</x:f>
      </x:c>
    </x:row>
    <x:row r="770" ht="22" customHeight="1">
      <x:c r="A770" s="186" t="str">
        <x:f>IF(B770="","",ROW()-5)</x:f>
      </x:c>
      <x:c r="B770" s="196"/>
      <x:c r="C770" s="198"/>
      <x:c r="D770" s="196"/>
      <x:c r="E770" s="188"/>
      <x:c r="F770" s="198"/>
      <x:c r="G770" s="202"/>
      <x:c r="H770" s="204"/>
      <x:c r="I770" s="206" t="str">
        <x:f>IF(G770="","",MAX(G770-H770,0))</x:f>
      </x:c>
      <x:c r="J770" s="210"/>
      <x:c r="K770" s="190"/>
      <x:c r="L770" s="208"/>
      <x:c r="M770" s="208"/>
      <x:c r="N770" s="208"/>
      <x:c r="O770" s="208"/>
      <x:c r="P770" s="190"/>
      <x:c r="Q770" s="190"/>
      <x:c r="R770" s="190"/>
      <x:c r="S770" s="190"/>
      <x:c r="T770" s="190"/>
      <x:c r="U770" s="190"/>
      <x:c r="V770" s="212"/>
      <x:c r="W770" s="212"/>
      <x:c r="X770" s="200"/>
      <x:c r="Y770" s="192"/>
      <x:c r="Z770" s="214"/>
      <x:c r="AA770" s="214"/>
      <x:c r="AB770" s="192"/>
      <x:c r="AC770" s="194"/>
      <x:c r="AD770" s="186" t="str">
        <x:f>IF(COUNTA(B770:H770)+COUNTA(J770:AC770)=0,"",IF(OR(B770="",D770="",E770="",G770="",J770=""),"缺少必填项",IF(H770&gt;G770,"完成数大于订单数",IF(AND(X770="",OR(Y770="排队",Y770="生产中",Y770="阻塞",Z770&lt;&gt;"",AA770&lt;&gt;"",AB770="是")),"已有排期字段缺少机台",IF(AND(X770&lt;&gt;"",Y770="待排"),"已填机台但状态为待排",IF(AND(Y770="生产中",AB770&lt;&gt;"是"),"需确认：生产中未锁定","可导入"))))))</x:f>
      </x:c>
    </x:row>
    <x:row r="771" ht="22" customHeight="1">
      <x:c r="A771" s="186" t="str">
        <x:f>IF(B771="","",ROW()-5)</x:f>
      </x:c>
      <x:c r="B771" s="196"/>
      <x:c r="C771" s="198"/>
      <x:c r="D771" s="196"/>
      <x:c r="E771" s="188"/>
      <x:c r="F771" s="198"/>
      <x:c r="G771" s="202"/>
      <x:c r="H771" s="204"/>
      <x:c r="I771" s="206" t="str">
        <x:f>IF(G771="","",MAX(G771-H771,0))</x:f>
      </x:c>
      <x:c r="J771" s="210"/>
      <x:c r="K771" s="190"/>
      <x:c r="L771" s="208"/>
      <x:c r="M771" s="208"/>
      <x:c r="N771" s="208"/>
      <x:c r="O771" s="208"/>
      <x:c r="P771" s="190"/>
      <x:c r="Q771" s="190"/>
      <x:c r="R771" s="190"/>
      <x:c r="S771" s="190"/>
      <x:c r="T771" s="190"/>
      <x:c r="U771" s="190"/>
      <x:c r="V771" s="212"/>
      <x:c r="W771" s="212"/>
      <x:c r="X771" s="200"/>
      <x:c r="Y771" s="192"/>
      <x:c r="Z771" s="214"/>
      <x:c r="AA771" s="214"/>
      <x:c r="AB771" s="192"/>
      <x:c r="AC771" s="194"/>
      <x:c r="AD771" s="186" t="str">
        <x:f>IF(COUNTA(B771:H771)+COUNTA(J771:AC771)=0,"",IF(OR(B771="",D771="",E771="",G771="",J771=""),"缺少必填项",IF(H771&gt;G771,"完成数大于订单数",IF(AND(X771="",OR(Y771="排队",Y771="生产中",Y771="阻塞",Z771&lt;&gt;"",AA771&lt;&gt;"",AB771="是")),"已有排期字段缺少机台",IF(AND(X771&lt;&gt;"",Y771="待排"),"已填机台但状态为待排",IF(AND(Y771="生产中",AB771&lt;&gt;"是"),"需确认：生产中未锁定","可导入"))))))</x:f>
      </x:c>
    </x:row>
    <x:row r="772" ht="22" customHeight="1">
      <x:c r="A772" s="186" t="str">
        <x:f>IF(B772="","",ROW()-5)</x:f>
      </x:c>
      <x:c r="B772" s="196"/>
      <x:c r="C772" s="198"/>
      <x:c r="D772" s="196"/>
      <x:c r="E772" s="188"/>
      <x:c r="F772" s="198"/>
      <x:c r="G772" s="202"/>
      <x:c r="H772" s="204"/>
      <x:c r="I772" s="206" t="str">
        <x:f>IF(G772="","",MAX(G772-H772,0))</x:f>
      </x:c>
      <x:c r="J772" s="210"/>
      <x:c r="K772" s="190"/>
      <x:c r="L772" s="208"/>
      <x:c r="M772" s="208"/>
      <x:c r="N772" s="208"/>
      <x:c r="O772" s="208"/>
      <x:c r="P772" s="190"/>
      <x:c r="Q772" s="190"/>
      <x:c r="R772" s="190"/>
      <x:c r="S772" s="190"/>
      <x:c r="T772" s="190"/>
      <x:c r="U772" s="190"/>
      <x:c r="V772" s="212"/>
      <x:c r="W772" s="212"/>
      <x:c r="X772" s="200"/>
      <x:c r="Y772" s="192"/>
      <x:c r="Z772" s="214"/>
      <x:c r="AA772" s="214"/>
      <x:c r="AB772" s="192"/>
      <x:c r="AC772" s="194"/>
      <x:c r="AD772" s="186" t="str">
        <x:f>IF(COUNTA(B772:H772)+COUNTA(J772:AC772)=0,"",IF(OR(B772="",D772="",E772="",G772="",J772=""),"缺少必填项",IF(H772&gt;G772,"完成数大于订单数",IF(AND(X772="",OR(Y772="排队",Y772="生产中",Y772="阻塞",Z772&lt;&gt;"",AA772&lt;&gt;"",AB772="是")),"已有排期字段缺少机台",IF(AND(X772&lt;&gt;"",Y772="待排"),"已填机台但状态为待排",IF(AND(Y772="生产中",AB772&lt;&gt;"是"),"需确认：生产中未锁定","可导入"))))))</x:f>
      </x:c>
    </x:row>
    <x:row r="773" ht="22" customHeight="1">
      <x:c r="A773" s="186" t="str">
        <x:f>IF(B773="","",ROW()-5)</x:f>
      </x:c>
      <x:c r="B773" s="196"/>
      <x:c r="C773" s="198"/>
      <x:c r="D773" s="196"/>
      <x:c r="E773" s="188"/>
      <x:c r="F773" s="198"/>
      <x:c r="G773" s="202"/>
      <x:c r="H773" s="204"/>
      <x:c r="I773" s="206" t="str">
        <x:f>IF(G773="","",MAX(G773-H773,0))</x:f>
      </x:c>
      <x:c r="J773" s="210"/>
      <x:c r="K773" s="190"/>
      <x:c r="L773" s="208"/>
      <x:c r="M773" s="208"/>
      <x:c r="N773" s="208"/>
      <x:c r="O773" s="208"/>
      <x:c r="P773" s="190"/>
      <x:c r="Q773" s="190"/>
      <x:c r="R773" s="190"/>
      <x:c r="S773" s="190"/>
      <x:c r="T773" s="190"/>
      <x:c r="U773" s="190"/>
      <x:c r="V773" s="212"/>
      <x:c r="W773" s="212"/>
      <x:c r="X773" s="200"/>
      <x:c r="Y773" s="192"/>
      <x:c r="Z773" s="214"/>
      <x:c r="AA773" s="214"/>
      <x:c r="AB773" s="192"/>
      <x:c r="AC773" s="194"/>
      <x:c r="AD773" s="186" t="str">
        <x:f>IF(COUNTA(B773:H773)+COUNTA(J773:AC773)=0,"",IF(OR(B773="",D773="",E773="",G773="",J773=""),"缺少必填项",IF(H773&gt;G773,"完成数大于订单数",IF(AND(X773="",OR(Y773="排队",Y773="生产中",Y773="阻塞",Z773&lt;&gt;"",AA773&lt;&gt;"",AB773="是")),"已有排期字段缺少机台",IF(AND(X773&lt;&gt;"",Y773="待排"),"已填机台但状态为待排",IF(AND(Y773="生产中",AB773&lt;&gt;"是"),"需确认：生产中未锁定","可导入"))))))</x:f>
      </x:c>
    </x:row>
    <x:row r="774" ht="22" customHeight="1">
      <x:c r="A774" s="186" t="str">
        <x:f>IF(B774="","",ROW()-5)</x:f>
      </x:c>
      <x:c r="B774" s="196"/>
      <x:c r="C774" s="198"/>
      <x:c r="D774" s="196"/>
      <x:c r="E774" s="188"/>
      <x:c r="F774" s="198"/>
      <x:c r="G774" s="202"/>
      <x:c r="H774" s="204"/>
      <x:c r="I774" s="206" t="str">
        <x:f>IF(G774="","",MAX(G774-H774,0))</x:f>
      </x:c>
      <x:c r="J774" s="210"/>
      <x:c r="K774" s="190"/>
      <x:c r="L774" s="208"/>
      <x:c r="M774" s="208"/>
      <x:c r="N774" s="208"/>
      <x:c r="O774" s="208"/>
      <x:c r="P774" s="190"/>
      <x:c r="Q774" s="190"/>
      <x:c r="R774" s="190"/>
      <x:c r="S774" s="190"/>
      <x:c r="T774" s="190"/>
      <x:c r="U774" s="190"/>
      <x:c r="V774" s="212"/>
      <x:c r="W774" s="212"/>
      <x:c r="X774" s="200"/>
      <x:c r="Y774" s="192"/>
      <x:c r="Z774" s="214"/>
      <x:c r="AA774" s="214"/>
      <x:c r="AB774" s="192"/>
      <x:c r="AC774" s="194"/>
      <x:c r="AD774" s="186" t="str">
        <x:f>IF(COUNTA(B774:H774)+COUNTA(J774:AC774)=0,"",IF(OR(B774="",D774="",E774="",G774="",J774=""),"缺少必填项",IF(H774&gt;G774,"完成数大于订单数",IF(AND(X774="",OR(Y774="排队",Y774="生产中",Y774="阻塞",Z774&lt;&gt;"",AA774&lt;&gt;"",AB774="是")),"已有排期字段缺少机台",IF(AND(X774&lt;&gt;"",Y774="待排"),"已填机台但状态为待排",IF(AND(Y774="生产中",AB774&lt;&gt;"是"),"需确认：生产中未锁定","可导入"))))))</x:f>
      </x:c>
    </x:row>
    <x:row r="775" ht="22" customHeight="1">
      <x:c r="A775" s="186" t="str">
        <x:f>IF(B775="","",ROW()-5)</x:f>
      </x:c>
      <x:c r="B775" s="196"/>
      <x:c r="C775" s="198"/>
      <x:c r="D775" s="196"/>
      <x:c r="E775" s="188"/>
      <x:c r="F775" s="198"/>
      <x:c r="G775" s="202"/>
      <x:c r="H775" s="204"/>
      <x:c r="I775" s="206" t="str">
        <x:f>IF(G775="","",MAX(G775-H775,0))</x:f>
      </x:c>
      <x:c r="J775" s="210"/>
      <x:c r="K775" s="190"/>
      <x:c r="L775" s="208"/>
      <x:c r="M775" s="208"/>
      <x:c r="N775" s="208"/>
      <x:c r="O775" s="208"/>
      <x:c r="P775" s="190"/>
      <x:c r="Q775" s="190"/>
      <x:c r="R775" s="190"/>
      <x:c r="S775" s="190"/>
      <x:c r="T775" s="190"/>
      <x:c r="U775" s="190"/>
      <x:c r="V775" s="212"/>
      <x:c r="W775" s="212"/>
      <x:c r="X775" s="200"/>
      <x:c r="Y775" s="192"/>
      <x:c r="Z775" s="214"/>
      <x:c r="AA775" s="214"/>
      <x:c r="AB775" s="192"/>
      <x:c r="AC775" s="194"/>
      <x:c r="AD775" s="186" t="str">
        <x:f>IF(COUNTA(B775:H775)+COUNTA(J775:AC775)=0,"",IF(OR(B775="",D775="",E775="",G775="",J775=""),"缺少必填项",IF(H775&gt;G775,"完成数大于订单数",IF(AND(X775="",OR(Y775="排队",Y775="生产中",Y775="阻塞",Z775&lt;&gt;"",AA775&lt;&gt;"",AB775="是")),"已有排期字段缺少机台",IF(AND(X775&lt;&gt;"",Y775="待排"),"已填机台但状态为待排",IF(AND(Y775="生产中",AB775&lt;&gt;"是"),"需确认：生产中未锁定","可导入"))))))</x:f>
      </x:c>
    </x:row>
    <x:row r="776" ht="22" customHeight="1">
      <x:c r="A776" s="186" t="str">
        <x:f>IF(B776="","",ROW()-5)</x:f>
      </x:c>
      <x:c r="B776" s="196"/>
      <x:c r="C776" s="198"/>
      <x:c r="D776" s="196"/>
      <x:c r="E776" s="188"/>
      <x:c r="F776" s="198"/>
      <x:c r="G776" s="202"/>
      <x:c r="H776" s="204"/>
      <x:c r="I776" s="206" t="str">
        <x:f>IF(G776="","",MAX(G776-H776,0))</x:f>
      </x:c>
      <x:c r="J776" s="210"/>
      <x:c r="K776" s="190"/>
      <x:c r="L776" s="208"/>
      <x:c r="M776" s="208"/>
      <x:c r="N776" s="208"/>
      <x:c r="O776" s="208"/>
      <x:c r="P776" s="190"/>
      <x:c r="Q776" s="190"/>
      <x:c r="R776" s="190"/>
      <x:c r="S776" s="190"/>
      <x:c r="T776" s="190"/>
      <x:c r="U776" s="190"/>
      <x:c r="V776" s="212"/>
      <x:c r="W776" s="212"/>
      <x:c r="X776" s="200"/>
      <x:c r="Y776" s="192"/>
      <x:c r="Z776" s="214"/>
      <x:c r="AA776" s="214"/>
      <x:c r="AB776" s="192"/>
      <x:c r="AC776" s="194"/>
      <x:c r="AD776" s="186" t="str">
        <x:f>IF(COUNTA(B776:H776)+COUNTA(J776:AC776)=0,"",IF(OR(B776="",D776="",E776="",G776="",J776=""),"缺少必填项",IF(H776&gt;G776,"完成数大于订单数",IF(AND(X776="",OR(Y776="排队",Y776="生产中",Y776="阻塞",Z776&lt;&gt;"",AA776&lt;&gt;"",AB776="是")),"已有排期字段缺少机台",IF(AND(X776&lt;&gt;"",Y776="待排"),"已填机台但状态为待排",IF(AND(Y776="生产中",AB776&lt;&gt;"是"),"需确认：生产中未锁定","可导入"))))))</x:f>
      </x:c>
    </x:row>
    <x:row r="777" ht="22" customHeight="1">
      <x:c r="A777" s="186" t="str">
        <x:f>IF(B777="","",ROW()-5)</x:f>
      </x:c>
      <x:c r="B777" s="196"/>
      <x:c r="C777" s="198"/>
      <x:c r="D777" s="196"/>
      <x:c r="E777" s="188"/>
      <x:c r="F777" s="198"/>
      <x:c r="G777" s="202"/>
      <x:c r="H777" s="204"/>
      <x:c r="I777" s="206" t="str">
        <x:f>IF(G777="","",MAX(G777-H777,0))</x:f>
      </x:c>
      <x:c r="J777" s="210"/>
      <x:c r="K777" s="190"/>
      <x:c r="L777" s="208"/>
      <x:c r="M777" s="208"/>
      <x:c r="N777" s="208"/>
      <x:c r="O777" s="208"/>
      <x:c r="P777" s="190"/>
      <x:c r="Q777" s="190"/>
      <x:c r="R777" s="190"/>
      <x:c r="S777" s="190"/>
      <x:c r="T777" s="190"/>
      <x:c r="U777" s="190"/>
      <x:c r="V777" s="212"/>
      <x:c r="W777" s="212"/>
      <x:c r="X777" s="200"/>
      <x:c r="Y777" s="192"/>
      <x:c r="Z777" s="214"/>
      <x:c r="AA777" s="214"/>
      <x:c r="AB777" s="192"/>
      <x:c r="AC777" s="194"/>
      <x:c r="AD777" s="186" t="str">
        <x:f>IF(COUNTA(B777:H777)+COUNTA(J777:AC777)=0,"",IF(OR(B777="",D777="",E777="",G777="",J777=""),"缺少必填项",IF(H777&gt;G777,"完成数大于订单数",IF(AND(X777="",OR(Y777="排队",Y777="生产中",Y777="阻塞",Z777&lt;&gt;"",AA777&lt;&gt;"",AB777="是")),"已有排期字段缺少机台",IF(AND(X777&lt;&gt;"",Y777="待排"),"已填机台但状态为待排",IF(AND(Y777="生产中",AB777&lt;&gt;"是"),"需确认：生产中未锁定","可导入"))))))</x:f>
      </x:c>
    </x:row>
    <x:row r="778" ht="22" customHeight="1">
      <x:c r="A778" s="186" t="str">
        <x:f>IF(B778="","",ROW()-5)</x:f>
      </x:c>
      <x:c r="B778" s="196"/>
      <x:c r="C778" s="198"/>
      <x:c r="D778" s="196"/>
      <x:c r="E778" s="188"/>
      <x:c r="F778" s="198"/>
      <x:c r="G778" s="202"/>
      <x:c r="H778" s="204"/>
      <x:c r="I778" s="206" t="str">
        <x:f>IF(G778="","",MAX(G778-H778,0))</x:f>
      </x:c>
      <x:c r="J778" s="210"/>
      <x:c r="K778" s="190"/>
      <x:c r="L778" s="208"/>
      <x:c r="M778" s="208"/>
      <x:c r="N778" s="208"/>
      <x:c r="O778" s="208"/>
      <x:c r="P778" s="190"/>
      <x:c r="Q778" s="190"/>
      <x:c r="R778" s="190"/>
      <x:c r="S778" s="190"/>
      <x:c r="T778" s="190"/>
      <x:c r="U778" s="190"/>
      <x:c r="V778" s="212"/>
      <x:c r="W778" s="212"/>
      <x:c r="X778" s="200"/>
      <x:c r="Y778" s="192"/>
      <x:c r="Z778" s="214"/>
      <x:c r="AA778" s="214"/>
      <x:c r="AB778" s="192"/>
      <x:c r="AC778" s="194"/>
      <x:c r="AD778" s="186" t="str">
        <x:f>IF(COUNTA(B778:H778)+COUNTA(J778:AC778)=0,"",IF(OR(B778="",D778="",E778="",G778="",J778=""),"缺少必填项",IF(H778&gt;G778,"完成数大于订单数",IF(AND(X778="",OR(Y778="排队",Y778="生产中",Y778="阻塞",Z778&lt;&gt;"",AA778&lt;&gt;"",AB778="是")),"已有排期字段缺少机台",IF(AND(X778&lt;&gt;"",Y778="待排"),"已填机台但状态为待排",IF(AND(Y778="生产中",AB778&lt;&gt;"是"),"需确认：生产中未锁定","可导入"))))))</x:f>
      </x:c>
    </x:row>
    <x:row r="779" ht="22" customHeight="1">
      <x:c r="A779" s="186" t="str">
        <x:f>IF(B779="","",ROW()-5)</x:f>
      </x:c>
      <x:c r="B779" s="196"/>
      <x:c r="C779" s="198"/>
      <x:c r="D779" s="196"/>
      <x:c r="E779" s="188"/>
      <x:c r="F779" s="198"/>
      <x:c r="G779" s="202"/>
      <x:c r="H779" s="204"/>
      <x:c r="I779" s="206" t="str">
        <x:f>IF(G779="","",MAX(G779-H779,0))</x:f>
      </x:c>
      <x:c r="J779" s="210"/>
      <x:c r="K779" s="190"/>
      <x:c r="L779" s="208"/>
      <x:c r="M779" s="208"/>
      <x:c r="N779" s="208"/>
      <x:c r="O779" s="208"/>
      <x:c r="P779" s="190"/>
      <x:c r="Q779" s="190"/>
      <x:c r="R779" s="190"/>
      <x:c r="S779" s="190"/>
      <x:c r="T779" s="190"/>
      <x:c r="U779" s="190"/>
      <x:c r="V779" s="212"/>
      <x:c r="W779" s="212"/>
      <x:c r="X779" s="200"/>
      <x:c r="Y779" s="192"/>
      <x:c r="Z779" s="214"/>
      <x:c r="AA779" s="214"/>
      <x:c r="AB779" s="192"/>
      <x:c r="AC779" s="194"/>
      <x:c r="AD779" s="186" t="str">
        <x:f>IF(COUNTA(B779:H779)+COUNTA(J779:AC779)=0,"",IF(OR(B779="",D779="",E779="",G779="",J779=""),"缺少必填项",IF(H779&gt;G779,"完成数大于订单数",IF(AND(X779="",OR(Y779="排队",Y779="生产中",Y779="阻塞",Z779&lt;&gt;"",AA779&lt;&gt;"",AB779="是")),"已有排期字段缺少机台",IF(AND(X779&lt;&gt;"",Y779="待排"),"已填机台但状态为待排",IF(AND(Y779="生产中",AB779&lt;&gt;"是"),"需确认：生产中未锁定","可导入"))))))</x:f>
      </x:c>
    </x:row>
    <x:row r="780" ht="22" customHeight="1">
      <x:c r="A780" s="186" t="str">
        <x:f>IF(B780="","",ROW()-5)</x:f>
      </x:c>
      <x:c r="B780" s="196"/>
      <x:c r="C780" s="198"/>
      <x:c r="D780" s="196"/>
      <x:c r="E780" s="188"/>
      <x:c r="F780" s="198"/>
      <x:c r="G780" s="202"/>
      <x:c r="H780" s="204"/>
      <x:c r="I780" s="206" t="str">
        <x:f>IF(G780="","",MAX(G780-H780,0))</x:f>
      </x:c>
      <x:c r="J780" s="210"/>
      <x:c r="K780" s="190"/>
      <x:c r="L780" s="208"/>
      <x:c r="M780" s="208"/>
      <x:c r="N780" s="208"/>
      <x:c r="O780" s="208"/>
      <x:c r="P780" s="190"/>
      <x:c r="Q780" s="190"/>
      <x:c r="R780" s="190"/>
      <x:c r="S780" s="190"/>
      <x:c r="T780" s="190"/>
      <x:c r="U780" s="190"/>
      <x:c r="V780" s="212"/>
      <x:c r="W780" s="212"/>
      <x:c r="X780" s="200"/>
      <x:c r="Y780" s="192"/>
      <x:c r="Z780" s="214"/>
      <x:c r="AA780" s="214"/>
      <x:c r="AB780" s="192"/>
      <x:c r="AC780" s="194"/>
      <x:c r="AD780" s="186" t="str">
        <x:f>IF(COUNTA(B780:H780)+COUNTA(J780:AC780)=0,"",IF(OR(B780="",D780="",E780="",G780="",J780=""),"缺少必填项",IF(H780&gt;G780,"完成数大于订单数",IF(AND(X780="",OR(Y780="排队",Y780="生产中",Y780="阻塞",Z780&lt;&gt;"",AA780&lt;&gt;"",AB780="是")),"已有排期字段缺少机台",IF(AND(X780&lt;&gt;"",Y780="待排"),"已填机台但状态为待排",IF(AND(Y780="生产中",AB780&lt;&gt;"是"),"需确认：生产中未锁定","可导入"))))))</x:f>
      </x:c>
    </x:row>
    <x:row r="781" ht="22" customHeight="1">
      <x:c r="A781" s="186" t="str">
        <x:f>IF(B781="","",ROW()-5)</x:f>
      </x:c>
      <x:c r="B781" s="196"/>
      <x:c r="C781" s="198"/>
      <x:c r="D781" s="196"/>
      <x:c r="E781" s="188"/>
      <x:c r="F781" s="198"/>
      <x:c r="G781" s="202"/>
      <x:c r="H781" s="204"/>
      <x:c r="I781" s="206" t="str">
        <x:f>IF(G781="","",MAX(G781-H781,0))</x:f>
      </x:c>
      <x:c r="J781" s="210"/>
      <x:c r="K781" s="190"/>
      <x:c r="L781" s="208"/>
      <x:c r="M781" s="208"/>
      <x:c r="N781" s="208"/>
      <x:c r="O781" s="208"/>
      <x:c r="P781" s="190"/>
      <x:c r="Q781" s="190"/>
      <x:c r="R781" s="190"/>
      <x:c r="S781" s="190"/>
      <x:c r="T781" s="190"/>
      <x:c r="U781" s="190"/>
      <x:c r="V781" s="212"/>
      <x:c r="W781" s="212"/>
      <x:c r="X781" s="200"/>
      <x:c r="Y781" s="192"/>
      <x:c r="Z781" s="214"/>
      <x:c r="AA781" s="214"/>
      <x:c r="AB781" s="192"/>
      <x:c r="AC781" s="194"/>
      <x:c r="AD781" s="186" t="str">
        <x:f>IF(COUNTA(B781:H781)+COUNTA(J781:AC781)=0,"",IF(OR(B781="",D781="",E781="",G781="",J781=""),"缺少必填项",IF(H781&gt;G781,"完成数大于订单数",IF(AND(X781="",OR(Y781="排队",Y781="生产中",Y781="阻塞",Z781&lt;&gt;"",AA781&lt;&gt;"",AB781="是")),"已有排期字段缺少机台",IF(AND(X781&lt;&gt;"",Y781="待排"),"已填机台但状态为待排",IF(AND(Y781="生产中",AB781&lt;&gt;"是"),"需确认：生产中未锁定","可导入"))))))</x:f>
      </x:c>
    </x:row>
    <x:row r="782" ht="22" customHeight="1">
      <x:c r="A782" s="186" t="str">
        <x:f>IF(B782="","",ROW()-5)</x:f>
      </x:c>
      <x:c r="B782" s="196"/>
      <x:c r="C782" s="198"/>
      <x:c r="D782" s="196"/>
      <x:c r="E782" s="188"/>
      <x:c r="F782" s="198"/>
      <x:c r="G782" s="202"/>
      <x:c r="H782" s="204"/>
      <x:c r="I782" s="206" t="str">
        <x:f>IF(G782="","",MAX(G782-H782,0))</x:f>
      </x:c>
      <x:c r="J782" s="210"/>
      <x:c r="K782" s="190"/>
      <x:c r="L782" s="208"/>
      <x:c r="M782" s="208"/>
      <x:c r="N782" s="208"/>
      <x:c r="O782" s="208"/>
      <x:c r="P782" s="190"/>
      <x:c r="Q782" s="190"/>
      <x:c r="R782" s="190"/>
      <x:c r="S782" s="190"/>
      <x:c r="T782" s="190"/>
      <x:c r="U782" s="190"/>
      <x:c r="V782" s="212"/>
      <x:c r="W782" s="212"/>
      <x:c r="X782" s="200"/>
      <x:c r="Y782" s="192"/>
      <x:c r="Z782" s="214"/>
      <x:c r="AA782" s="214"/>
      <x:c r="AB782" s="192"/>
      <x:c r="AC782" s="194"/>
      <x:c r="AD782" s="186" t="str">
        <x:f>IF(COUNTA(B782:H782)+COUNTA(J782:AC782)=0,"",IF(OR(B782="",D782="",E782="",G782="",J782=""),"缺少必填项",IF(H782&gt;G782,"完成数大于订单数",IF(AND(X782="",OR(Y782="排队",Y782="生产中",Y782="阻塞",Z782&lt;&gt;"",AA782&lt;&gt;"",AB782="是")),"已有排期字段缺少机台",IF(AND(X782&lt;&gt;"",Y782="待排"),"已填机台但状态为待排",IF(AND(Y782="生产中",AB782&lt;&gt;"是"),"需确认：生产中未锁定","可导入"))))))</x:f>
      </x:c>
    </x:row>
    <x:row r="783" ht="22" customHeight="1">
      <x:c r="A783" s="186" t="str">
        <x:f>IF(B783="","",ROW()-5)</x:f>
      </x:c>
      <x:c r="B783" s="196"/>
      <x:c r="C783" s="198"/>
      <x:c r="D783" s="196"/>
      <x:c r="E783" s="188"/>
      <x:c r="F783" s="198"/>
      <x:c r="G783" s="202"/>
      <x:c r="H783" s="204"/>
      <x:c r="I783" s="206" t="str">
        <x:f>IF(G783="","",MAX(G783-H783,0))</x:f>
      </x:c>
      <x:c r="J783" s="210"/>
      <x:c r="K783" s="190"/>
      <x:c r="L783" s="208"/>
      <x:c r="M783" s="208"/>
      <x:c r="N783" s="208"/>
      <x:c r="O783" s="208"/>
      <x:c r="P783" s="190"/>
      <x:c r="Q783" s="190"/>
      <x:c r="R783" s="190"/>
      <x:c r="S783" s="190"/>
      <x:c r="T783" s="190"/>
      <x:c r="U783" s="190"/>
      <x:c r="V783" s="212"/>
      <x:c r="W783" s="212"/>
      <x:c r="X783" s="200"/>
      <x:c r="Y783" s="192"/>
      <x:c r="Z783" s="214"/>
      <x:c r="AA783" s="214"/>
      <x:c r="AB783" s="192"/>
      <x:c r="AC783" s="194"/>
      <x:c r="AD783" s="186" t="str">
        <x:f>IF(COUNTA(B783:H783)+COUNTA(J783:AC783)=0,"",IF(OR(B783="",D783="",E783="",G783="",J783=""),"缺少必填项",IF(H783&gt;G783,"完成数大于订单数",IF(AND(X783="",OR(Y783="排队",Y783="生产中",Y783="阻塞",Z783&lt;&gt;"",AA783&lt;&gt;"",AB783="是")),"已有排期字段缺少机台",IF(AND(X783&lt;&gt;"",Y783="待排"),"已填机台但状态为待排",IF(AND(Y783="生产中",AB783&lt;&gt;"是"),"需确认：生产中未锁定","可导入"))))))</x:f>
      </x:c>
    </x:row>
    <x:row r="784" ht="22" customHeight="1">
      <x:c r="A784" s="186" t="str">
        <x:f>IF(B784="","",ROW()-5)</x:f>
      </x:c>
      <x:c r="B784" s="196"/>
      <x:c r="C784" s="198"/>
      <x:c r="D784" s="196"/>
      <x:c r="E784" s="188"/>
      <x:c r="F784" s="198"/>
      <x:c r="G784" s="202"/>
      <x:c r="H784" s="204"/>
      <x:c r="I784" s="206" t="str">
        <x:f>IF(G784="","",MAX(G784-H784,0))</x:f>
      </x:c>
      <x:c r="J784" s="210"/>
      <x:c r="K784" s="190"/>
      <x:c r="L784" s="208"/>
      <x:c r="M784" s="208"/>
      <x:c r="N784" s="208"/>
      <x:c r="O784" s="208"/>
      <x:c r="P784" s="190"/>
      <x:c r="Q784" s="190"/>
      <x:c r="R784" s="190"/>
      <x:c r="S784" s="190"/>
      <x:c r="T784" s="190"/>
      <x:c r="U784" s="190"/>
      <x:c r="V784" s="212"/>
      <x:c r="W784" s="212"/>
      <x:c r="X784" s="200"/>
      <x:c r="Y784" s="192"/>
      <x:c r="Z784" s="214"/>
      <x:c r="AA784" s="214"/>
      <x:c r="AB784" s="192"/>
      <x:c r="AC784" s="194"/>
      <x:c r="AD784" s="186" t="str">
        <x:f>IF(COUNTA(B784:H784)+COUNTA(J784:AC784)=0,"",IF(OR(B784="",D784="",E784="",G784="",J784=""),"缺少必填项",IF(H784&gt;G784,"完成数大于订单数",IF(AND(X784="",OR(Y784="排队",Y784="生产中",Y784="阻塞",Z784&lt;&gt;"",AA784&lt;&gt;"",AB784="是")),"已有排期字段缺少机台",IF(AND(X784&lt;&gt;"",Y784="待排"),"已填机台但状态为待排",IF(AND(Y784="生产中",AB784&lt;&gt;"是"),"需确认：生产中未锁定","可导入"))))))</x:f>
      </x:c>
    </x:row>
    <x:row r="785" ht="22" customHeight="1">
      <x:c r="A785" s="186" t="str">
        <x:f>IF(B785="","",ROW()-5)</x:f>
      </x:c>
      <x:c r="B785" s="196"/>
      <x:c r="C785" s="198"/>
      <x:c r="D785" s="196"/>
      <x:c r="E785" s="188"/>
      <x:c r="F785" s="198"/>
      <x:c r="G785" s="202"/>
      <x:c r="H785" s="204"/>
      <x:c r="I785" s="206" t="str">
        <x:f>IF(G785="","",MAX(G785-H785,0))</x:f>
      </x:c>
      <x:c r="J785" s="210"/>
      <x:c r="K785" s="190"/>
      <x:c r="L785" s="208"/>
      <x:c r="M785" s="208"/>
      <x:c r="N785" s="208"/>
      <x:c r="O785" s="208"/>
      <x:c r="P785" s="190"/>
      <x:c r="Q785" s="190"/>
      <x:c r="R785" s="190"/>
      <x:c r="S785" s="190"/>
      <x:c r="T785" s="190"/>
      <x:c r="U785" s="190"/>
      <x:c r="V785" s="212"/>
      <x:c r="W785" s="212"/>
      <x:c r="X785" s="200"/>
      <x:c r="Y785" s="192"/>
      <x:c r="Z785" s="214"/>
      <x:c r="AA785" s="214"/>
      <x:c r="AB785" s="192"/>
      <x:c r="AC785" s="194"/>
      <x:c r="AD785" s="186" t="str">
        <x:f>IF(COUNTA(B785:H785)+COUNTA(J785:AC785)=0,"",IF(OR(B785="",D785="",E785="",G785="",J785=""),"缺少必填项",IF(H785&gt;G785,"完成数大于订单数",IF(AND(X785="",OR(Y785="排队",Y785="生产中",Y785="阻塞",Z785&lt;&gt;"",AA785&lt;&gt;"",AB785="是")),"已有排期字段缺少机台",IF(AND(X785&lt;&gt;"",Y785="待排"),"已填机台但状态为待排",IF(AND(Y785="生产中",AB785&lt;&gt;"是"),"需确认：生产中未锁定","可导入"))))))</x:f>
      </x:c>
    </x:row>
    <x:row r="786" ht="22" customHeight="1">
      <x:c r="A786" s="186" t="str">
        <x:f>IF(B786="","",ROW()-5)</x:f>
      </x:c>
      <x:c r="B786" s="196"/>
      <x:c r="C786" s="198"/>
      <x:c r="D786" s="196"/>
      <x:c r="E786" s="188"/>
      <x:c r="F786" s="198"/>
      <x:c r="G786" s="202"/>
      <x:c r="H786" s="204"/>
      <x:c r="I786" s="206" t="str">
        <x:f>IF(G786="","",MAX(G786-H786,0))</x:f>
      </x:c>
      <x:c r="J786" s="210"/>
      <x:c r="K786" s="190"/>
      <x:c r="L786" s="208"/>
      <x:c r="M786" s="208"/>
      <x:c r="N786" s="208"/>
      <x:c r="O786" s="208"/>
      <x:c r="P786" s="190"/>
      <x:c r="Q786" s="190"/>
      <x:c r="R786" s="190"/>
      <x:c r="S786" s="190"/>
      <x:c r="T786" s="190"/>
      <x:c r="U786" s="190"/>
      <x:c r="V786" s="212"/>
      <x:c r="W786" s="212"/>
      <x:c r="X786" s="200"/>
      <x:c r="Y786" s="192"/>
      <x:c r="Z786" s="214"/>
      <x:c r="AA786" s="214"/>
      <x:c r="AB786" s="192"/>
      <x:c r="AC786" s="194"/>
      <x:c r="AD786" s="186" t="str">
        <x:f>IF(COUNTA(B786:H786)+COUNTA(J786:AC786)=0,"",IF(OR(B786="",D786="",E786="",G786="",J786=""),"缺少必填项",IF(H786&gt;G786,"完成数大于订单数",IF(AND(X786="",OR(Y786="排队",Y786="生产中",Y786="阻塞",Z786&lt;&gt;"",AA786&lt;&gt;"",AB786="是")),"已有排期字段缺少机台",IF(AND(X786&lt;&gt;"",Y786="待排"),"已填机台但状态为待排",IF(AND(Y786="生产中",AB786&lt;&gt;"是"),"需确认：生产中未锁定","可导入"))))))</x:f>
      </x:c>
    </x:row>
    <x:row r="787" ht="22" customHeight="1">
      <x:c r="A787" s="186" t="str">
        <x:f>IF(B787="","",ROW()-5)</x:f>
      </x:c>
      <x:c r="B787" s="196"/>
      <x:c r="C787" s="198"/>
      <x:c r="D787" s="196"/>
      <x:c r="E787" s="188"/>
      <x:c r="F787" s="198"/>
      <x:c r="G787" s="202"/>
      <x:c r="H787" s="204"/>
      <x:c r="I787" s="206" t="str">
        <x:f>IF(G787="","",MAX(G787-H787,0))</x:f>
      </x:c>
      <x:c r="J787" s="210"/>
      <x:c r="K787" s="190"/>
      <x:c r="L787" s="208"/>
      <x:c r="M787" s="208"/>
      <x:c r="N787" s="208"/>
      <x:c r="O787" s="208"/>
      <x:c r="P787" s="190"/>
      <x:c r="Q787" s="190"/>
      <x:c r="R787" s="190"/>
      <x:c r="S787" s="190"/>
      <x:c r="T787" s="190"/>
      <x:c r="U787" s="190"/>
      <x:c r="V787" s="212"/>
      <x:c r="W787" s="212"/>
      <x:c r="X787" s="200"/>
      <x:c r="Y787" s="192"/>
      <x:c r="Z787" s="214"/>
      <x:c r="AA787" s="214"/>
      <x:c r="AB787" s="192"/>
      <x:c r="AC787" s="194"/>
      <x:c r="AD787" s="186" t="str">
        <x:f>IF(COUNTA(B787:H787)+COUNTA(J787:AC787)=0,"",IF(OR(B787="",D787="",E787="",G787="",J787=""),"缺少必填项",IF(H787&gt;G787,"完成数大于订单数",IF(AND(X787="",OR(Y787="排队",Y787="生产中",Y787="阻塞",Z787&lt;&gt;"",AA787&lt;&gt;"",AB787="是")),"已有排期字段缺少机台",IF(AND(X787&lt;&gt;"",Y787="待排"),"已填机台但状态为待排",IF(AND(Y787="生产中",AB787&lt;&gt;"是"),"需确认：生产中未锁定","可导入"))))))</x:f>
      </x:c>
    </x:row>
    <x:row r="788" ht="22" customHeight="1">
      <x:c r="A788" s="186" t="str">
        <x:f>IF(B788="","",ROW()-5)</x:f>
      </x:c>
      <x:c r="B788" s="196"/>
      <x:c r="C788" s="198"/>
      <x:c r="D788" s="196"/>
      <x:c r="E788" s="188"/>
      <x:c r="F788" s="198"/>
      <x:c r="G788" s="202"/>
      <x:c r="H788" s="204"/>
      <x:c r="I788" s="206" t="str">
        <x:f>IF(G788="","",MAX(G788-H788,0))</x:f>
      </x:c>
      <x:c r="J788" s="210"/>
      <x:c r="K788" s="190"/>
      <x:c r="L788" s="208"/>
      <x:c r="M788" s="208"/>
      <x:c r="N788" s="208"/>
      <x:c r="O788" s="208"/>
      <x:c r="P788" s="190"/>
      <x:c r="Q788" s="190"/>
      <x:c r="R788" s="190"/>
      <x:c r="S788" s="190"/>
      <x:c r="T788" s="190"/>
      <x:c r="U788" s="190"/>
      <x:c r="V788" s="212"/>
      <x:c r="W788" s="212"/>
      <x:c r="X788" s="200"/>
      <x:c r="Y788" s="192"/>
      <x:c r="Z788" s="214"/>
      <x:c r="AA788" s="214"/>
      <x:c r="AB788" s="192"/>
      <x:c r="AC788" s="194"/>
      <x:c r="AD788" s="186" t="str">
        <x:f>IF(COUNTA(B788:H788)+COUNTA(J788:AC788)=0,"",IF(OR(B788="",D788="",E788="",G788="",J788=""),"缺少必填项",IF(H788&gt;G788,"完成数大于订单数",IF(AND(X788="",OR(Y788="排队",Y788="生产中",Y788="阻塞",Z788&lt;&gt;"",AA788&lt;&gt;"",AB788="是")),"已有排期字段缺少机台",IF(AND(X788&lt;&gt;"",Y788="待排"),"已填机台但状态为待排",IF(AND(Y788="生产中",AB788&lt;&gt;"是"),"需确认：生产中未锁定","可导入"))))))</x:f>
      </x:c>
    </x:row>
    <x:row r="789" ht="22" customHeight="1">
      <x:c r="A789" s="186" t="str">
        <x:f>IF(B789="","",ROW()-5)</x:f>
      </x:c>
      <x:c r="B789" s="196"/>
      <x:c r="C789" s="198"/>
      <x:c r="D789" s="196"/>
      <x:c r="E789" s="188"/>
      <x:c r="F789" s="198"/>
      <x:c r="G789" s="202"/>
      <x:c r="H789" s="204"/>
      <x:c r="I789" s="206" t="str">
        <x:f>IF(G789="","",MAX(G789-H789,0))</x:f>
      </x:c>
      <x:c r="J789" s="210"/>
      <x:c r="K789" s="190"/>
      <x:c r="L789" s="208"/>
      <x:c r="M789" s="208"/>
      <x:c r="N789" s="208"/>
      <x:c r="O789" s="208"/>
      <x:c r="P789" s="190"/>
      <x:c r="Q789" s="190"/>
      <x:c r="R789" s="190"/>
      <x:c r="S789" s="190"/>
      <x:c r="T789" s="190"/>
      <x:c r="U789" s="190"/>
      <x:c r="V789" s="212"/>
      <x:c r="W789" s="212"/>
      <x:c r="X789" s="200"/>
      <x:c r="Y789" s="192"/>
      <x:c r="Z789" s="214"/>
      <x:c r="AA789" s="214"/>
      <x:c r="AB789" s="192"/>
      <x:c r="AC789" s="194"/>
      <x:c r="AD789" s="186" t="str">
        <x:f>IF(COUNTA(B789:H789)+COUNTA(J789:AC789)=0,"",IF(OR(B789="",D789="",E789="",G789="",J789=""),"缺少必填项",IF(H789&gt;G789,"完成数大于订单数",IF(AND(X789="",OR(Y789="排队",Y789="生产中",Y789="阻塞",Z789&lt;&gt;"",AA789&lt;&gt;"",AB789="是")),"已有排期字段缺少机台",IF(AND(X789&lt;&gt;"",Y789="待排"),"已填机台但状态为待排",IF(AND(Y789="生产中",AB789&lt;&gt;"是"),"需确认：生产中未锁定","可导入"))))))</x:f>
      </x:c>
    </x:row>
    <x:row r="790" ht="22" customHeight="1">
      <x:c r="A790" s="186" t="str">
        <x:f>IF(B790="","",ROW()-5)</x:f>
      </x:c>
      <x:c r="B790" s="196"/>
      <x:c r="C790" s="198"/>
      <x:c r="D790" s="196"/>
      <x:c r="E790" s="188"/>
      <x:c r="F790" s="198"/>
      <x:c r="G790" s="202"/>
      <x:c r="H790" s="204"/>
      <x:c r="I790" s="206" t="str">
        <x:f>IF(G790="","",MAX(G790-H790,0))</x:f>
      </x:c>
      <x:c r="J790" s="210"/>
      <x:c r="K790" s="190"/>
      <x:c r="L790" s="208"/>
      <x:c r="M790" s="208"/>
      <x:c r="N790" s="208"/>
      <x:c r="O790" s="208"/>
      <x:c r="P790" s="190"/>
      <x:c r="Q790" s="190"/>
      <x:c r="R790" s="190"/>
      <x:c r="S790" s="190"/>
      <x:c r="T790" s="190"/>
      <x:c r="U790" s="190"/>
      <x:c r="V790" s="212"/>
      <x:c r="W790" s="212"/>
      <x:c r="X790" s="200"/>
      <x:c r="Y790" s="192"/>
      <x:c r="Z790" s="214"/>
      <x:c r="AA790" s="214"/>
      <x:c r="AB790" s="192"/>
      <x:c r="AC790" s="194"/>
      <x:c r="AD790" s="186" t="str">
        <x:f>IF(COUNTA(B790:H790)+COUNTA(J790:AC790)=0,"",IF(OR(B790="",D790="",E790="",G790="",J790=""),"缺少必填项",IF(H790&gt;G790,"完成数大于订单数",IF(AND(X790="",OR(Y790="排队",Y790="生产中",Y790="阻塞",Z790&lt;&gt;"",AA790&lt;&gt;"",AB790="是")),"已有排期字段缺少机台",IF(AND(X790&lt;&gt;"",Y790="待排"),"已填机台但状态为待排",IF(AND(Y790="生产中",AB790&lt;&gt;"是"),"需确认：生产中未锁定","可导入"))))))</x:f>
      </x:c>
    </x:row>
    <x:row r="791" ht="22" customHeight="1">
      <x:c r="A791" s="186" t="str">
        <x:f>IF(B791="","",ROW()-5)</x:f>
      </x:c>
      <x:c r="B791" s="196"/>
      <x:c r="C791" s="198"/>
      <x:c r="D791" s="196"/>
      <x:c r="E791" s="188"/>
      <x:c r="F791" s="198"/>
      <x:c r="G791" s="202"/>
      <x:c r="H791" s="204"/>
      <x:c r="I791" s="206" t="str">
        <x:f>IF(G791="","",MAX(G791-H791,0))</x:f>
      </x:c>
      <x:c r="J791" s="210"/>
      <x:c r="K791" s="190"/>
      <x:c r="L791" s="208"/>
      <x:c r="M791" s="208"/>
      <x:c r="N791" s="208"/>
      <x:c r="O791" s="208"/>
      <x:c r="P791" s="190"/>
      <x:c r="Q791" s="190"/>
      <x:c r="R791" s="190"/>
      <x:c r="S791" s="190"/>
      <x:c r="T791" s="190"/>
      <x:c r="U791" s="190"/>
      <x:c r="V791" s="212"/>
      <x:c r="W791" s="212"/>
      <x:c r="X791" s="200"/>
      <x:c r="Y791" s="192"/>
      <x:c r="Z791" s="214"/>
      <x:c r="AA791" s="214"/>
      <x:c r="AB791" s="192"/>
      <x:c r="AC791" s="194"/>
      <x:c r="AD791" s="186" t="str">
        <x:f>IF(COUNTA(B791:H791)+COUNTA(J791:AC791)=0,"",IF(OR(B791="",D791="",E791="",G791="",J791=""),"缺少必填项",IF(H791&gt;G791,"完成数大于订单数",IF(AND(X791="",OR(Y791="排队",Y791="生产中",Y791="阻塞",Z791&lt;&gt;"",AA791&lt;&gt;"",AB791="是")),"已有排期字段缺少机台",IF(AND(X791&lt;&gt;"",Y791="待排"),"已填机台但状态为待排",IF(AND(Y791="生产中",AB791&lt;&gt;"是"),"需确认：生产中未锁定","可导入"))))))</x:f>
      </x:c>
    </x:row>
    <x:row r="792" ht="22" customHeight="1">
      <x:c r="A792" s="186" t="str">
        <x:f>IF(B792="","",ROW()-5)</x:f>
      </x:c>
      <x:c r="B792" s="196"/>
      <x:c r="C792" s="198"/>
      <x:c r="D792" s="196"/>
      <x:c r="E792" s="188"/>
      <x:c r="F792" s="198"/>
      <x:c r="G792" s="202"/>
      <x:c r="H792" s="204"/>
      <x:c r="I792" s="206" t="str">
        <x:f>IF(G792="","",MAX(G792-H792,0))</x:f>
      </x:c>
      <x:c r="J792" s="210"/>
      <x:c r="K792" s="190"/>
      <x:c r="L792" s="208"/>
      <x:c r="M792" s="208"/>
      <x:c r="N792" s="208"/>
      <x:c r="O792" s="208"/>
      <x:c r="P792" s="190"/>
      <x:c r="Q792" s="190"/>
      <x:c r="R792" s="190"/>
      <x:c r="S792" s="190"/>
      <x:c r="T792" s="190"/>
      <x:c r="U792" s="190"/>
      <x:c r="V792" s="212"/>
      <x:c r="W792" s="212"/>
      <x:c r="X792" s="200"/>
      <x:c r="Y792" s="192"/>
      <x:c r="Z792" s="214"/>
      <x:c r="AA792" s="214"/>
      <x:c r="AB792" s="192"/>
      <x:c r="AC792" s="194"/>
      <x:c r="AD792" s="186" t="str">
        <x:f>IF(COUNTA(B792:H792)+COUNTA(J792:AC792)=0,"",IF(OR(B792="",D792="",E792="",G792="",J792=""),"缺少必填项",IF(H792&gt;G792,"完成数大于订单数",IF(AND(X792="",OR(Y792="排队",Y792="生产中",Y792="阻塞",Z792&lt;&gt;"",AA792&lt;&gt;"",AB792="是")),"已有排期字段缺少机台",IF(AND(X792&lt;&gt;"",Y792="待排"),"已填机台但状态为待排",IF(AND(Y792="生产中",AB792&lt;&gt;"是"),"需确认：生产中未锁定","可导入"))))))</x:f>
      </x:c>
    </x:row>
    <x:row r="793" ht="22" customHeight="1">
      <x:c r="A793" s="186" t="str">
        <x:f>IF(B793="","",ROW()-5)</x:f>
      </x:c>
      <x:c r="B793" s="196"/>
      <x:c r="C793" s="198"/>
      <x:c r="D793" s="196"/>
      <x:c r="E793" s="188"/>
      <x:c r="F793" s="198"/>
      <x:c r="G793" s="202"/>
      <x:c r="H793" s="204"/>
      <x:c r="I793" s="206" t="str">
        <x:f>IF(G793="","",MAX(G793-H793,0))</x:f>
      </x:c>
      <x:c r="J793" s="210"/>
      <x:c r="K793" s="190"/>
      <x:c r="L793" s="208"/>
      <x:c r="M793" s="208"/>
      <x:c r="N793" s="208"/>
      <x:c r="O793" s="208"/>
      <x:c r="P793" s="190"/>
      <x:c r="Q793" s="190"/>
      <x:c r="R793" s="190"/>
      <x:c r="S793" s="190"/>
      <x:c r="T793" s="190"/>
      <x:c r="U793" s="190"/>
      <x:c r="V793" s="212"/>
      <x:c r="W793" s="212"/>
      <x:c r="X793" s="200"/>
      <x:c r="Y793" s="192"/>
      <x:c r="Z793" s="214"/>
      <x:c r="AA793" s="214"/>
      <x:c r="AB793" s="192"/>
      <x:c r="AC793" s="194"/>
      <x:c r="AD793" s="186" t="str">
        <x:f>IF(COUNTA(B793:H793)+COUNTA(J793:AC793)=0,"",IF(OR(B793="",D793="",E793="",G793="",J793=""),"缺少必填项",IF(H793&gt;G793,"完成数大于订单数",IF(AND(X793="",OR(Y793="排队",Y793="生产中",Y793="阻塞",Z793&lt;&gt;"",AA793&lt;&gt;"",AB793="是")),"已有排期字段缺少机台",IF(AND(X793&lt;&gt;"",Y793="待排"),"已填机台但状态为待排",IF(AND(Y793="生产中",AB793&lt;&gt;"是"),"需确认：生产中未锁定","可导入"))))))</x:f>
      </x:c>
    </x:row>
    <x:row r="794" ht="22" customHeight="1">
      <x:c r="A794" s="186" t="str">
        <x:f>IF(B794="","",ROW()-5)</x:f>
      </x:c>
      <x:c r="B794" s="196"/>
      <x:c r="C794" s="198"/>
      <x:c r="D794" s="196"/>
      <x:c r="E794" s="188"/>
      <x:c r="F794" s="198"/>
      <x:c r="G794" s="202"/>
      <x:c r="H794" s="204"/>
      <x:c r="I794" s="206" t="str">
        <x:f>IF(G794="","",MAX(G794-H794,0))</x:f>
      </x:c>
      <x:c r="J794" s="210"/>
      <x:c r="K794" s="190"/>
      <x:c r="L794" s="208"/>
      <x:c r="M794" s="208"/>
      <x:c r="N794" s="208"/>
      <x:c r="O794" s="208"/>
      <x:c r="P794" s="190"/>
      <x:c r="Q794" s="190"/>
      <x:c r="R794" s="190"/>
      <x:c r="S794" s="190"/>
      <x:c r="T794" s="190"/>
      <x:c r="U794" s="190"/>
      <x:c r="V794" s="212"/>
      <x:c r="W794" s="212"/>
      <x:c r="X794" s="200"/>
      <x:c r="Y794" s="192"/>
      <x:c r="Z794" s="214"/>
      <x:c r="AA794" s="214"/>
      <x:c r="AB794" s="192"/>
      <x:c r="AC794" s="194"/>
      <x:c r="AD794" s="186" t="str">
        <x:f>IF(COUNTA(B794:H794)+COUNTA(J794:AC794)=0,"",IF(OR(B794="",D794="",E794="",G794="",J794=""),"缺少必填项",IF(H794&gt;G794,"完成数大于订单数",IF(AND(X794="",OR(Y794="排队",Y794="生产中",Y794="阻塞",Z794&lt;&gt;"",AA794&lt;&gt;"",AB794="是")),"已有排期字段缺少机台",IF(AND(X794&lt;&gt;"",Y794="待排"),"已填机台但状态为待排",IF(AND(Y794="生产中",AB794&lt;&gt;"是"),"需确认：生产中未锁定","可导入"))))))</x:f>
      </x:c>
    </x:row>
    <x:row r="795" ht="22" customHeight="1">
      <x:c r="A795" s="186" t="str">
        <x:f>IF(B795="","",ROW()-5)</x:f>
      </x:c>
      <x:c r="B795" s="196"/>
      <x:c r="C795" s="198"/>
      <x:c r="D795" s="196"/>
      <x:c r="E795" s="188"/>
      <x:c r="F795" s="198"/>
      <x:c r="G795" s="202"/>
      <x:c r="H795" s="204"/>
      <x:c r="I795" s="206" t="str">
        <x:f>IF(G795="","",MAX(G795-H795,0))</x:f>
      </x:c>
      <x:c r="J795" s="210"/>
      <x:c r="K795" s="190"/>
      <x:c r="L795" s="208"/>
      <x:c r="M795" s="208"/>
      <x:c r="N795" s="208"/>
      <x:c r="O795" s="208"/>
      <x:c r="P795" s="190"/>
      <x:c r="Q795" s="190"/>
      <x:c r="R795" s="190"/>
      <x:c r="S795" s="190"/>
      <x:c r="T795" s="190"/>
      <x:c r="U795" s="190"/>
      <x:c r="V795" s="212"/>
      <x:c r="W795" s="212"/>
      <x:c r="X795" s="200"/>
      <x:c r="Y795" s="192"/>
      <x:c r="Z795" s="214"/>
      <x:c r="AA795" s="214"/>
      <x:c r="AB795" s="192"/>
      <x:c r="AC795" s="194"/>
      <x:c r="AD795" s="186" t="str">
        <x:f>IF(COUNTA(B795:H795)+COUNTA(J795:AC795)=0,"",IF(OR(B795="",D795="",E795="",G795="",J795=""),"缺少必填项",IF(H795&gt;G795,"完成数大于订单数",IF(AND(X795="",OR(Y795="排队",Y795="生产中",Y795="阻塞",Z795&lt;&gt;"",AA795&lt;&gt;"",AB795="是")),"已有排期字段缺少机台",IF(AND(X795&lt;&gt;"",Y795="待排"),"已填机台但状态为待排",IF(AND(Y795="生产中",AB795&lt;&gt;"是"),"需确认：生产中未锁定","可导入"))))))</x:f>
      </x:c>
    </x:row>
    <x:row r="796" ht="22" customHeight="1">
      <x:c r="A796" s="186" t="str">
        <x:f>IF(B796="","",ROW()-5)</x:f>
      </x:c>
      <x:c r="B796" s="196"/>
      <x:c r="C796" s="198"/>
      <x:c r="D796" s="196"/>
      <x:c r="E796" s="188"/>
      <x:c r="F796" s="198"/>
      <x:c r="G796" s="202"/>
      <x:c r="H796" s="204"/>
      <x:c r="I796" s="206" t="str">
        <x:f>IF(G796="","",MAX(G796-H796,0))</x:f>
      </x:c>
      <x:c r="J796" s="210"/>
      <x:c r="K796" s="190"/>
      <x:c r="L796" s="208"/>
      <x:c r="M796" s="208"/>
      <x:c r="N796" s="208"/>
      <x:c r="O796" s="208"/>
      <x:c r="P796" s="190"/>
      <x:c r="Q796" s="190"/>
      <x:c r="R796" s="190"/>
      <x:c r="S796" s="190"/>
      <x:c r="T796" s="190"/>
      <x:c r="U796" s="190"/>
      <x:c r="V796" s="212"/>
      <x:c r="W796" s="212"/>
      <x:c r="X796" s="200"/>
      <x:c r="Y796" s="192"/>
      <x:c r="Z796" s="214"/>
      <x:c r="AA796" s="214"/>
      <x:c r="AB796" s="192"/>
      <x:c r="AC796" s="194"/>
      <x:c r="AD796" s="186" t="str">
        <x:f>IF(COUNTA(B796:H796)+COUNTA(J796:AC796)=0,"",IF(OR(B796="",D796="",E796="",G796="",J796=""),"缺少必填项",IF(H796&gt;G796,"完成数大于订单数",IF(AND(X796="",OR(Y796="排队",Y796="生产中",Y796="阻塞",Z796&lt;&gt;"",AA796&lt;&gt;"",AB796="是")),"已有排期字段缺少机台",IF(AND(X796&lt;&gt;"",Y796="待排"),"已填机台但状态为待排",IF(AND(Y796="生产中",AB796&lt;&gt;"是"),"需确认：生产中未锁定","可导入"))))))</x:f>
      </x:c>
    </x:row>
    <x:row r="797" ht="22" customHeight="1">
      <x:c r="A797" s="186" t="str">
        <x:f>IF(B797="","",ROW()-5)</x:f>
      </x:c>
      <x:c r="B797" s="196"/>
      <x:c r="C797" s="198"/>
      <x:c r="D797" s="196"/>
      <x:c r="E797" s="188"/>
      <x:c r="F797" s="198"/>
      <x:c r="G797" s="202"/>
      <x:c r="H797" s="204"/>
      <x:c r="I797" s="206" t="str">
        <x:f>IF(G797="","",MAX(G797-H797,0))</x:f>
      </x:c>
      <x:c r="J797" s="210"/>
      <x:c r="K797" s="190"/>
      <x:c r="L797" s="208"/>
      <x:c r="M797" s="208"/>
      <x:c r="N797" s="208"/>
      <x:c r="O797" s="208"/>
      <x:c r="P797" s="190"/>
      <x:c r="Q797" s="190"/>
      <x:c r="R797" s="190"/>
      <x:c r="S797" s="190"/>
      <x:c r="T797" s="190"/>
      <x:c r="U797" s="190"/>
      <x:c r="V797" s="212"/>
      <x:c r="W797" s="212"/>
      <x:c r="X797" s="200"/>
      <x:c r="Y797" s="192"/>
      <x:c r="Z797" s="214"/>
      <x:c r="AA797" s="214"/>
      <x:c r="AB797" s="192"/>
      <x:c r="AC797" s="194"/>
      <x:c r="AD797" s="186" t="str">
        <x:f>IF(COUNTA(B797:H797)+COUNTA(J797:AC797)=0,"",IF(OR(B797="",D797="",E797="",G797="",J797=""),"缺少必填项",IF(H797&gt;G797,"完成数大于订单数",IF(AND(X797="",OR(Y797="排队",Y797="生产中",Y797="阻塞",Z797&lt;&gt;"",AA797&lt;&gt;"",AB797="是")),"已有排期字段缺少机台",IF(AND(X797&lt;&gt;"",Y797="待排"),"已填机台但状态为待排",IF(AND(Y797="生产中",AB797&lt;&gt;"是"),"需确认：生产中未锁定","可导入"))))))</x:f>
      </x:c>
    </x:row>
    <x:row r="798" ht="22" customHeight="1">
      <x:c r="A798" s="186" t="str">
        <x:f>IF(B798="","",ROW()-5)</x:f>
      </x:c>
      <x:c r="B798" s="196"/>
      <x:c r="C798" s="198"/>
      <x:c r="D798" s="196"/>
      <x:c r="E798" s="188"/>
      <x:c r="F798" s="198"/>
      <x:c r="G798" s="202"/>
      <x:c r="H798" s="204"/>
      <x:c r="I798" s="206" t="str">
        <x:f>IF(G798="","",MAX(G798-H798,0))</x:f>
      </x:c>
      <x:c r="J798" s="210"/>
      <x:c r="K798" s="190"/>
      <x:c r="L798" s="208"/>
      <x:c r="M798" s="208"/>
      <x:c r="N798" s="208"/>
      <x:c r="O798" s="208"/>
      <x:c r="P798" s="190"/>
      <x:c r="Q798" s="190"/>
      <x:c r="R798" s="190"/>
      <x:c r="S798" s="190"/>
      <x:c r="T798" s="190"/>
      <x:c r="U798" s="190"/>
      <x:c r="V798" s="212"/>
      <x:c r="W798" s="212"/>
      <x:c r="X798" s="200"/>
      <x:c r="Y798" s="192"/>
      <x:c r="Z798" s="214"/>
      <x:c r="AA798" s="214"/>
      <x:c r="AB798" s="192"/>
      <x:c r="AC798" s="194"/>
      <x:c r="AD798" s="186" t="str">
        <x:f>IF(COUNTA(B798:H798)+COUNTA(J798:AC798)=0,"",IF(OR(B798="",D798="",E798="",G798="",J798=""),"缺少必填项",IF(H798&gt;G798,"完成数大于订单数",IF(AND(X798="",OR(Y798="排队",Y798="生产中",Y798="阻塞",Z798&lt;&gt;"",AA798&lt;&gt;"",AB798="是")),"已有排期字段缺少机台",IF(AND(X798&lt;&gt;"",Y798="待排"),"已填机台但状态为待排",IF(AND(Y798="生产中",AB798&lt;&gt;"是"),"需确认：生产中未锁定","可导入"))))))</x:f>
      </x:c>
    </x:row>
    <x:row r="799" ht="22" customHeight="1">
      <x:c r="A799" s="186" t="str">
        <x:f>IF(B799="","",ROW()-5)</x:f>
      </x:c>
      <x:c r="B799" s="196"/>
      <x:c r="C799" s="198"/>
      <x:c r="D799" s="196"/>
      <x:c r="E799" s="188"/>
      <x:c r="F799" s="198"/>
      <x:c r="G799" s="202"/>
      <x:c r="H799" s="204"/>
      <x:c r="I799" s="206" t="str">
        <x:f>IF(G799="","",MAX(G799-H799,0))</x:f>
      </x:c>
      <x:c r="J799" s="210"/>
      <x:c r="K799" s="190"/>
      <x:c r="L799" s="208"/>
      <x:c r="M799" s="208"/>
      <x:c r="N799" s="208"/>
      <x:c r="O799" s="208"/>
      <x:c r="P799" s="190"/>
      <x:c r="Q799" s="190"/>
      <x:c r="R799" s="190"/>
      <x:c r="S799" s="190"/>
      <x:c r="T799" s="190"/>
      <x:c r="U799" s="190"/>
      <x:c r="V799" s="212"/>
      <x:c r="W799" s="212"/>
      <x:c r="X799" s="200"/>
      <x:c r="Y799" s="192"/>
      <x:c r="Z799" s="214"/>
      <x:c r="AA799" s="214"/>
      <x:c r="AB799" s="192"/>
      <x:c r="AC799" s="194"/>
      <x:c r="AD799" s="186" t="str">
        <x:f>IF(COUNTA(B799:H799)+COUNTA(J799:AC799)=0,"",IF(OR(B799="",D799="",E799="",G799="",J799=""),"缺少必填项",IF(H799&gt;G799,"完成数大于订单数",IF(AND(X799="",OR(Y799="排队",Y799="生产中",Y799="阻塞",Z799&lt;&gt;"",AA799&lt;&gt;"",AB799="是")),"已有排期字段缺少机台",IF(AND(X799&lt;&gt;"",Y799="待排"),"已填机台但状态为待排",IF(AND(Y799="生产中",AB799&lt;&gt;"是"),"需确认：生产中未锁定","可导入"))))))</x:f>
      </x:c>
    </x:row>
    <x:row r="800" ht="22" customHeight="1">
      <x:c r="A800" s="186" t="str">
        <x:f>IF(B800="","",ROW()-5)</x:f>
      </x:c>
      <x:c r="B800" s="196"/>
      <x:c r="C800" s="198"/>
      <x:c r="D800" s="196"/>
      <x:c r="E800" s="188"/>
      <x:c r="F800" s="198"/>
      <x:c r="G800" s="202"/>
      <x:c r="H800" s="204"/>
      <x:c r="I800" s="206" t="str">
        <x:f>IF(G800="","",MAX(G800-H800,0))</x:f>
      </x:c>
      <x:c r="J800" s="210"/>
      <x:c r="K800" s="190"/>
      <x:c r="L800" s="208"/>
      <x:c r="M800" s="208"/>
      <x:c r="N800" s="208"/>
      <x:c r="O800" s="208"/>
      <x:c r="P800" s="190"/>
      <x:c r="Q800" s="190"/>
      <x:c r="R800" s="190"/>
      <x:c r="S800" s="190"/>
      <x:c r="T800" s="190"/>
      <x:c r="U800" s="190"/>
      <x:c r="V800" s="212"/>
      <x:c r="W800" s="212"/>
      <x:c r="X800" s="200"/>
      <x:c r="Y800" s="192"/>
      <x:c r="Z800" s="214"/>
      <x:c r="AA800" s="214"/>
      <x:c r="AB800" s="192"/>
      <x:c r="AC800" s="194"/>
      <x:c r="AD800" s="186" t="str">
        <x:f>IF(COUNTA(B800:H800)+COUNTA(J800:AC800)=0,"",IF(OR(B800="",D800="",E800="",G800="",J800=""),"缺少必填项",IF(H800&gt;G800,"完成数大于订单数",IF(AND(X800="",OR(Y800="排队",Y800="生产中",Y800="阻塞",Z800&lt;&gt;"",AA800&lt;&gt;"",AB800="是")),"已有排期字段缺少机台",IF(AND(X800&lt;&gt;"",Y800="待排"),"已填机台但状态为待排",IF(AND(Y800="生产中",AB800&lt;&gt;"是"),"需确认：生产中未锁定","可导入"))))))</x:f>
      </x:c>
    </x:row>
    <x:row r="801" ht="22" customHeight="1">
      <x:c r="A801" s="186" t="str">
        <x:f>IF(B801="","",ROW()-5)</x:f>
      </x:c>
      <x:c r="B801" s="196"/>
      <x:c r="C801" s="198"/>
      <x:c r="D801" s="196"/>
      <x:c r="E801" s="188"/>
      <x:c r="F801" s="198"/>
      <x:c r="G801" s="202"/>
      <x:c r="H801" s="204"/>
      <x:c r="I801" s="206" t="str">
        <x:f>IF(G801="","",MAX(G801-H801,0))</x:f>
      </x:c>
      <x:c r="J801" s="210"/>
      <x:c r="K801" s="190"/>
      <x:c r="L801" s="208"/>
      <x:c r="M801" s="208"/>
      <x:c r="N801" s="208"/>
      <x:c r="O801" s="208"/>
      <x:c r="P801" s="190"/>
      <x:c r="Q801" s="190"/>
      <x:c r="R801" s="190"/>
      <x:c r="S801" s="190"/>
      <x:c r="T801" s="190"/>
      <x:c r="U801" s="190"/>
      <x:c r="V801" s="212"/>
      <x:c r="W801" s="212"/>
      <x:c r="X801" s="200"/>
      <x:c r="Y801" s="192"/>
      <x:c r="Z801" s="214"/>
      <x:c r="AA801" s="214"/>
      <x:c r="AB801" s="192"/>
      <x:c r="AC801" s="194"/>
      <x:c r="AD801" s="186" t="str">
        <x:f>IF(COUNTA(B801:H801)+COUNTA(J801:AC801)=0,"",IF(OR(B801="",D801="",E801="",G801="",J801=""),"缺少必填项",IF(H801&gt;G801,"完成数大于订单数",IF(AND(X801="",OR(Y801="排队",Y801="生产中",Y801="阻塞",Z801&lt;&gt;"",AA801&lt;&gt;"",AB801="是")),"已有排期字段缺少机台",IF(AND(X801&lt;&gt;"",Y801="待排"),"已填机台但状态为待排",IF(AND(Y801="生产中",AB801&lt;&gt;"是"),"需确认：生产中未锁定","可导入"))))))</x:f>
      </x:c>
    </x:row>
    <x:row r="802" ht="22" customHeight="1">
      <x:c r="A802" s="186" t="str">
        <x:f>IF(B802="","",ROW()-5)</x:f>
      </x:c>
      <x:c r="B802" s="196"/>
      <x:c r="C802" s="198"/>
      <x:c r="D802" s="196"/>
      <x:c r="E802" s="188"/>
      <x:c r="F802" s="198"/>
      <x:c r="G802" s="202"/>
      <x:c r="H802" s="204"/>
      <x:c r="I802" s="206" t="str">
        <x:f>IF(G802="","",MAX(G802-H802,0))</x:f>
      </x:c>
      <x:c r="J802" s="210"/>
      <x:c r="K802" s="190"/>
      <x:c r="L802" s="208"/>
      <x:c r="M802" s="208"/>
      <x:c r="N802" s="208"/>
      <x:c r="O802" s="208"/>
      <x:c r="P802" s="190"/>
      <x:c r="Q802" s="190"/>
      <x:c r="R802" s="190"/>
      <x:c r="S802" s="190"/>
      <x:c r="T802" s="190"/>
      <x:c r="U802" s="190"/>
      <x:c r="V802" s="212"/>
      <x:c r="W802" s="212"/>
      <x:c r="X802" s="200"/>
      <x:c r="Y802" s="192"/>
      <x:c r="Z802" s="214"/>
      <x:c r="AA802" s="214"/>
      <x:c r="AB802" s="192"/>
      <x:c r="AC802" s="194"/>
      <x:c r="AD802" s="186" t="str">
        <x:f>IF(COUNTA(B802:H802)+COUNTA(J802:AC802)=0,"",IF(OR(B802="",D802="",E802="",G802="",J802=""),"缺少必填项",IF(H802&gt;G802,"完成数大于订单数",IF(AND(X802="",OR(Y802="排队",Y802="生产中",Y802="阻塞",Z802&lt;&gt;"",AA802&lt;&gt;"",AB802="是")),"已有排期字段缺少机台",IF(AND(X802&lt;&gt;"",Y802="待排"),"已填机台但状态为待排",IF(AND(Y802="生产中",AB802&lt;&gt;"是"),"需确认：生产中未锁定","可导入"))))))</x:f>
      </x:c>
    </x:row>
    <x:row r="803" ht="22" customHeight="1">
      <x:c r="A803" s="186" t="str">
        <x:f>IF(B803="","",ROW()-5)</x:f>
      </x:c>
      <x:c r="B803" s="196"/>
      <x:c r="C803" s="198"/>
      <x:c r="D803" s="196"/>
      <x:c r="E803" s="188"/>
      <x:c r="F803" s="198"/>
      <x:c r="G803" s="202"/>
      <x:c r="H803" s="204"/>
      <x:c r="I803" s="206" t="str">
        <x:f>IF(G803="","",MAX(G803-H803,0))</x:f>
      </x:c>
      <x:c r="J803" s="210"/>
      <x:c r="K803" s="190"/>
      <x:c r="L803" s="208"/>
      <x:c r="M803" s="208"/>
      <x:c r="N803" s="208"/>
      <x:c r="O803" s="208"/>
      <x:c r="P803" s="190"/>
      <x:c r="Q803" s="190"/>
      <x:c r="R803" s="190"/>
      <x:c r="S803" s="190"/>
      <x:c r="T803" s="190"/>
      <x:c r="U803" s="190"/>
      <x:c r="V803" s="212"/>
      <x:c r="W803" s="212"/>
      <x:c r="X803" s="200"/>
      <x:c r="Y803" s="192"/>
      <x:c r="Z803" s="214"/>
      <x:c r="AA803" s="214"/>
      <x:c r="AB803" s="192"/>
      <x:c r="AC803" s="194"/>
      <x:c r="AD803" s="186" t="str">
        <x:f>IF(COUNTA(B803:H803)+COUNTA(J803:AC803)=0,"",IF(OR(B803="",D803="",E803="",G803="",J803=""),"缺少必填项",IF(H803&gt;G803,"完成数大于订单数",IF(AND(X803="",OR(Y803="排队",Y803="生产中",Y803="阻塞",Z803&lt;&gt;"",AA803&lt;&gt;"",AB803="是")),"已有排期字段缺少机台",IF(AND(X803&lt;&gt;"",Y803="待排"),"已填机台但状态为待排",IF(AND(Y803="生产中",AB803&lt;&gt;"是"),"需确认：生产中未锁定","可导入"))))))</x:f>
      </x:c>
    </x:row>
    <x:row r="804" ht="22" customHeight="1">
      <x:c r="A804" s="186" t="str">
        <x:f>IF(B804="","",ROW()-5)</x:f>
      </x:c>
      <x:c r="B804" s="196"/>
      <x:c r="C804" s="198"/>
      <x:c r="D804" s="196"/>
      <x:c r="E804" s="188"/>
      <x:c r="F804" s="198"/>
      <x:c r="G804" s="202"/>
      <x:c r="H804" s="204"/>
      <x:c r="I804" s="206" t="str">
        <x:f>IF(G804="","",MAX(G804-H804,0))</x:f>
      </x:c>
      <x:c r="J804" s="210"/>
      <x:c r="K804" s="190"/>
      <x:c r="L804" s="208"/>
      <x:c r="M804" s="208"/>
      <x:c r="N804" s="208"/>
      <x:c r="O804" s="208"/>
      <x:c r="P804" s="190"/>
      <x:c r="Q804" s="190"/>
      <x:c r="R804" s="190"/>
      <x:c r="S804" s="190"/>
      <x:c r="T804" s="190"/>
      <x:c r="U804" s="190"/>
      <x:c r="V804" s="212"/>
      <x:c r="W804" s="212"/>
      <x:c r="X804" s="200"/>
      <x:c r="Y804" s="192"/>
      <x:c r="Z804" s="214"/>
      <x:c r="AA804" s="214"/>
      <x:c r="AB804" s="192"/>
      <x:c r="AC804" s="194"/>
      <x:c r="AD804" s="186" t="str">
        <x:f>IF(COUNTA(B804:H804)+COUNTA(J804:AC804)=0,"",IF(OR(B804="",D804="",E804="",G804="",J804=""),"缺少必填项",IF(H804&gt;G804,"完成数大于订单数",IF(AND(X804="",OR(Y804="排队",Y804="生产中",Y804="阻塞",Z804&lt;&gt;"",AA804&lt;&gt;"",AB804="是")),"已有排期字段缺少机台",IF(AND(X804&lt;&gt;"",Y804="待排"),"已填机台但状态为待排",IF(AND(Y804="生产中",AB804&lt;&gt;"是"),"需确认：生产中未锁定","可导入"))))))</x:f>
      </x:c>
    </x:row>
    <x:row r="805" ht="22" customHeight="1">
      <x:c r="A805" s="186" t="str">
        <x:f>IF(B805="","",ROW()-5)</x:f>
      </x:c>
      <x:c r="B805" s="196"/>
      <x:c r="C805" s="198"/>
      <x:c r="D805" s="196"/>
      <x:c r="E805" s="188"/>
      <x:c r="F805" s="198"/>
      <x:c r="G805" s="202"/>
      <x:c r="H805" s="204"/>
      <x:c r="I805" s="206" t="str">
        <x:f>IF(G805="","",MAX(G805-H805,0))</x:f>
      </x:c>
      <x:c r="J805" s="210"/>
      <x:c r="K805" s="190"/>
      <x:c r="L805" s="208"/>
      <x:c r="M805" s="208"/>
      <x:c r="N805" s="208"/>
      <x:c r="O805" s="208"/>
      <x:c r="P805" s="190"/>
      <x:c r="Q805" s="190"/>
      <x:c r="R805" s="190"/>
      <x:c r="S805" s="190"/>
      <x:c r="T805" s="190"/>
      <x:c r="U805" s="190"/>
      <x:c r="V805" s="212"/>
      <x:c r="W805" s="212"/>
      <x:c r="X805" s="200"/>
      <x:c r="Y805" s="192"/>
      <x:c r="Z805" s="214"/>
      <x:c r="AA805" s="214"/>
      <x:c r="AB805" s="192"/>
      <x:c r="AC805" s="194"/>
      <x:c r="AD805" s="186" t="str">
        <x:f>IF(COUNTA(B805:H805)+COUNTA(J805:AC805)=0,"",IF(OR(B805="",D805="",E805="",G805="",J805=""),"缺少必填项",IF(H805&gt;G805,"完成数大于订单数",IF(AND(X805="",OR(Y805="排队",Y805="生产中",Y805="阻塞",Z805&lt;&gt;"",AA805&lt;&gt;"",AB805="是")),"已有排期字段缺少机台",IF(AND(X805&lt;&gt;"",Y805="待排"),"已填机台但状态为待排",IF(AND(Y805="生产中",AB805&lt;&gt;"是"),"需确认：生产中未锁定","可导入"))))))</x:f>
      </x:c>
    </x:row>
    <x:row r="806" ht="22" customHeight="1">
      <x:c r="A806" s="186" t="str">
        <x:f>IF(B806="","",ROW()-5)</x:f>
      </x:c>
      <x:c r="B806" s="196"/>
      <x:c r="C806" s="198"/>
      <x:c r="D806" s="196"/>
      <x:c r="E806" s="188"/>
      <x:c r="F806" s="198"/>
      <x:c r="G806" s="202"/>
      <x:c r="H806" s="204"/>
      <x:c r="I806" s="206" t="str">
        <x:f>IF(G806="","",MAX(G806-H806,0))</x:f>
      </x:c>
      <x:c r="J806" s="210"/>
      <x:c r="K806" s="190"/>
      <x:c r="L806" s="208"/>
      <x:c r="M806" s="208"/>
      <x:c r="N806" s="208"/>
      <x:c r="O806" s="208"/>
      <x:c r="P806" s="190"/>
      <x:c r="Q806" s="190"/>
      <x:c r="R806" s="190"/>
      <x:c r="S806" s="190"/>
      <x:c r="T806" s="190"/>
      <x:c r="U806" s="190"/>
      <x:c r="V806" s="212"/>
      <x:c r="W806" s="212"/>
      <x:c r="X806" s="200"/>
      <x:c r="Y806" s="192"/>
      <x:c r="Z806" s="214"/>
      <x:c r="AA806" s="214"/>
      <x:c r="AB806" s="192"/>
      <x:c r="AC806" s="194"/>
      <x:c r="AD806" s="186" t="str">
        <x:f>IF(COUNTA(B806:H806)+COUNTA(J806:AC806)=0,"",IF(OR(B806="",D806="",E806="",G806="",J806=""),"缺少必填项",IF(H806&gt;G806,"完成数大于订单数",IF(AND(X806="",OR(Y806="排队",Y806="生产中",Y806="阻塞",Z806&lt;&gt;"",AA806&lt;&gt;"",AB806="是")),"已有排期字段缺少机台",IF(AND(X806&lt;&gt;"",Y806="待排"),"已填机台但状态为待排",IF(AND(Y806="生产中",AB806&lt;&gt;"是"),"需确认：生产中未锁定","可导入"))))))</x:f>
      </x:c>
    </x:row>
    <x:row r="807" ht="22" customHeight="1">
      <x:c r="A807" s="186" t="str">
        <x:f>IF(B807="","",ROW()-5)</x:f>
      </x:c>
      <x:c r="B807" s="196"/>
      <x:c r="C807" s="198"/>
      <x:c r="D807" s="196"/>
      <x:c r="E807" s="188"/>
      <x:c r="F807" s="198"/>
      <x:c r="G807" s="202"/>
      <x:c r="H807" s="204"/>
      <x:c r="I807" s="206" t="str">
        <x:f>IF(G807="","",MAX(G807-H807,0))</x:f>
      </x:c>
      <x:c r="J807" s="210"/>
      <x:c r="K807" s="190"/>
      <x:c r="L807" s="208"/>
      <x:c r="M807" s="208"/>
      <x:c r="N807" s="208"/>
      <x:c r="O807" s="208"/>
      <x:c r="P807" s="190"/>
      <x:c r="Q807" s="190"/>
      <x:c r="R807" s="190"/>
      <x:c r="S807" s="190"/>
      <x:c r="T807" s="190"/>
      <x:c r="U807" s="190"/>
      <x:c r="V807" s="212"/>
      <x:c r="W807" s="212"/>
      <x:c r="X807" s="200"/>
      <x:c r="Y807" s="192"/>
      <x:c r="Z807" s="214"/>
      <x:c r="AA807" s="214"/>
      <x:c r="AB807" s="192"/>
      <x:c r="AC807" s="194"/>
      <x:c r="AD807" s="186" t="str">
        <x:f>IF(COUNTA(B807:H807)+COUNTA(J807:AC807)=0,"",IF(OR(B807="",D807="",E807="",G807="",J807=""),"缺少必填项",IF(H807&gt;G807,"完成数大于订单数",IF(AND(X807="",OR(Y807="排队",Y807="生产中",Y807="阻塞",Z807&lt;&gt;"",AA807&lt;&gt;"",AB807="是")),"已有排期字段缺少机台",IF(AND(X807&lt;&gt;"",Y807="待排"),"已填机台但状态为待排",IF(AND(Y807="生产中",AB807&lt;&gt;"是"),"需确认：生产中未锁定","可导入"))))))</x:f>
      </x:c>
    </x:row>
    <x:row r="808" ht="22" customHeight="1">
      <x:c r="A808" s="186" t="str">
        <x:f>IF(B808="","",ROW()-5)</x:f>
      </x:c>
      <x:c r="B808" s="196"/>
      <x:c r="C808" s="198"/>
      <x:c r="D808" s="196"/>
      <x:c r="E808" s="188"/>
      <x:c r="F808" s="198"/>
      <x:c r="G808" s="202"/>
      <x:c r="H808" s="204"/>
      <x:c r="I808" s="206" t="str">
        <x:f>IF(G808="","",MAX(G808-H808,0))</x:f>
      </x:c>
      <x:c r="J808" s="210"/>
      <x:c r="K808" s="190"/>
      <x:c r="L808" s="208"/>
      <x:c r="M808" s="208"/>
      <x:c r="N808" s="208"/>
      <x:c r="O808" s="208"/>
      <x:c r="P808" s="190"/>
      <x:c r="Q808" s="190"/>
      <x:c r="R808" s="190"/>
      <x:c r="S808" s="190"/>
      <x:c r="T808" s="190"/>
      <x:c r="U808" s="190"/>
      <x:c r="V808" s="212"/>
      <x:c r="W808" s="212"/>
      <x:c r="X808" s="200"/>
      <x:c r="Y808" s="192"/>
      <x:c r="Z808" s="214"/>
      <x:c r="AA808" s="214"/>
      <x:c r="AB808" s="192"/>
      <x:c r="AC808" s="194"/>
      <x:c r="AD808" s="186" t="str">
        <x:f>IF(COUNTA(B808:H808)+COUNTA(J808:AC808)=0,"",IF(OR(B808="",D808="",E808="",G808="",J808=""),"缺少必填项",IF(H808&gt;G808,"完成数大于订单数",IF(AND(X808="",OR(Y808="排队",Y808="生产中",Y808="阻塞",Z808&lt;&gt;"",AA808&lt;&gt;"",AB808="是")),"已有排期字段缺少机台",IF(AND(X808&lt;&gt;"",Y808="待排"),"已填机台但状态为待排",IF(AND(Y808="生产中",AB808&lt;&gt;"是"),"需确认：生产中未锁定","可导入"))))))</x:f>
      </x:c>
    </x:row>
    <x:row r="809" ht="22" customHeight="1">
      <x:c r="A809" s="186" t="str">
        <x:f>IF(B809="","",ROW()-5)</x:f>
      </x:c>
      <x:c r="B809" s="196"/>
      <x:c r="C809" s="198"/>
      <x:c r="D809" s="196"/>
      <x:c r="E809" s="188"/>
      <x:c r="F809" s="198"/>
      <x:c r="G809" s="202"/>
      <x:c r="H809" s="204"/>
      <x:c r="I809" s="206" t="str">
        <x:f>IF(G809="","",MAX(G809-H809,0))</x:f>
      </x:c>
      <x:c r="J809" s="210"/>
      <x:c r="K809" s="190"/>
      <x:c r="L809" s="208"/>
      <x:c r="M809" s="208"/>
      <x:c r="N809" s="208"/>
      <x:c r="O809" s="208"/>
      <x:c r="P809" s="190"/>
      <x:c r="Q809" s="190"/>
      <x:c r="R809" s="190"/>
      <x:c r="S809" s="190"/>
      <x:c r="T809" s="190"/>
      <x:c r="U809" s="190"/>
      <x:c r="V809" s="212"/>
      <x:c r="W809" s="212"/>
      <x:c r="X809" s="200"/>
      <x:c r="Y809" s="192"/>
      <x:c r="Z809" s="214"/>
      <x:c r="AA809" s="214"/>
      <x:c r="AB809" s="192"/>
      <x:c r="AC809" s="194"/>
      <x:c r="AD809" s="186" t="str">
        <x:f>IF(COUNTA(B809:H809)+COUNTA(J809:AC809)=0,"",IF(OR(B809="",D809="",E809="",G809="",J809=""),"缺少必填项",IF(H809&gt;G809,"完成数大于订单数",IF(AND(X809="",OR(Y809="排队",Y809="生产中",Y809="阻塞",Z809&lt;&gt;"",AA809&lt;&gt;"",AB809="是")),"已有排期字段缺少机台",IF(AND(X809&lt;&gt;"",Y809="待排"),"已填机台但状态为待排",IF(AND(Y809="生产中",AB809&lt;&gt;"是"),"需确认：生产中未锁定","可导入"))))))</x:f>
      </x:c>
    </x:row>
    <x:row r="810" ht="22" customHeight="1">
      <x:c r="A810" s="186" t="str">
        <x:f>IF(B810="","",ROW()-5)</x:f>
      </x:c>
      <x:c r="B810" s="196"/>
      <x:c r="C810" s="198"/>
      <x:c r="D810" s="196"/>
      <x:c r="E810" s="188"/>
      <x:c r="F810" s="198"/>
      <x:c r="G810" s="202"/>
      <x:c r="H810" s="204"/>
      <x:c r="I810" s="206" t="str">
        <x:f>IF(G810="","",MAX(G810-H810,0))</x:f>
      </x:c>
      <x:c r="J810" s="210"/>
      <x:c r="K810" s="190"/>
      <x:c r="L810" s="208"/>
      <x:c r="M810" s="208"/>
      <x:c r="N810" s="208"/>
      <x:c r="O810" s="208"/>
      <x:c r="P810" s="190"/>
      <x:c r="Q810" s="190"/>
      <x:c r="R810" s="190"/>
      <x:c r="S810" s="190"/>
      <x:c r="T810" s="190"/>
      <x:c r="U810" s="190"/>
      <x:c r="V810" s="212"/>
      <x:c r="W810" s="212"/>
      <x:c r="X810" s="200"/>
      <x:c r="Y810" s="192"/>
      <x:c r="Z810" s="214"/>
      <x:c r="AA810" s="214"/>
      <x:c r="AB810" s="192"/>
      <x:c r="AC810" s="194"/>
      <x:c r="AD810" s="186" t="str">
        <x:f>IF(COUNTA(B810:H810)+COUNTA(J810:AC810)=0,"",IF(OR(B810="",D810="",E810="",G810="",J810=""),"缺少必填项",IF(H810&gt;G810,"完成数大于订单数",IF(AND(X810="",OR(Y810="排队",Y810="生产中",Y810="阻塞",Z810&lt;&gt;"",AA810&lt;&gt;"",AB810="是")),"已有排期字段缺少机台",IF(AND(X810&lt;&gt;"",Y810="待排"),"已填机台但状态为待排",IF(AND(Y810="生产中",AB810&lt;&gt;"是"),"需确认：生产中未锁定","可导入"))))))</x:f>
      </x:c>
    </x:row>
    <x:row r="811" ht="22" customHeight="1">
      <x:c r="A811" s="186" t="str">
        <x:f>IF(B811="","",ROW()-5)</x:f>
      </x:c>
      <x:c r="B811" s="196"/>
      <x:c r="C811" s="198"/>
      <x:c r="D811" s="196"/>
      <x:c r="E811" s="188"/>
      <x:c r="F811" s="198"/>
      <x:c r="G811" s="202"/>
      <x:c r="H811" s="204"/>
      <x:c r="I811" s="206" t="str">
        <x:f>IF(G811="","",MAX(G811-H811,0))</x:f>
      </x:c>
      <x:c r="J811" s="210"/>
      <x:c r="K811" s="190"/>
      <x:c r="L811" s="208"/>
      <x:c r="M811" s="208"/>
      <x:c r="N811" s="208"/>
      <x:c r="O811" s="208"/>
      <x:c r="P811" s="190"/>
      <x:c r="Q811" s="190"/>
      <x:c r="R811" s="190"/>
      <x:c r="S811" s="190"/>
      <x:c r="T811" s="190"/>
      <x:c r="U811" s="190"/>
      <x:c r="V811" s="212"/>
      <x:c r="W811" s="212"/>
      <x:c r="X811" s="200"/>
      <x:c r="Y811" s="192"/>
      <x:c r="Z811" s="214"/>
      <x:c r="AA811" s="214"/>
      <x:c r="AB811" s="192"/>
      <x:c r="AC811" s="194"/>
      <x:c r="AD811" s="186" t="str">
        <x:f>IF(COUNTA(B811:H811)+COUNTA(J811:AC811)=0,"",IF(OR(B811="",D811="",E811="",G811="",J811=""),"缺少必填项",IF(H811&gt;G811,"完成数大于订单数",IF(AND(X811="",OR(Y811="排队",Y811="生产中",Y811="阻塞",Z811&lt;&gt;"",AA811&lt;&gt;"",AB811="是")),"已有排期字段缺少机台",IF(AND(X811&lt;&gt;"",Y811="待排"),"已填机台但状态为待排",IF(AND(Y811="生产中",AB811&lt;&gt;"是"),"需确认：生产中未锁定","可导入"))))))</x:f>
      </x:c>
    </x:row>
    <x:row r="812" ht="22" customHeight="1">
      <x:c r="A812" s="186" t="str">
        <x:f>IF(B812="","",ROW()-5)</x:f>
      </x:c>
      <x:c r="B812" s="196"/>
      <x:c r="C812" s="198"/>
      <x:c r="D812" s="196"/>
      <x:c r="E812" s="188"/>
      <x:c r="F812" s="198"/>
      <x:c r="G812" s="202"/>
      <x:c r="H812" s="204"/>
      <x:c r="I812" s="206" t="str">
        <x:f>IF(G812="","",MAX(G812-H812,0))</x:f>
      </x:c>
      <x:c r="J812" s="210"/>
      <x:c r="K812" s="190"/>
      <x:c r="L812" s="208"/>
      <x:c r="M812" s="208"/>
      <x:c r="N812" s="208"/>
      <x:c r="O812" s="208"/>
      <x:c r="P812" s="190"/>
      <x:c r="Q812" s="190"/>
      <x:c r="R812" s="190"/>
      <x:c r="S812" s="190"/>
      <x:c r="T812" s="190"/>
      <x:c r="U812" s="190"/>
      <x:c r="V812" s="212"/>
      <x:c r="W812" s="212"/>
      <x:c r="X812" s="200"/>
      <x:c r="Y812" s="192"/>
      <x:c r="Z812" s="214"/>
      <x:c r="AA812" s="214"/>
      <x:c r="AB812" s="192"/>
      <x:c r="AC812" s="194"/>
      <x:c r="AD812" s="186" t="str">
        <x:f>IF(COUNTA(B812:H812)+COUNTA(J812:AC812)=0,"",IF(OR(B812="",D812="",E812="",G812="",J812=""),"缺少必填项",IF(H812&gt;G812,"完成数大于订单数",IF(AND(X812="",OR(Y812="排队",Y812="生产中",Y812="阻塞",Z812&lt;&gt;"",AA812&lt;&gt;"",AB812="是")),"已有排期字段缺少机台",IF(AND(X812&lt;&gt;"",Y812="待排"),"已填机台但状态为待排",IF(AND(Y812="生产中",AB812&lt;&gt;"是"),"需确认：生产中未锁定","可导入"))))))</x:f>
      </x:c>
    </x:row>
    <x:row r="813" ht="22" customHeight="1">
      <x:c r="A813" s="186" t="str">
        <x:f>IF(B813="","",ROW()-5)</x:f>
      </x:c>
      <x:c r="B813" s="196"/>
      <x:c r="C813" s="198"/>
      <x:c r="D813" s="196"/>
      <x:c r="E813" s="188"/>
      <x:c r="F813" s="198"/>
      <x:c r="G813" s="202"/>
      <x:c r="H813" s="204"/>
      <x:c r="I813" s="206" t="str">
        <x:f>IF(G813="","",MAX(G813-H813,0))</x:f>
      </x:c>
      <x:c r="J813" s="210"/>
      <x:c r="K813" s="190"/>
      <x:c r="L813" s="208"/>
      <x:c r="M813" s="208"/>
      <x:c r="N813" s="208"/>
      <x:c r="O813" s="208"/>
      <x:c r="P813" s="190"/>
      <x:c r="Q813" s="190"/>
      <x:c r="R813" s="190"/>
      <x:c r="S813" s="190"/>
      <x:c r="T813" s="190"/>
      <x:c r="U813" s="190"/>
      <x:c r="V813" s="212"/>
      <x:c r="W813" s="212"/>
      <x:c r="X813" s="200"/>
      <x:c r="Y813" s="192"/>
      <x:c r="Z813" s="214"/>
      <x:c r="AA813" s="214"/>
      <x:c r="AB813" s="192"/>
      <x:c r="AC813" s="194"/>
      <x:c r="AD813" s="186" t="str">
        <x:f>IF(COUNTA(B813:H813)+COUNTA(J813:AC813)=0,"",IF(OR(B813="",D813="",E813="",G813="",J813=""),"缺少必填项",IF(H813&gt;G813,"完成数大于订单数",IF(AND(X813="",OR(Y813="排队",Y813="生产中",Y813="阻塞",Z813&lt;&gt;"",AA813&lt;&gt;"",AB813="是")),"已有排期字段缺少机台",IF(AND(X813&lt;&gt;"",Y813="待排"),"已填机台但状态为待排",IF(AND(Y813="生产中",AB813&lt;&gt;"是"),"需确认：生产中未锁定","可导入"))))))</x:f>
      </x:c>
    </x:row>
    <x:row r="814" ht="22" customHeight="1">
      <x:c r="A814" s="186" t="str">
        <x:f>IF(B814="","",ROW()-5)</x:f>
      </x:c>
      <x:c r="B814" s="196"/>
      <x:c r="C814" s="198"/>
      <x:c r="D814" s="196"/>
      <x:c r="E814" s="188"/>
      <x:c r="F814" s="198"/>
      <x:c r="G814" s="202"/>
      <x:c r="H814" s="204"/>
      <x:c r="I814" s="206" t="str">
        <x:f>IF(G814="","",MAX(G814-H814,0))</x:f>
      </x:c>
      <x:c r="J814" s="210"/>
      <x:c r="K814" s="190"/>
      <x:c r="L814" s="208"/>
      <x:c r="M814" s="208"/>
      <x:c r="N814" s="208"/>
      <x:c r="O814" s="208"/>
      <x:c r="P814" s="190"/>
      <x:c r="Q814" s="190"/>
      <x:c r="R814" s="190"/>
      <x:c r="S814" s="190"/>
      <x:c r="T814" s="190"/>
      <x:c r="U814" s="190"/>
      <x:c r="V814" s="212"/>
      <x:c r="W814" s="212"/>
      <x:c r="X814" s="200"/>
      <x:c r="Y814" s="192"/>
      <x:c r="Z814" s="214"/>
      <x:c r="AA814" s="214"/>
      <x:c r="AB814" s="192"/>
      <x:c r="AC814" s="194"/>
      <x:c r="AD814" s="186" t="str">
        <x:f>IF(COUNTA(B814:H814)+COUNTA(J814:AC814)=0,"",IF(OR(B814="",D814="",E814="",G814="",J814=""),"缺少必填项",IF(H814&gt;G814,"完成数大于订单数",IF(AND(X814="",OR(Y814="排队",Y814="生产中",Y814="阻塞",Z814&lt;&gt;"",AA814&lt;&gt;"",AB814="是")),"已有排期字段缺少机台",IF(AND(X814&lt;&gt;"",Y814="待排"),"已填机台但状态为待排",IF(AND(Y814="生产中",AB814&lt;&gt;"是"),"需确认：生产中未锁定","可导入"))))))</x:f>
      </x:c>
    </x:row>
    <x:row r="815" ht="22" customHeight="1">
      <x:c r="A815" s="186" t="str">
        <x:f>IF(B815="","",ROW()-5)</x:f>
      </x:c>
      <x:c r="B815" s="196"/>
      <x:c r="C815" s="198"/>
      <x:c r="D815" s="196"/>
      <x:c r="E815" s="188"/>
      <x:c r="F815" s="198"/>
      <x:c r="G815" s="202"/>
      <x:c r="H815" s="204"/>
      <x:c r="I815" s="206" t="str">
        <x:f>IF(G815="","",MAX(G815-H815,0))</x:f>
      </x:c>
      <x:c r="J815" s="210"/>
      <x:c r="K815" s="190"/>
      <x:c r="L815" s="208"/>
      <x:c r="M815" s="208"/>
      <x:c r="N815" s="208"/>
      <x:c r="O815" s="208"/>
      <x:c r="P815" s="190"/>
      <x:c r="Q815" s="190"/>
      <x:c r="R815" s="190"/>
      <x:c r="S815" s="190"/>
      <x:c r="T815" s="190"/>
      <x:c r="U815" s="190"/>
      <x:c r="V815" s="212"/>
      <x:c r="W815" s="212"/>
      <x:c r="X815" s="200"/>
      <x:c r="Y815" s="192"/>
      <x:c r="Z815" s="214"/>
      <x:c r="AA815" s="214"/>
      <x:c r="AB815" s="192"/>
      <x:c r="AC815" s="194"/>
      <x:c r="AD815" s="186" t="str">
        <x:f>IF(COUNTA(B815:H815)+COUNTA(J815:AC815)=0,"",IF(OR(B815="",D815="",E815="",G815="",J815=""),"缺少必填项",IF(H815&gt;G815,"完成数大于订单数",IF(AND(X815="",OR(Y815="排队",Y815="生产中",Y815="阻塞",Z815&lt;&gt;"",AA815&lt;&gt;"",AB815="是")),"已有排期字段缺少机台",IF(AND(X815&lt;&gt;"",Y815="待排"),"已填机台但状态为待排",IF(AND(Y815="生产中",AB815&lt;&gt;"是"),"需确认：生产中未锁定","可导入"))))))</x:f>
      </x:c>
    </x:row>
    <x:row r="816" ht="22" customHeight="1">
      <x:c r="A816" s="186" t="str">
        <x:f>IF(B816="","",ROW()-5)</x:f>
      </x:c>
      <x:c r="B816" s="196"/>
      <x:c r="C816" s="198"/>
      <x:c r="D816" s="196"/>
      <x:c r="E816" s="188"/>
      <x:c r="F816" s="198"/>
      <x:c r="G816" s="202"/>
      <x:c r="H816" s="204"/>
      <x:c r="I816" s="206" t="str">
        <x:f>IF(G816="","",MAX(G816-H816,0))</x:f>
      </x:c>
      <x:c r="J816" s="210"/>
      <x:c r="K816" s="190"/>
      <x:c r="L816" s="208"/>
      <x:c r="M816" s="208"/>
      <x:c r="N816" s="208"/>
      <x:c r="O816" s="208"/>
      <x:c r="P816" s="190"/>
      <x:c r="Q816" s="190"/>
      <x:c r="R816" s="190"/>
      <x:c r="S816" s="190"/>
      <x:c r="T816" s="190"/>
      <x:c r="U816" s="190"/>
      <x:c r="V816" s="212"/>
      <x:c r="W816" s="212"/>
      <x:c r="X816" s="200"/>
      <x:c r="Y816" s="192"/>
      <x:c r="Z816" s="214"/>
      <x:c r="AA816" s="214"/>
      <x:c r="AB816" s="192"/>
      <x:c r="AC816" s="194"/>
      <x:c r="AD816" s="186" t="str">
        <x:f>IF(COUNTA(B816:H816)+COUNTA(J816:AC816)=0,"",IF(OR(B816="",D816="",E816="",G816="",J816=""),"缺少必填项",IF(H816&gt;G816,"完成数大于订单数",IF(AND(X816="",OR(Y816="排队",Y816="生产中",Y816="阻塞",Z816&lt;&gt;"",AA816&lt;&gt;"",AB816="是")),"已有排期字段缺少机台",IF(AND(X816&lt;&gt;"",Y816="待排"),"已填机台但状态为待排",IF(AND(Y816="生产中",AB816&lt;&gt;"是"),"需确认：生产中未锁定","可导入"))))))</x:f>
      </x:c>
    </x:row>
    <x:row r="817" ht="22" customHeight="1">
      <x:c r="A817" s="186" t="str">
        <x:f>IF(B817="","",ROW()-5)</x:f>
      </x:c>
      <x:c r="B817" s="196"/>
      <x:c r="C817" s="198"/>
      <x:c r="D817" s="196"/>
      <x:c r="E817" s="188"/>
      <x:c r="F817" s="198"/>
      <x:c r="G817" s="202"/>
      <x:c r="H817" s="204"/>
      <x:c r="I817" s="206" t="str">
        <x:f>IF(G817="","",MAX(G817-H817,0))</x:f>
      </x:c>
      <x:c r="J817" s="210"/>
      <x:c r="K817" s="190"/>
      <x:c r="L817" s="208"/>
      <x:c r="M817" s="208"/>
      <x:c r="N817" s="208"/>
      <x:c r="O817" s="208"/>
      <x:c r="P817" s="190"/>
      <x:c r="Q817" s="190"/>
      <x:c r="R817" s="190"/>
      <x:c r="S817" s="190"/>
      <x:c r="T817" s="190"/>
      <x:c r="U817" s="190"/>
      <x:c r="V817" s="212"/>
      <x:c r="W817" s="212"/>
      <x:c r="X817" s="200"/>
      <x:c r="Y817" s="192"/>
      <x:c r="Z817" s="214"/>
      <x:c r="AA817" s="214"/>
      <x:c r="AB817" s="192"/>
      <x:c r="AC817" s="194"/>
      <x:c r="AD817" s="186" t="str">
        <x:f>IF(COUNTA(B817:H817)+COUNTA(J817:AC817)=0,"",IF(OR(B817="",D817="",E817="",G817="",J817=""),"缺少必填项",IF(H817&gt;G817,"完成数大于订单数",IF(AND(X817="",OR(Y817="排队",Y817="生产中",Y817="阻塞",Z817&lt;&gt;"",AA817&lt;&gt;"",AB817="是")),"已有排期字段缺少机台",IF(AND(X817&lt;&gt;"",Y817="待排"),"已填机台但状态为待排",IF(AND(Y817="生产中",AB817&lt;&gt;"是"),"需确认：生产中未锁定","可导入"))))))</x:f>
      </x:c>
    </x:row>
    <x:row r="818" ht="22" customHeight="1">
      <x:c r="A818" s="186" t="str">
        <x:f>IF(B818="","",ROW()-5)</x:f>
      </x:c>
      <x:c r="B818" s="196"/>
      <x:c r="C818" s="198"/>
      <x:c r="D818" s="196"/>
      <x:c r="E818" s="188"/>
      <x:c r="F818" s="198"/>
      <x:c r="G818" s="202"/>
      <x:c r="H818" s="204"/>
      <x:c r="I818" s="206" t="str">
        <x:f>IF(G818="","",MAX(G818-H818,0))</x:f>
      </x:c>
      <x:c r="J818" s="210"/>
      <x:c r="K818" s="190"/>
      <x:c r="L818" s="208"/>
      <x:c r="M818" s="208"/>
      <x:c r="N818" s="208"/>
      <x:c r="O818" s="208"/>
      <x:c r="P818" s="190"/>
      <x:c r="Q818" s="190"/>
      <x:c r="R818" s="190"/>
      <x:c r="S818" s="190"/>
      <x:c r="T818" s="190"/>
      <x:c r="U818" s="190"/>
      <x:c r="V818" s="212"/>
      <x:c r="W818" s="212"/>
      <x:c r="X818" s="200"/>
      <x:c r="Y818" s="192"/>
      <x:c r="Z818" s="214"/>
      <x:c r="AA818" s="214"/>
      <x:c r="AB818" s="192"/>
      <x:c r="AC818" s="194"/>
      <x:c r="AD818" s="186" t="str">
        <x:f>IF(COUNTA(B818:H818)+COUNTA(J818:AC818)=0,"",IF(OR(B818="",D818="",E818="",G818="",J818=""),"缺少必填项",IF(H818&gt;G818,"完成数大于订单数",IF(AND(X818="",OR(Y818="排队",Y818="生产中",Y818="阻塞",Z818&lt;&gt;"",AA818&lt;&gt;"",AB818="是")),"已有排期字段缺少机台",IF(AND(X818&lt;&gt;"",Y818="待排"),"已填机台但状态为待排",IF(AND(Y818="生产中",AB818&lt;&gt;"是"),"需确认：生产中未锁定","可导入"))))))</x:f>
      </x:c>
    </x:row>
    <x:row r="819" ht="22" customHeight="1">
      <x:c r="A819" s="186" t="str">
        <x:f>IF(B819="","",ROW()-5)</x:f>
      </x:c>
      <x:c r="B819" s="196"/>
      <x:c r="C819" s="198"/>
      <x:c r="D819" s="196"/>
      <x:c r="E819" s="188"/>
      <x:c r="F819" s="198"/>
      <x:c r="G819" s="202"/>
      <x:c r="H819" s="204"/>
      <x:c r="I819" s="206" t="str">
        <x:f>IF(G819="","",MAX(G819-H819,0))</x:f>
      </x:c>
      <x:c r="J819" s="210"/>
      <x:c r="K819" s="190"/>
      <x:c r="L819" s="208"/>
      <x:c r="M819" s="208"/>
      <x:c r="N819" s="208"/>
      <x:c r="O819" s="208"/>
      <x:c r="P819" s="190"/>
      <x:c r="Q819" s="190"/>
      <x:c r="R819" s="190"/>
      <x:c r="S819" s="190"/>
      <x:c r="T819" s="190"/>
      <x:c r="U819" s="190"/>
      <x:c r="V819" s="212"/>
      <x:c r="W819" s="212"/>
      <x:c r="X819" s="200"/>
      <x:c r="Y819" s="192"/>
      <x:c r="Z819" s="214"/>
      <x:c r="AA819" s="214"/>
      <x:c r="AB819" s="192"/>
      <x:c r="AC819" s="194"/>
      <x:c r="AD819" s="186" t="str">
        <x:f>IF(COUNTA(B819:H819)+COUNTA(J819:AC819)=0,"",IF(OR(B819="",D819="",E819="",G819="",J819=""),"缺少必填项",IF(H819&gt;G819,"完成数大于订单数",IF(AND(X819="",OR(Y819="排队",Y819="生产中",Y819="阻塞",Z819&lt;&gt;"",AA819&lt;&gt;"",AB819="是")),"已有排期字段缺少机台",IF(AND(X819&lt;&gt;"",Y819="待排"),"已填机台但状态为待排",IF(AND(Y819="生产中",AB819&lt;&gt;"是"),"需确认：生产中未锁定","可导入"))))))</x:f>
      </x:c>
    </x:row>
    <x:row r="820" ht="22" customHeight="1">
      <x:c r="A820" s="186" t="str">
        <x:f>IF(B820="","",ROW()-5)</x:f>
      </x:c>
      <x:c r="B820" s="196"/>
      <x:c r="C820" s="198"/>
      <x:c r="D820" s="196"/>
      <x:c r="E820" s="188"/>
      <x:c r="F820" s="198"/>
      <x:c r="G820" s="202"/>
      <x:c r="H820" s="204"/>
      <x:c r="I820" s="206" t="str">
        <x:f>IF(G820="","",MAX(G820-H820,0))</x:f>
      </x:c>
      <x:c r="J820" s="210"/>
      <x:c r="K820" s="190"/>
      <x:c r="L820" s="208"/>
      <x:c r="M820" s="208"/>
      <x:c r="N820" s="208"/>
      <x:c r="O820" s="208"/>
      <x:c r="P820" s="190"/>
      <x:c r="Q820" s="190"/>
      <x:c r="R820" s="190"/>
      <x:c r="S820" s="190"/>
      <x:c r="T820" s="190"/>
      <x:c r="U820" s="190"/>
      <x:c r="V820" s="212"/>
      <x:c r="W820" s="212"/>
      <x:c r="X820" s="200"/>
      <x:c r="Y820" s="192"/>
      <x:c r="Z820" s="214"/>
      <x:c r="AA820" s="214"/>
      <x:c r="AB820" s="192"/>
      <x:c r="AC820" s="194"/>
      <x:c r="AD820" s="186" t="str">
        <x:f>IF(COUNTA(B820:H820)+COUNTA(J820:AC820)=0,"",IF(OR(B820="",D820="",E820="",G820="",J820=""),"缺少必填项",IF(H820&gt;G820,"完成数大于订单数",IF(AND(X820="",OR(Y820="排队",Y820="生产中",Y820="阻塞",Z820&lt;&gt;"",AA820&lt;&gt;"",AB820="是")),"已有排期字段缺少机台",IF(AND(X820&lt;&gt;"",Y820="待排"),"已填机台但状态为待排",IF(AND(Y820="生产中",AB820&lt;&gt;"是"),"需确认：生产中未锁定","可导入"))))))</x:f>
      </x:c>
    </x:row>
    <x:row r="821" ht="22" customHeight="1">
      <x:c r="A821" s="186" t="str">
        <x:f>IF(B821="","",ROW()-5)</x:f>
      </x:c>
      <x:c r="B821" s="196"/>
      <x:c r="C821" s="198"/>
      <x:c r="D821" s="196"/>
      <x:c r="E821" s="188"/>
      <x:c r="F821" s="198"/>
      <x:c r="G821" s="202"/>
      <x:c r="H821" s="204"/>
      <x:c r="I821" s="206" t="str">
        <x:f>IF(G821="","",MAX(G821-H821,0))</x:f>
      </x:c>
      <x:c r="J821" s="210"/>
      <x:c r="K821" s="190"/>
      <x:c r="L821" s="208"/>
      <x:c r="M821" s="208"/>
      <x:c r="N821" s="208"/>
      <x:c r="O821" s="208"/>
      <x:c r="P821" s="190"/>
      <x:c r="Q821" s="190"/>
      <x:c r="R821" s="190"/>
      <x:c r="S821" s="190"/>
      <x:c r="T821" s="190"/>
      <x:c r="U821" s="190"/>
      <x:c r="V821" s="212"/>
      <x:c r="W821" s="212"/>
      <x:c r="X821" s="200"/>
      <x:c r="Y821" s="192"/>
      <x:c r="Z821" s="214"/>
      <x:c r="AA821" s="214"/>
      <x:c r="AB821" s="192"/>
      <x:c r="AC821" s="194"/>
      <x:c r="AD821" s="186" t="str">
        <x:f>IF(COUNTA(B821:H821)+COUNTA(J821:AC821)=0,"",IF(OR(B821="",D821="",E821="",G821="",J821=""),"缺少必填项",IF(H821&gt;G821,"完成数大于订单数",IF(AND(X821="",OR(Y821="排队",Y821="生产中",Y821="阻塞",Z821&lt;&gt;"",AA821&lt;&gt;"",AB821="是")),"已有排期字段缺少机台",IF(AND(X821&lt;&gt;"",Y821="待排"),"已填机台但状态为待排",IF(AND(Y821="生产中",AB821&lt;&gt;"是"),"需确认：生产中未锁定","可导入"))))))</x:f>
      </x:c>
    </x:row>
    <x:row r="822" ht="22" customHeight="1">
      <x:c r="A822" s="186" t="str">
        <x:f>IF(B822="","",ROW()-5)</x:f>
      </x:c>
      <x:c r="B822" s="196"/>
      <x:c r="C822" s="198"/>
      <x:c r="D822" s="196"/>
      <x:c r="E822" s="188"/>
      <x:c r="F822" s="198"/>
      <x:c r="G822" s="202"/>
      <x:c r="H822" s="204"/>
      <x:c r="I822" s="206" t="str">
        <x:f>IF(G822="","",MAX(G822-H822,0))</x:f>
      </x:c>
      <x:c r="J822" s="210"/>
      <x:c r="K822" s="190"/>
      <x:c r="L822" s="208"/>
      <x:c r="M822" s="208"/>
      <x:c r="N822" s="208"/>
      <x:c r="O822" s="208"/>
      <x:c r="P822" s="190"/>
      <x:c r="Q822" s="190"/>
      <x:c r="R822" s="190"/>
      <x:c r="S822" s="190"/>
      <x:c r="T822" s="190"/>
      <x:c r="U822" s="190"/>
      <x:c r="V822" s="212"/>
      <x:c r="W822" s="212"/>
      <x:c r="X822" s="200"/>
      <x:c r="Y822" s="192"/>
      <x:c r="Z822" s="214"/>
      <x:c r="AA822" s="214"/>
      <x:c r="AB822" s="192"/>
      <x:c r="AC822" s="194"/>
      <x:c r="AD822" s="186" t="str">
        <x:f>IF(COUNTA(B822:H822)+COUNTA(J822:AC822)=0,"",IF(OR(B822="",D822="",E822="",G822="",J822=""),"缺少必填项",IF(H822&gt;G822,"完成数大于订单数",IF(AND(X822="",OR(Y822="排队",Y822="生产中",Y822="阻塞",Z822&lt;&gt;"",AA822&lt;&gt;"",AB822="是")),"已有排期字段缺少机台",IF(AND(X822&lt;&gt;"",Y822="待排"),"已填机台但状态为待排",IF(AND(Y822="生产中",AB822&lt;&gt;"是"),"需确认：生产中未锁定","可导入"))))))</x:f>
      </x:c>
    </x:row>
    <x:row r="823" ht="22" customHeight="1">
      <x:c r="A823" s="186" t="str">
        <x:f>IF(B823="","",ROW()-5)</x:f>
      </x:c>
      <x:c r="B823" s="196"/>
      <x:c r="C823" s="198"/>
      <x:c r="D823" s="196"/>
      <x:c r="E823" s="188"/>
      <x:c r="F823" s="198"/>
      <x:c r="G823" s="202"/>
      <x:c r="H823" s="204"/>
      <x:c r="I823" s="206" t="str">
        <x:f>IF(G823="","",MAX(G823-H823,0))</x:f>
      </x:c>
      <x:c r="J823" s="210"/>
      <x:c r="K823" s="190"/>
      <x:c r="L823" s="208"/>
      <x:c r="M823" s="208"/>
      <x:c r="N823" s="208"/>
      <x:c r="O823" s="208"/>
      <x:c r="P823" s="190"/>
      <x:c r="Q823" s="190"/>
      <x:c r="R823" s="190"/>
      <x:c r="S823" s="190"/>
      <x:c r="T823" s="190"/>
      <x:c r="U823" s="190"/>
      <x:c r="V823" s="212"/>
      <x:c r="W823" s="212"/>
      <x:c r="X823" s="200"/>
      <x:c r="Y823" s="192"/>
      <x:c r="Z823" s="214"/>
      <x:c r="AA823" s="214"/>
      <x:c r="AB823" s="192"/>
      <x:c r="AC823" s="194"/>
      <x:c r="AD823" s="186" t="str">
        <x:f>IF(COUNTA(B823:H823)+COUNTA(J823:AC823)=0,"",IF(OR(B823="",D823="",E823="",G823="",J823=""),"缺少必填项",IF(H823&gt;G823,"完成数大于订单数",IF(AND(X823="",OR(Y823="排队",Y823="生产中",Y823="阻塞",Z823&lt;&gt;"",AA823&lt;&gt;"",AB823="是")),"已有排期字段缺少机台",IF(AND(X823&lt;&gt;"",Y823="待排"),"已填机台但状态为待排",IF(AND(Y823="生产中",AB823&lt;&gt;"是"),"需确认：生产中未锁定","可导入"))))))</x:f>
      </x:c>
    </x:row>
    <x:row r="824" ht="22" customHeight="1">
      <x:c r="A824" s="186" t="str">
        <x:f>IF(B824="","",ROW()-5)</x:f>
      </x:c>
      <x:c r="B824" s="196"/>
      <x:c r="C824" s="198"/>
      <x:c r="D824" s="196"/>
      <x:c r="E824" s="188"/>
      <x:c r="F824" s="198"/>
      <x:c r="G824" s="202"/>
      <x:c r="H824" s="204"/>
      <x:c r="I824" s="206" t="str">
        <x:f>IF(G824="","",MAX(G824-H824,0))</x:f>
      </x:c>
      <x:c r="J824" s="210"/>
      <x:c r="K824" s="190"/>
      <x:c r="L824" s="208"/>
      <x:c r="M824" s="208"/>
      <x:c r="N824" s="208"/>
      <x:c r="O824" s="208"/>
      <x:c r="P824" s="190"/>
      <x:c r="Q824" s="190"/>
      <x:c r="R824" s="190"/>
      <x:c r="S824" s="190"/>
      <x:c r="T824" s="190"/>
      <x:c r="U824" s="190"/>
      <x:c r="V824" s="212"/>
      <x:c r="W824" s="212"/>
      <x:c r="X824" s="200"/>
      <x:c r="Y824" s="192"/>
      <x:c r="Z824" s="214"/>
      <x:c r="AA824" s="214"/>
      <x:c r="AB824" s="192"/>
      <x:c r="AC824" s="194"/>
      <x:c r="AD824" s="186" t="str">
        <x:f>IF(COUNTA(B824:H824)+COUNTA(J824:AC824)=0,"",IF(OR(B824="",D824="",E824="",G824="",J824=""),"缺少必填项",IF(H824&gt;G824,"完成数大于订单数",IF(AND(X824="",OR(Y824="排队",Y824="生产中",Y824="阻塞",Z824&lt;&gt;"",AA824&lt;&gt;"",AB824="是")),"已有排期字段缺少机台",IF(AND(X824&lt;&gt;"",Y824="待排"),"已填机台但状态为待排",IF(AND(Y824="生产中",AB824&lt;&gt;"是"),"需确认：生产中未锁定","可导入"))))))</x:f>
      </x:c>
    </x:row>
    <x:row r="825" ht="22" customHeight="1">
      <x:c r="A825" s="186" t="str">
        <x:f>IF(B825="","",ROW()-5)</x:f>
      </x:c>
      <x:c r="B825" s="196"/>
      <x:c r="C825" s="198"/>
      <x:c r="D825" s="196"/>
      <x:c r="E825" s="188"/>
      <x:c r="F825" s="198"/>
      <x:c r="G825" s="202"/>
      <x:c r="H825" s="204"/>
      <x:c r="I825" s="206" t="str">
        <x:f>IF(G825="","",MAX(G825-H825,0))</x:f>
      </x:c>
      <x:c r="J825" s="210"/>
      <x:c r="K825" s="190"/>
      <x:c r="L825" s="208"/>
      <x:c r="M825" s="208"/>
      <x:c r="N825" s="208"/>
      <x:c r="O825" s="208"/>
      <x:c r="P825" s="190"/>
      <x:c r="Q825" s="190"/>
      <x:c r="R825" s="190"/>
      <x:c r="S825" s="190"/>
      <x:c r="T825" s="190"/>
      <x:c r="U825" s="190"/>
      <x:c r="V825" s="212"/>
      <x:c r="W825" s="212"/>
      <x:c r="X825" s="200"/>
      <x:c r="Y825" s="192"/>
      <x:c r="Z825" s="214"/>
      <x:c r="AA825" s="214"/>
      <x:c r="AB825" s="192"/>
      <x:c r="AC825" s="194"/>
      <x:c r="AD825" s="186" t="str">
        <x:f>IF(COUNTA(B825:H825)+COUNTA(J825:AC825)=0,"",IF(OR(B825="",D825="",E825="",G825="",J825=""),"缺少必填项",IF(H825&gt;G825,"完成数大于订单数",IF(AND(X825="",OR(Y825="排队",Y825="生产中",Y825="阻塞",Z825&lt;&gt;"",AA825&lt;&gt;"",AB825="是")),"已有排期字段缺少机台",IF(AND(X825&lt;&gt;"",Y825="待排"),"已填机台但状态为待排",IF(AND(Y825="生产中",AB825&lt;&gt;"是"),"需确认：生产中未锁定","可导入"))))))</x:f>
      </x:c>
    </x:row>
    <x:row r="826" ht="22" customHeight="1">
      <x:c r="A826" s="186" t="str">
        <x:f>IF(B826="","",ROW()-5)</x:f>
      </x:c>
      <x:c r="B826" s="196"/>
      <x:c r="C826" s="198"/>
      <x:c r="D826" s="196"/>
      <x:c r="E826" s="188"/>
      <x:c r="F826" s="198"/>
      <x:c r="G826" s="202"/>
      <x:c r="H826" s="204"/>
      <x:c r="I826" s="206" t="str">
        <x:f>IF(G826="","",MAX(G826-H826,0))</x:f>
      </x:c>
      <x:c r="J826" s="210"/>
      <x:c r="K826" s="190"/>
      <x:c r="L826" s="208"/>
      <x:c r="M826" s="208"/>
      <x:c r="N826" s="208"/>
      <x:c r="O826" s="208"/>
      <x:c r="P826" s="190"/>
      <x:c r="Q826" s="190"/>
      <x:c r="R826" s="190"/>
      <x:c r="S826" s="190"/>
      <x:c r="T826" s="190"/>
      <x:c r="U826" s="190"/>
      <x:c r="V826" s="212"/>
      <x:c r="W826" s="212"/>
      <x:c r="X826" s="200"/>
      <x:c r="Y826" s="192"/>
      <x:c r="Z826" s="214"/>
      <x:c r="AA826" s="214"/>
      <x:c r="AB826" s="192"/>
      <x:c r="AC826" s="194"/>
      <x:c r="AD826" s="186" t="str">
        <x:f>IF(COUNTA(B826:H826)+COUNTA(J826:AC826)=0,"",IF(OR(B826="",D826="",E826="",G826="",J826=""),"缺少必填项",IF(H826&gt;G826,"完成数大于订单数",IF(AND(X826="",OR(Y826="排队",Y826="生产中",Y826="阻塞",Z826&lt;&gt;"",AA826&lt;&gt;"",AB826="是")),"已有排期字段缺少机台",IF(AND(X826&lt;&gt;"",Y826="待排"),"已填机台但状态为待排",IF(AND(Y826="生产中",AB826&lt;&gt;"是"),"需确认：生产中未锁定","可导入"))))))</x:f>
      </x:c>
    </x:row>
    <x:row r="827" ht="22" customHeight="1">
      <x:c r="A827" s="186" t="str">
        <x:f>IF(B827="","",ROW()-5)</x:f>
      </x:c>
      <x:c r="B827" s="196"/>
      <x:c r="C827" s="198"/>
      <x:c r="D827" s="196"/>
      <x:c r="E827" s="188"/>
      <x:c r="F827" s="198"/>
      <x:c r="G827" s="202"/>
      <x:c r="H827" s="204"/>
      <x:c r="I827" s="206" t="str">
        <x:f>IF(G827="","",MAX(G827-H827,0))</x:f>
      </x:c>
      <x:c r="J827" s="210"/>
      <x:c r="K827" s="190"/>
      <x:c r="L827" s="208"/>
      <x:c r="M827" s="208"/>
      <x:c r="N827" s="208"/>
      <x:c r="O827" s="208"/>
      <x:c r="P827" s="190"/>
      <x:c r="Q827" s="190"/>
      <x:c r="R827" s="190"/>
      <x:c r="S827" s="190"/>
      <x:c r="T827" s="190"/>
      <x:c r="U827" s="190"/>
      <x:c r="V827" s="212"/>
      <x:c r="W827" s="212"/>
      <x:c r="X827" s="200"/>
      <x:c r="Y827" s="192"/>
      <x:c r="Z827" s="214"/>
      <x:c r="AA827" s="214"/>
      <x:c r="AB827" s="192"/>
      <x:c r="AC827" s="194"/>
      <x:c r="AD827" s="186" t="str">
        <x:f>IF(COUNTA(B827:H827)+COUNTA(J827:AC827)=0,"",IF(OR(B827="",D827="",E827="",G827="",J827=""),"缺少必填项",IF(H827&gt;G827,"完成数大于订单数",IF(AND(X827="",OR(Y827="排队",Y827="生产中",Y827="阻塞",Z827&lt;&gt;"",AA827&lt;&gt;"",AB827="是")),"已有排期字段缺少机台",IF(AND(X827&lt;&gt;"",Y827="待排"),"已填机台但状态为待排",IF(AND(Y827="生产中",AB827&lt;&gt;"是"),"需确认：生产中未锁定","可导入"))))))</x:f>
      </x:c>
    </x:row>
    <x:row r="828" ht="22" customHeight="1">
      <x:c r="A828" s="186" t="str">
        <x:f>IF(B828="","",ROW()-5)</x:f>
      </x:c>
      <x:c r="B828" s="196"/>
      <x:c r="C828" s="198"/>
      <x:c r="D828" s="196"/>
      <x:c r="E828" s="188"/>
      <x:c r="F828" s="198"/>
      <x:c r="G828" s="202"/>
      <x:c r="H828" s="204"/>
      <x:c r="I828" s="206" t="str">
        <x:f>IF(G828="","",MAX(G828-H828,0))</x:f>
      </x:c>
      <x:c r="J828" s="210"/>
      <x:c r="K828" s="190"/>
      <x:c r="L828" s="208"/>
      <x:c r="M828" s="208"/>
      <x:c r="N828" s="208"/>
      <x:c r="O828" s="208"/>
      <x:c r="P828" s="190"/>
      <x:c r="Q828" s="190"/>
      <x:c r="R828" s="190"/>
      <x:c r="S828" s="190"/>
      <x:c r="T828" s="190"/>
      <x:c r="U828" s="190"/>
      <x:c r="V828" s="212"/>
      <x:c r="W828" s="212"/>
      <x:c r="X828" s="200"/>
      <x:c r="Y828" s="192"/>
      <x:c r="Z828" s="214"/>
      <x:c r="AA828" s="214"/>
      <x:c r="AB828" s="192"/>
      <x:c r="AC828" s="194"/>
      <x:c r="AD828" s="186" t="str">
        <x:f>IF(COUNTA(B828:H828)+COUNTA(J828:AC828)=0,"",IF(OR(B828="",D828="",E828="",G828="",J828=""),"缺少必填项",IF(H828&gt;G828,"完成数大于订单数",IF(AND(X828="",OR(Y828="排队",Y828="生产中",Y828="阻塞",Z828&lt;&gt;"",AA828&lt;&gt;"",AB828="是")),"已有排期字段缺少机台",IF(AND(X828&lt;&gt;"",Y828="待排"),"已填机台但状态为待排",IF(AND(Y828="生产中",AB828&lt;&gt;"是"),"需确认：生产中未锁定","可导入"))))))</x:f>
      </x:c>
    </x:row>
    <x:row r="829" ht="22" customHeight="1">
      <x:c r="A829" s="186" t="str">
        <x:f>IF(B829="","",ROW()-5)</x:f>
      </x:c>
      <x:c r="B829" s="196"/>
      <x:c r="C829" s="198"/>
      <x:c r="D829" s="196"/>
      <x:c r="E829" s="188"/>
      <x:c r="F829" s="198"/>
      <x:c r="G829" s="202"/>
      <x:c r="H829" s="204"/>
      <x:c r="I829" s="206" t="str">
        <x:f>IF(G829="","",MAX(G829-H829,0))</x:f>
      </x:c>
      <x:c r="J829" s="210"/>
      <x:c r="K829" s="190"/>
      <x:c r="L829" s="208"/>
      <x:c r="M829" s="208"/>
      <x:c r="N829" s="208"/>
      <x:c r="O829" s="208"/>
      <x:c r="P829" s="190"/>
      <x:c r="Q829" s="190"/>
      <x:c r="R829" s="190"/>
      <x:c r="S829" s="190"/>
      <x:c r="T829" s="190"/>
      <x:c r="U829" s="190"/>
      <x:c r="V829" s="212"/>
      <x:c r="W829" s="212"/>
      <x:c r="X829" s="200"/>
      <x:c r="Y829" s="192"/>
      <x:c r="Z829" s="214"/>
      <x:c r="AA829" s="214"/>
      <x:c r="AB829" s="192"/>
      <x:c r="AC829" s="194"/>
      <x:c r="AD829" s="186" t="str">
        <x:f>IF(COUNTA(B829:H829)+COUNTA(J829:AC829)=0,"",IF(OR(B829="",D829="",E829="",G829="",J829=""),"缺少必填项",IF(H829&gt;G829,"完成数大于订单数",IF(AND(X829="",OR(Y829="排队",Y829="生产中",Y829="阻塞",Z829&lt;&gt;"",AA829&lt;&gt;"",AB829="是")),"已有排期字段缺少机台",IF(AND(X829&lt;&gt;"",Y829="待排"),"已填机台但状态为待排",IF(AND(Y829="生产中",AB829&lt;&gt;"是"),"需确认：生产中未锁定","可导入"))))))</x:f>
      </x:c>
    </x:row>
    <x:row r="830" ht="22" customHeight="1">
      <x:c r="A830" s="186" t="str">
        <x:f>IF(B830="","",ROW()-5)</x:f>
      </x:c>
      <x:c r="B830" s="196"/>
      <x:c r="C830" s="198"/>
      <x:c r="D830" s="196"/>
      <x:c r="E830" s="188"/>
      <x:c r="F830" s="198"/>
      <x:c r="G830" s="202"/>
      <x:c r="H830" s="204"/>
      <x:c r="I830" s="206" t="str">
        <x:f>IF(G830="","",MAX(G830-H830,0))</x:f>
      </x:c>
      <x:c r="J830" s="210"/>
      <x:c r="K830" s="190"/>
      <x:c r="L830" s="208"/>
      <x:c r="M830" s="208"/>
      <x:c r="N830" s="208"/>
      <x:c r="O830" s="208"/>
      <x:c r="P830" s="190"/>
      <x:c r="Q830" s="190"/>
      <x:c r="R830" s="190"/>
      <x:c r="S830" s="190"/>
      <x:c r="T830" s="190"/>
      <x:c r="U830" s="190"/>
      <x:c r="V830" s="212"/>
      <x:c r="W830" s="212"/>
      <x:c r="X830" s="200"/>
      <x:c r="Y830" s="192"/>
      <x:c r="Z830" s="214"/>
      <x:c r="AA830" s="214"/>
      <x:c r="AB830" s="192"/>
      <x:c r="AC830" s="194"/>
      <x:c r="AD830" s="186" t="str">
        <x:f>IF(COUNTA(B830:H830)+COUNTA(J830:AC830)=0,"",IF(OR(B830="",D830="",E830="",G830="",J830=""),"缺少必填项",IF(H830&gt;G830,"完成数大于订单数",IF(AND(X830="",OR(Y830="排队",Y830="生产中",Y830="阻塞",Z830&lt;&gt;"",AA830&lt;&gt;"",AB830="是")),"已有排期字段缺少机台",IF(AND(X830&lt;&gt;"",Y830="待排"),"已填机台但状态为待排",IF(AND(Y830="生产中",AB830&lt;&gt;"是"),"需确认：生产中未锁定","可导入"))))))</x:f>
      </x:c>
    </x:row>
    <x:row r="831" ht="22" customHeight="1">
      <x:c r="A831" s="186" t="str">
        <x:f>IF(B831="","",ROW()-5)</x:f>
      </x:c>
      <x:c r="B831" s="196"/>
      <x:c r="C831" s="198"/>
      <x:c r="D831" s="196"/>
      <x:c r="E831" s="188"/>
      <x:c r="F831" s="198"/>
      <x:c r="G831" s="202"/>
      <x:c r="H831" s="204"/>
      <x:c r="I831" s="206" t="str">
        <x:f>IF(G831="","",MAX(G831-H831,0))</x:f>
      </x:c>
      <x:c r="J831" s="210"/>
      <x:c r="K831" s="190"/>
      <x:c r="L831" s="208"/>
      <x:c r="M831" s="208"/>
      <x:c r="N831" s="208"/>
      <x:c r="O831" s="208"/>
      <x:c r="P831" s="190"/>
      <x:c r="Q831" s="190"/>
      <x:c r="R831" s="190"/>
      <x:c r="S831" s="190"/>
      <x:c r="T831" s="190"/>
      <x:c r="U831" s="190"/>
      <x:c r="V831" s="212"/>
      <x:c r="W831" s="212"/>
      <x:c r="X831" s="200"/>
      <x:c r="Y831" s="192"/>
      <x:c r="Z831" s="214"/>
      <x:c r="AA831" s="214"/>
      <x:c r="AB831" s="192"/>
      <x:c r="AC831" s="194"/>
      <x:c r="AD831" s="186" t="str">
        <x:f>IF(COUNTA(B831:H831)+COUNTA(J831:AC831)=0,"",IF(OR(B831="",D831="",E831="",G831="",J831=""),"缺少必填项",IF(H831&gt;G831,"完成数大于订单数",IF(AND(X831="",OR(Y831="排队",Y831="生产中",Y831="阻塞",Z831&lt;&gt;"",AA831&lt;&gt;"",AB831="是")),"已有排期字段缺少机台",IF(AND(X831&lt;&gt;"",Y831="待排"),"已填机台但状态为待排",IF(AND(Y831="生产中",AB831&lt;&gt;"是"),"需确认：生产中未锁定","可导入"))))))</x:f>
      </x:c>
    </x:row>
    <x:row r="832" ht="22" customHeight="1">
      <x:c r="A832" s="186" t="str">
        <x:f>IF(B832="","",ROW()-5)</x:f>
      </x:c>
      <x:c r="B832" s="196"/>
      <x:c r="C832" s="198"/>
      <x:c r="D832" s="196"/>
      <x:c r="E832" s="188"/>
      <x:c r="F832" s="198"/>
      <x:c r="G832" s="202"/>
      <x:c r="H832" s="204"/>
      <x:c r="I832" s="206" t="str">
        <x:f>IF(G832="","",MAX(G832-H832,0))</x:f>
      </x:c>
      <x:c r="J832" s="210"/>
      <x:c r="K832" s="190"/>
      <x:c r="L832" s="208"/>
      <x:c r="M832" s="208"/>
      <x:c r="N832" s="208"/>
      <x:c r="O832" s="208"/>
      <x:c r="P832" s="190"/>
      <x:c r="Q832" s="190"/>
      <x:c r="R832" s="190"/>
      <x:c r="S832" s="190"/>
      <x:c r="T832" s="190"/>
      <x:c r="U832" s="190"/>
      <x:c r="V832" s="212"/>
      <x:c r="W832" s="212"/>
      <x:c r="X832" s="200"/>
      <x:c r="Y832" s="192"/>
      <x:c r="Z832" s="214"/>
      <x:c r="AA832" s="214"/>
      <x:c r="AB832" s="192"/>
      <x:c r="AC832" s="194"/>
      <x:c r="AD832" s="186" t="str">
        <x:f>IF(COUNTA(B832:H832)+COUNTA(J832:AC832)=0,"",IF(OR(B832="",D832="",E832="",G832="",J832=""),"缺少必填项",IF(H832&gt;G832,"完成数大于订单数",IF(AND(X832="",OR(Y832="排队",Y832="生产中",Y832="阻塞",Z832&lt;&gt;"",AA832&lt;&gt;"",AB832="是")),"已有排期字段缺少机台",IF(AND(X832&lt;&gt;"",Y832="待排"),"已填机台但状态为待排",IF(AND(Y832="生产中",AB832&lt;&gt;"是"),"需确认：生产中未锁定","可导入"))))))</x:f>
      </x:c>
    </x:row>
    <x:row r="833" ht="22" customHeight="1">
      <x:c r="A833" s="186" t="str">
        <x:f>IF(B833="","",ROW()-5)</x:f>
      </x:c>
      <x:c r="B833" s="196"/>
      <x:c r="C833" s="198"/>
      <x:c r="D833" s="196"/>
      <x:c r="E833" s="188"/>
      <x:c r="F833" s="198"/>
      <x:c r="G833" s="202"/>
      <x:c r="H833" s="204"/>
      <x:c r="I833" s="206" t="str">
        <x:f>IF(G833="","",MAX(G833-H833,0))</x:f>
      </x:c>
      <x:c r="J833" s="210"/>
      <x:c r="K833" s="190"/>
      <x:c r="L833" s="208"/>
      <x:c r="M833" s="208"/>
      <x:c r="N833" s="208"/>
      <x:c r="O833" s="208"/>
      <x:c r="P833" s="190"/>
      <x:c r="Q833" s="190"/>
      <x:c r="R833" s="190"/>
      <x:c r="S833" s="190"/>
      <x:c r="T833" s="190"/>
      <x:c r="U833" s="190"/>
      <x:c r="V833" s="212"/>
      <x:c r="W833" s="212"/>
      <x:c r="X833" s="200"/>
      <x:c r="Y833" s="192"/>
      <x:c r="Z833" s="214"/>
      <x:c r="AA833" s="214"/>
      <x:c r="AB833" s="192"/>
      <x:c r="AC833" s="194"/>
      <x:c r="AD833" s="186" t="str">
        <x:f>IF(COUNTA(B833:H833)+COUNTA(J833:AC833)=0,"",IF(OR(B833="",D833="",E833="",G833="",J833=""),"缺少必填项",IF(H833&gt;G833,"完成数大于订单数",IF(AND(X833="",OR(Y833="排队",Y833="生产中",Y833="阻塞",Z833&lt;&gt;"",AA833&lt;&gt;"",AB833="是")),"已有排期字段缺少机台",IF(AND(X833&lt;&gt;"",Y833="待排"),"已填机台但状态为待排",IF(AND(Y833="生产中",AB833&lt;&gt;"是"),"需确认：生产中未锁定","可导入"))))))</x:f>
      </x:c>
    </x:row>
    <x:row r="834" ht="22" customHeight="1">
      <x:c r="A834" s="186" t="str">
        <x:f>IF(B834="","",ROW()-5)</x:f>
      </x:c>
      <x:c r="B834" s="196"/>
      <x:c r="C834" s="198"/>
      <x:c r="D834" s="196"/>
      <x:c r="E834" s="188"/>
      <x:c r="F834" s="198"/>
      <x:c r="G834" s="202"/>
      <x:c r="H834" s="204"/>
      <x:c r="I834" s="206" t="str">
        <x:f>IF(G834="","",MAX(G834-H834,0))</x:f>
      </x:c>
      <x:c r="J834" s="210"/>
      <x:c r="K834" s="190"/>
      <x:c r="L834" s="208"/>
      <x:c r="M834" s="208"/>
      <x:c r="N834" s="208"/>
      <x:c r="O834" s="208"/>
      <x:c r="P834" s="190"/>
      <x:c r="Q834" s="190"/>
      <x:c r="R834" s="190"/>
      <x:c r="S834" s="190"/>
      <x:c r="T834" s="190"/>
      <x:c r="U834" s="190"/>
      <x:c r="V834" s="212"/>
      <x:c r="W834" s="212"/>
      <x:c r="X834" s="200"/>
      <x:c r="Y834" s="192"/>
      <x:c r="Z834" s="214"/>
      <x:c r="AA834" s="214"/>
      <x:c r="AB834" s="192"/>
      <x:c r="AC834" s="194"/>
      <x:c r="AD834" s="186" t="str">
        <x:f>IF(COUNTA(B834:H834)+COUNTA(J834:AC834)=0,"",IF(OR(B834="",D834="",E834="",G834="",J834=""),"缺少必填项",IF(H834&gt;G834,"完成数大于订单数",IF(AND(X834="",OR(Y834="排队",Y834="生产中",Y834="阻塞",Z834&lt;&gt;"",AA834&lt;&gt;"",AB834="是")),"已有排期字段缺少机台",IF(AND(X834&lt;&gt;"",Y834="待排"),"已填机台但状态为待排",IF(AND(Y834="生产中",AB834&lt;&gt;"是"),"需确认：生产中未锁定","可导入"))))))</x:f>
      </x:c>
    </x:row>
    <x:row r="835" ht="22" customHeight="1">
      <x:c r="A835" s="186" t="str">
        <x:f>IF(B835="","",ROW()-5)</x:f>
      </x:c>
      <x:c r="B835" s="196"/>
      <x:c r="C835" s="198"/>
      <x:c r="D835" s="196"/>
      <x:c r="E835" s="188"/>
      <x:c r="F835" s="198"/>
      <x:c r="G835" s="202"/>
      <x:c r="H835" s="204"/>
      <x:c r="I835" s="206" t="str">
        <x:f>IF(G835="","",MAX(G835-H835,0))</x:f>
      </x:c>
      <x:c r="J835" s="210"/>
      <x:c r="K835" s="190"/>
      <x:c r="L835" s="208"/>
      <x:c r="M835" s="208"/>
      <x:c r="N835" s="208"/>
      <x:c r="O835" s="208"/>
      <x:c r="P835" s="190"/>
      <x:c r="Q835" s="190"/>
      <x:c r="R835" s="190"/>
      <x:c r="S835" s="190"/>
      <x:c r="T835" s="190"/>
      <x:c r="U835" s="190"/>
      <x:c r="V835" s="212"/>
      <x:c r="W835" s="212"/>
      <x:c r="X835" s="200"/>
      <x:c r="Y835" s="192"/>
      <x:c r="Z835" s="214"/>
      <x:c r="AA835" s="214"/>
      <x:c r="AB835" s="192"/>
      <x:c r="AC835" s="194"/>
      <x:c r="AD835" s="186" t="str">
        <x:f>IF(COUNTA(B835:H835)+COUNTA(J835:AC835)=0,"",IF(OR(B835="",D835="",E835="",G835="",J835=""),"缺少必填项",IF(H835&gt;G835,"完成数大于订单数",IF(AND(X835="",OR(Y835="排队",Y835="生产中",Y835="阻塞",Z835&lt;&gt;"",AA835&lt;&gt;"",AB835="是")),"已有排期字段缺少机台",IF(AND(X835&lt;&gt;"",Y835="待排"),"已填机台但状态为待排",IF(AND(Y835="生产中",AB835&lt;&gt;"是"),"需确认：生产中未锁定","可导入"))))))</x:f>
      </x:c>
    </x:row>
    <x:row r="836" ht="22" customHeight="1">
      <x:c r="A836" s="186" t="str">
        <x:f>IF(B836="","",ROW()-5)</x:f>
      </x:c>
      <x:c r="B836" s="196"/>
      <x:c r="C836" s="198"/>
      <x:c r="D836" s="196"/>
      <x:c r="E836" s="188"/>
      <x:c r="F836" s="198"/>
      <x:c r="G836" s="202"/>
      <x:c r="H836" s="204"/>
      <x:c r="I836" s="206" t="str">
        <x:f>IF(G836="","",MAX(G836-H836,0))</x:f>
      </x:c>
      <x:c r="J836" s="210"/>
      <x:c r="K836" s="190"/>
      <x:c r="L836" s="208"/>
      <x:c r="M836" s="208"/>
      <x:c r="N836" s="208"/>
      <x:c r="O836" s="208"/>
      <x:c r="P836" s="190"/>
      <x:c r="Q836" s="190"/>
      <x:c r="R836" s="190"/>
      <x:c r="S836" s="190"/>
      <x:c r="T836" s="190"/>
      <x:c r="U836" s="190"/>
      <x:c r="V836" s="212"/>
      <x:c r="W836" s="212"/>
      <x:c r="X836" s="200"/>
      <x:c r="Y836" s="192"/>
      <x:c r="Z836" s="214"/>
      <x:c r="AA836" s="214"/>
      <x:c r="AB836" s="192"/>
      <x:c r="AC836" s="194"/>
      <x:c r="AD836" s="186" t="str">
        <x:f>IF(COUNTA(B836:H836)+COUNTA(J836:AC836)=0,"",IF(OR(B836="",D836="",E836="",G836="",J836=""),"缺少必填项",IF(H836&gt;G836,"完成数大于订单数",IF(AND(X836="",OR(Y836="排队",Y836="生产中",Y836="阻塞",Z836&lt;&gt;"",AA836&lt;&gt;"",AB836="是")),"已有排期字段缺少机台",IF(AND(X836&lt;&gt;"",Y836="待排"),"已填机台但状态为待排",IF(AND(Y836="生产中",AB836&lt;&gt;"是"),"需确认：生产中未锁定","可导入"))))))</x:f>
      </x:c>
    </x:row>
    <x:row r="837" ht="22" customHeight="1">
      <x:c r="A837" s="186" t="str">
        <x:f>IF(B837="","",ROW()-5)</x:f>
      </x:c>
      <x:c r="B837" s="196"/>
      <x:c r="C837" s="198"/>
      <x:c r="D837" s="196"/>
      <x:c r="E837" s="188"/>
      <x:c r="F837" s="198"/>
      <x:c r="G837" s="202"/>
      <x:c r="H837" s="204"/>
      <x:c r="I837" s="206" t="str">
        <x:f>IF(G837="","",MAX(G837-H837,0))</x:f>
      </x:c>
      <x:c r="J837" s="210"/>
      <x:c r="K837" s="190"/>
      <x:c r="L837" s="208"/>
      <x:c r="M837" s="208"/>
      <x:c r="N837" s="208"/>
      <x:c r="O837" s="208"/>
      <x:c r="P837" s="190"/>
      <x:c r="Q837" s="190"/>
      <x:c r="R837" s="190"/>
      <x:c r="S837" s="190"/>
      <x:c r="T837" s="190"/>
      <x:c r="U837" s="190"/>
      <x:c r="V837" s="212"/>
      <x:c r="W837" s="212"/>
      <x:c r="X837" s="200"/>
      <x:c r="Y837" s="192"/>
      <x:c r="Z837" s="214"/>
      <x:c r="AA837" s="214"/>
      <x:c r="AB837" s="192"/>
      <x:c r="AC837" s="194"/>
      <x:c r="AD837" s="186" t="str">
        <x:f>IF(COUNTA(B837:H837)+COUNTA(J837:AC837)=0,"",IF(OR(B837="",D837="",E837="",G837="",J837=""),"缺少必填项",IF(H837&gt;G837,"完成数大于订单数",IF(AND(X837="",OR(Y837="排队",Y837="生产中",Y837="阻塞",Z837&lt;&gt;"",AA837&lt;&gt;"",AB837="是")),"已有排期字段缺少机台",IF(AND(X837&lt;&gt;"",Y837="待排"),"已填机台但状态为待排",IF(AND(Y837="生产中",AB837&lt;&gt;"是"),"需确认：生产中未锁定","可导入"))))))</x:f>
      </x:c>
    </x:row>
    <x:row r="838" ht="22" customHeight="1">
      <x:c r="A838" s="186" t="str">
        <x:f>IF(B838="","",ROW()-5)</x:f>
      </x:c>
      <x:c r="B838" s="196"/>
      <x:c r="C838" s="198"/>
      <x:c r="D838" s="196"/>
      <x:c r="E838" s="188"/>
      <x:c r="F838" s="198"/>
      <x:c r="G838" s="202"/>
      <x:c r="H838" s="204"/>
      <x:c r="I838" s="206" t="str">
        <x:f>IF(G838="","",MAX(G838-H838,0))</x:f>
      </x:c>
      <x:c r="J838" s="210"/>
      <x:c r="K838" s="190"/>
      <x:c r="L838" s="208"/>
      <x:c r="M838" s="208"/>
      <x:c r="N838" s="208"/>
      <x:c r="O838" s="208"/>
      <x:c r="P838" s="190"/>
      <x:c r="Q838" s="190"/>
      <x:c r="R838" s="190"/>
      <x:c r="S838" s="190"/>
      <x:c r="T838" s="190"/>
      <x:c r="U838" s="190"/>
      <x:c r="V838" s="212"/>
      <x:c r="W838" s="212"/>
      <x:c r="X838" s="200"/>
      <x:c r="Y838" s="192"/>
      <x:c r="Z838" s="214"/>
      <x:c r="AA838" s="214"/>
      <x:c r="AB838" s="192"/>
      <x:c r="AC838" s="194"/>
      <x:c r="AD838" s="186" t="str">
        <x:f>IF(COUNTA(B838:H838)+COUNTA(J838:AC838)=0,"",IF(OR(B838="",D838="",E838="",G838="",J838=""),"缺少必填项",IF(H838&gt;G838,"完成数大于订单数",IF(AND(X838="",OR(Y838="排队",Y838="生产中",Y838="阻塞",Z838&lt;&gt;"",AA838&lt;&gt;"",AB838="是")),"已有排期字段缺少机台",IF(AND(X838&lt;&gt;"",Y838="待排"),"已填机台但状态为待排",IF(AND(Y838="生产中",AB838&lt;&gt;"是"),"需确认：生产中未锁定","可导入"))))))</x:f>
      </x:c>
    </x:row>
    <x:row r="839" ht="22" customHeight="1">
      <x:c r="A839" s="186" t="str">
        <x:f>IF(B839="","",ROW()-5)</x:f>
      </x:c>
      <x:c r="B839" s="196"/>
      <x:c r="C839" s="198"/>
      <x:c r="D839" s="196"/>
      <x:c r="E839" s="188"/>
      <x:c r="F839" s="198"/>
      <x:c r="G839" s="202"/>
      <x:c r="H839" s="204"/>
      <x:c r="I839" s="206" t="str">
        <x:f>IF(G839="","",MAX(G839-H839,0))</x:f>
      </x:c>
      <x:c r="J839" s="210"/>
      <x:c r="K839" s="190"/>
      <x:c r="L839" s="208"/>
      <x:c r="M839" s="208"/>
      <x:c r="N839" s="208"/>
      <x:c r="O839" s="208"/>
      <x:c r="P839" s="190"/>
      <x:c r="Q839" s="190"/>
      <x:c r="R839" s="190"/>
      <x:c r="S839" s="190"/>
      <x:c r="T839" s="190"/>
      <x:c r="U839" s="190"/>
      <x:c r="V839" s="212"/>
      <x:c r="W839" s="212"/>
      <x:c r="X839" s="200"/>
      <x:c r="Y839" s="192"/>
      <x:c r="Z839" s="214"/>
      <x:c r="AA839" s="214"/>
      <x:c r="AB839" s="192"/>
      <x:c r="AC839" s="194"/>
      <x:c r="AD839" s="186" t="str">
        <x:f>IF(COUNTA(B839:H839)+COUNTA(J839:AC839)=0,"",IF(OR(B839="",D839="",E839="",G839="",J839=""),"缺少必填项",IF(H839&gt;G839,"完成数大于订单数",IF(AND(X839="",OR(Y839="排队",Y839="生产中",Y839="阻塞",Z839&lt;&gt;"",AA839&lt;&gt;"",AB839="是")),"已有排期字段缺少机台",IF(AND(X839&lt;&gt;"",Y839="待排"),"已填机台但状态为待排",IF(AND(Y839="生产中",AB839&lt;&gt;"是"),"需确认：生产中未锁定","可导入"))))))</x:f>
      </x:c>
    </x:row>
    <x:row r="840" ht="22" customHeight="1">
      <x:c r="A840" s="186" t="str">
        <x:f>IF(B840="","",ROW()-5)</x:f>
      </x:c>
      <x:c r="B840" s="196"/>
      <x:c r="C840" s="198"/>
      <x:c r="D840" s="196"/>
      <x:c r="E840" s="188"/>
      <x:c r="F840" s="198"/>
      <x:c r="G840" s="202"/>
      <x:c r="H840" s="204"/>
      <x:c r="I840" s="206" t="str">
        <x:f>IF(G840="","",MAX(G840-H840,0))</x:f>
      </x:c>
      <x:c r="J840" s="210"/>
      <x:c r="K840" s="190"/>
      <x:c r="L840" s="208"/>
      <x:c r="M840" s="208"/>
      <x:c r="N840" s="208"/>
      <x:c r="O840" s="208"/>
      <x:c r="P840" s="190"/>
      <x:c r="Q840" s="190"/>
      <x:c r="R840" s="190"/>
      <x:c r="S840" s="190"/>
      <x:c r="T840" s="190"/>
      <x:c r="U840" s="190"/>
      <x:c r="V840" s="212"/>
      <x:c r="W840" s="212"/>
      <x:c r="X840" s="200"/>
      <x:c r="Y840" s="192"/>
      <x:c r="Z840" s="214"/>
      <x:c r="AA840" s="214"/>
      <x:c r="AB840" s="192"/>
      <x:c r="AC840" s="194"/>
      <x:c r="AD840" s="186" t="str">
        <x:f>IF(COUNTA(B840:H840)+COUNTA(J840:AC840)=0,"",IF(OR(B840="",D840="",E840="",G840="",J840=""),"缺少必填项",IF(H840&gt;G840,"完成数大于订单数",IF(AND(X840="",OR(Y840="排队",Y840="生产中",Y840="阻塞",Z840&lt;&gt;"",AA840&lt;&gt;"",AB840="是")),"已有排期字段缺少机台",IF(AND(X840&lt;&gt;"",Y840="待排"),"已填机台但状态为待排",IF(AND(Y840="生产中",AB840&lt;&gt;"是"),"需确认：生产中未锁定","可导入"))))))</x:f>
      </x:c>
    </x:row>
    <x:row r="841" ht="22" customHeight="1">
      <x:c r="A841" s="186" t="str">
        <x:f>IF(B841="","",ROW()-5)</x:f>
      </x:c>
      <x:c r="B841" s="196"/>
      <x:c r="C841" s="198"/>
      <x:c r="D841" s="196"/>
      <x:c r="E841" s="188"/>
      <x:c r="F841" s="198"/>
      <x:c r="G841" s="202"/>
      <x:c r="H841" s="204"/>
      <x:c r="I841" s="206" t="str">
        <x:f>IF(G841="","",MAX(G841-H841,0))</x:f>
      </x:c>
      <x:c r="J841" s="210"/>
      <x:c r="K841" s="190"/>
      <x:c r="L841" s="208"/>
      <x:c r="M841" s="208"/>
      <x:c r="N841" s="208"/>
      <x:c r="O841" s="208"/>
      <x:c r="P841" s="190"/>
      <x:c r="Q841" s="190"/>
      <x:c r="R841" s="190"/>
      <x:c r="S841" s="190"/>
      <x:c r="T841" s="190"/>
      <x:c r="U841" s="190"/>
      <x:c r="V841" s="212"/>
      <x:c r="W841" s="212"/>
      <x:c r="X841" s="200"/>
      <x:c r="Y841" s="192"/>
      <x:c r="Z841" s="214"/>
      <x:c r="AA841" s="214"/>
      <x:c r="AB841" s="192"/>
      <x:c r="AC841" s="194"/>
      <x:c r="AD841" s="186" t="str">
        <x:f>IF(COUNTA(B841:H841)+COUNTA(J841:AC841)=0,"",IF(OR(B841="",D841="",E841="",G841="",J841=""),"缺少必填项",IF(H841&gt;G841,"完成数大于订单数",IF(AND(X841="",OR(Y841="排队",Y841="生产中",Y841="阻塞",Z841&lt;&gt;"",AA841&lt;&gt;"",AB841="是")),"已有排期字段缺少机台",IF(AND(X841&lt;&gt;"",Y841="待排"),"已填机台但状态为待排",IF(AND(Y841="生产中",AB841&lt;&gt;"是"),"需确认：生产中未锁定","可导入"))))))</x:f>
      </x:c>
    </x:row>
    <x:row r="842" ht="22" customHeight="1">
      <x:c r="A842" s="186" t="str">
        <x:f>IF(B842="","",ROW()-5)</x:f>
      </x:c>
      <x:c r="B842" s="196"/>
      <x:c r="C842" s="198"/>
      <x:c r="D842" s="196"/>
      <x:c r="E842" s="188"/>
      <x:c r="F842" s="198"/>
      <x:c r="G842" s="202"/>
      <x:c r="H842" s="204"/>
      <x:c r="I842" s="206" t="str">
        <x:f>IF(G842="","",MAX(G842-H842,0))</x:f>
      </x:c>
      <x:c r="J842" s="210"/>
      <x:c r="K842" s="190"/>
      <x:c r="L842" s="208"/>
      <x:c r="M842" s="208"/>
      <x:c r="N842" s="208"/>
      <x:c r="O842" s="208"/>
      <x:c r="P842" s="190"/>
      <x:c r="Q842" s="190"/>
      <x:c r="R842" s="190"/>
      <x:c r="S842" s="190"/>
      <x:c r="T842" s="190"/>
      <x:c r="U842" s="190"/>
      <x:c r="V842" s="212"/>
      <x:c r="W842" s="212"/>
      <x:c r="X842" s="200"/>
      <x:c r="Y842" s="192"/>
      <x:c r="Z842" s="214"/>
      <x:c r="AA842" s="214"/>
      <x:c r="AB842" s="192"/>
      <x:c r="AC842" s="194"/>
      <x:c r="AD842" s="186" t="str">
        <x:f>IF(COUNTA(B842:H842)+COUNTA(J842:AC842)=0,"",IF(OR(B842="",D842="",E842="",G842="",J842=""),"缺少必填项",IF(H842&gt;G842,"完成数大于订单数",IF(AND(X842="",OR(Y842="排队",Y842="生产中",Y842="阻塞",Z842&lt;&gt;"",AA842&lt;&gt;"",AB842="是")),"已有排期字段缺少机台",IF(AND(X842&lt;&gt;"",Y842="待排"),"已填机台但状态为待排",IF(AND(Y842="生产中",AB842&lt;&gt;"是"),"需确认：生产中未锁定","可导入"))))))</x:f>
      </x:c>
    </x:row>
    <x:row r="843" ht="22" customHeight="1">
      <x:c r="A843" s="186" t="str">
        <x:f>IF(B843="","",ROW()-5)</x:f>
      </x:c>
      <x:c r="B843" s="196"/>
      <x:c r="C843" s="198"/>
      <x:c r="D843" s="196"/>
      <x:c r="E843" s="188"/>
      <x:c r="F843" s="198"/>
      <x:c r="G843" s="202"/>
      <x:c r="H843" s="204"/>
      <x:c r="I843" s="206" t="str">
        <x:f>IF(G843="","",MAX(G843-H843,0))</x:f>
      </x:c>
      <x:c r="J843" s="210"/>
      <x:c r="K843" s="190"/>
      <x:c r="L843" s="208"/>
      <x:c r="M843" s="208"/>
      <x:c r="N843" s="208"/>
      <x:c r="O843" s="208"/>
      <x:c r="P843" s="190"/>
      <x:c r="Q843" s="190"/>
      <x:c r="R843" s="190"/>
      <x:c r="S843" s="190"/>
      <x:c r="T843" s="190"/>
      <x:c r="U843" s="190"/>
      <x:c r="V843" s="212"/>
      <x:c r="W843" s="212"/>
      <x:c r="X843" s="200"/>
      <x:c r="Y843" s="192"/>
      <x:c r="Z843" s="214"/>
      <x:c r="AA843" s="214"/>
      <x:c r="AB843" s="192"/>
      <x:c r="AC843" s="194"/>
      <x:c r="AD843" s="186" t="str">
        <x:f>IF(COUNTA(B843:H843)+COUNTA(J843:AC843)=0,"",IF(OR(B843="",D843="",E843="",G843="",J843=""),"缺少必填项",IF(H843&gt;G843,"完成数大于订单数",IF(AND(X843="",OR(Y843="排队",Y843="生产中",Y843="阻塞",Z843&lt;&gt;"",AA843&lt;&gt;"",AB843="是")),"已有排期字段缺少机台",IF(AND(X843&lt;&gt;"",Y843="待排"),"已填机台但状态为待排",IF(AND(Y843="生产中",AB843&lt;&gt;"是"),"需确认：生产中未锁定","可导入"))))))</x:f>
      </x:c>
    </x:row>
    <x:row r="844" ht="22" customHeight="1">
      <x:c r="A844" s="186" t="str">
        <x:f>IF(B844="","",ROW()-5)</x:f>
      </x:c>
      <x:c r="B844" s="196"/>
      <x:c r="C844" s="198"/>
      <x:c r="D844" s="196"/>
      <x:c r="E844" s="188"/>
      <x:c r="F844" s="198"/>
      <x:c r="G844" s="202"/>
      <x:c r="H844" s="204"/>
      <x:c r="I844" s="206" t="str">
        <x:f>IF(G844="","",MAX(G844-H844,0))</x:f>
      </x:c>
      <x:c r="J844" s="210"/>
      <x:c r="K844" s="190"/>
      <x:c r="L844" s="208"/>
      <x:c r="M844" s="208"/>
      <x:c r="N844" s="208"/>
      <x:c r="O844" s="208"/>
      <x:c r="P844" s="190"/>
      <x:c r="Q844" s="190"/>
      <x:c r="R844" s="190"/>
      <x:c r="S844" s="190"/>
      <x:c r="T844" s="190"/>
      <x:c r="U844" s="190"/>
      <x:c r="V844" s="212"/>
      <x:c r="W844" s="212"/>
      <x:c r="X844" s="200"/>
      <x:c r="Y844" s="192"/>
      <x:c r="Z844" s="214"/>
      <x:c r="AA844" s="214"/>
      <x:c r="AB844" s="192"/>
      <x:c r="AC844" s="194"/>
      <x:c r="AD844" s="186" t="str">
        <x:f>IF(COUNTA(B844:H844)+COUNTA(J844:AC844)=0,"",IF(OR(B844="",D844="",E844="",G844="",J844=""),"缺少必填项",IF(H844&gt;G844,"完成数大于订单数",IF(AND(X844="",OR(Y844="排队",Y844="生产中",Y844="阻塞",Z844&lt;&gt;"",AA844&lt;&gt;"",AB844="是")),"已有排期字段缺少机台",IF(AND(X844&lt;&gt;"",Y844="待排"),"已填机台但状态为待排",IF(AND(Y844="生产中",AB844&lt;&gt;"是"),"需确认：生产中未锁定","可导入"))))))</x:f>
      </x:c>
    </x:row>
    <x:row r="845" ht="22" customHeight="1">
      <x:c r="A845" s="186" t="str">
        <x:f>IF(B845="","",ROW()-5)</x:f>
      </x:c>
      <x:c r="B845" s="196"/>
      <x:c r="C845" s="198"/>
      <x:c r="D845" s="196"/>
      <x:c r="E845" s="188"/>
      <x:c r="F845" s="198"/>
      <x:c r="G845" s="202"/>
      <x:c r="H845" s="204"/>
      <x:c r="I845" s="206" t="str">
        <x:f>IF(G845="","",MAX(G845-H845,0))</x:f>
      </x:c>
      <x:c r="J845" s="210"/>
      <x:c r="K845" s="190"/>
      <x:c r="L845" s="208"/>
      <x:c r="M845" s="208"/>
      <x:c r="N845" s="208"/>
      <x:c r="O845" s="208"/>
      <x:c r="P845" s="190"/>
      <x:c r="Q845" s="190"/>
      <x:c r="R845" s="190"/>
      <x:c r="S845" s="190"/>
      <x:c r="T845" s="190"/>
      <x:c r="U845" s="190"/>
      <x:c r="V845" s="212"/>
      <x:c r="W845" s="212"/>
      <x:c r="X845" s="200"/>
      <x:c r="Y845" s="192"/>
      <x:c r="Z845" s="214"/>
      <x:c r="AA845" s="214"/>
      <x:c r="AB845" s="192"/>
      <x:c r="AC845" s="194"/>
      <x:c r="AD845" s="186" t="str">
        <x:f>IF(COUNTA(B845:H845)+COUNTA(J845:AC845)=0,"",IF(OR(B845="",D845="",E845="",G845="",J845=""),"缺少必填项",IF(H845&gt;G845,"完成数大于订单数",IF(AND(X845="",OR(Y845="排队",Y845="生产中",Y845="阻塞",Z845&lt;&gt;"",AA845&lt;&gt;"",AB845="是")),"已有排期字段缺少机台",IF(AND(X845&lt;&gt;"",Y845="待排"),"已填机台但状态为待排",IF(AND(Y845="生产中",AB845&lt;&gt;"是"),"需确认：生产中未锁定","可导入"))))))</x:f>
      </x:c>
    </x:row>
    <x:row r="846" ht="22" customHeight="1">
      <x:c r="A846" s="186" t="str">
        <x:f>IF(B846="","",ROW()-5)</x:f>
      </x:c>
      <x:c r="B846" s="196"/>
      <x:c r="C846" s="198"/>
      <x:c r="D846" s="196"/>
      <x:c r="E846" s="188"/>
      <x:c r="F846" s="198"/>
      <x:c r="G846" s="202"/>
      <x:c r="H846" s="204"/>
      <x:c r="I846" s="206" t="str">
        <x:f>IF(G846="","",MAX(G846-H846,0))</x:f>
      </x:c>
      <x:c r="J846" s="210"/>
      <x:c r="K846" s="190"/>
      <x:c r="L846" s="208"/>
      <x:c r="M846" s="208"/>
      <x:c r="N846" s="208"/>
      <x:c r="O846" s="208"/>
      <x:c r="P846" s="190"/>
      <x:c r="Q846" s="190"/>
      <x:c r="R846" s="190"/>
      <x:c r="S846" s="190"/>
      <x:c r="T846" s="190"/>
      <x:c r="U846" s="190"/>
      <x:c r="V846" s="212"/>
      <x:c r="W846" s="212"/>
      <x:c r="X846" s="200"/>
      <x:c r="Y846" s="192"/>
      <x:c r="Z846" s="214"/>
      <x:c r="AA846" s="214"/>
      <x:c r="AB846" s="192"/>
      <x:c r="AC846" s="194"/>
      <x:c r="AD846" s="186" t="str">
        <x:f>IF(COUNTA(B846:H846)+COUNTA(J846:AC846)=0,"",IF(OR(B846="",D846="",E846="",G846="",J846=""),"缺少必填项",IF(H846&gt;G846,"完成数大于订单数",IF(AND(X846="",OR(Y846="排队",Y846="生产中",Y846="阻塞",Z846&lt;&gt;"",AA846&lt;&gt;"",AB846="是")),"已有排期字段缺少机台",IF(AND(X846&lt;&gt;"",Y846="待排"),"已填机台但状态为待排",IF(AND(Y846="生产中",AB846&lt;&gt;"是"),"需确认：生产中未锁定","可导入"))))))</x:f>
      </x:c>
    </x:row>
    <x:row r="847" ht="22" customHeight="1">
      <x:c r="A847" s="186" t="str">
        <x:f>IF(B847="","",ROW()-5)</x:f>
      </x:c>
      <x:c r="B847" s="196"/>
      <x:c r="C847" s="198"/>
      <x:c r="D847" s="196"/>
      <x:c r="E847" s="188"/>
      <x:c r="F847" s="198"/>
      <x:c r="G847" s="202"/>
      <x:c r="H847" s="204"/>
      <x:c r="I847" s="206" t="str">
        <x:f>IF(G847="","",MAX(G847-H847,0))</x:f>
      </x:c>
      <x:c r="J847" s="210"/>
      <x:c r="K847" s="190"/>
      <x:c r="L847" s="208"/>
      <x:c r="M847" s="208"/>
      <x:c r="N847" s="208"/>
      <x:c r="O847" s="208"/>
      <x:c r="P847" s="190"/>
      <x:c r="Q847" s="190"/>
      <x:c r="R847" s="190"/>
      <x:c r="S847" s="190"/>
      <x:c r="T847" s="190"/>
      <x:c r="U847" s="190"/>
      <x:c r="V847" s="212"/>
      <x:c r="W847" s="212"/>
      <x:c r="X847" s="200"/>
      <x:c r="Y847" s="192"/>
      <x:c r="Z847" s="214"/>
      <x:c r="AA847" s="214"/>
      <x:c r="AB847" s="192"/>
      <x:c r="AC847" s="194"/>
      <x:c r="AD847" s="186" t="str">
        <x:f>IF(COUNTA(B847:H847)+COUNTA(J847:AC847)=0,"",IF(OR(B847="",D847="",E847="",G847="",J847=""),"缺少必填项",IF(H847&gt;G847,"完成数大于订单数",IF(AND(X847="",OR(Y847="排队",Y847="生产中",Y847="阻塞",Z847&lt;&gt;"",AA847&lt;&gt;"",AB847="是")),"已有排期字段缺少机台",IF(AND(X847&lt;&gt;"",Y847="待排"),"已填机台但状态为待排",IF(AND(Y847="生产中",AB847&lt;&gt;"是"),"需确认：生产中未锁定","可导入"))))))</x:f>
      </x:c>
    </x:row>
    <x:row r="848" ht="22" customHeight="1">
      <x:c r="A848" s="186" t="str">
        <x:f>IF(B848="","",ROW()-5)</x:f>
      </x:c>
      <x:c r="B848" s="196"/>
      <x:c r="C848" s="198"/>
      <x:c r="D848" s="196"/>
      <x:c r="E848" s="188"/>
      <x:c r="F848" s="198"/>
      <x:c r="G848" s="202"/>
      <x:c r="H848" s="204"/>
      <x:c r="I848" s="206" t="str">
        <x:f>IF(G848="","",MAX(G848-H848,0))</x:f>
      </x:c>
      <x:c r="J848" s="210"/>
      <x:c r="K848" s="190"/>
      <x:c r="L848" s="208"/>
      <x:c r="M848" s="208"/>
      <x:c r="N848" s="208"/>
      <x:c r="O848" s="208"/>
      <x:c r="P848" s="190"/>
      <x:c r="Q848" s="190"/>
      <x:c r="R848" s="190"/>
      <x:c r="S848" s="190"/>
      <x:c r="T848" s="190"/>
      <x:c r="U848" s="190"/>
      <x:c r="V848" s="212"/>
      <x:c r="W848" s="212"/>
      <x:c r="X848" s="200"/>
      <x:c r="Y848" s="192"/>
      <x:c r="Z848" s="214"/>
      <x:c r="AA848" s="214"/>
      <x:c r="AB848" s="192"/>
      <x:c r="AC848" s="194"/>
      <x:c r="AD848" s="186" t="str">
        <x:f>IF(COUNTA(B848:H848)+COUNTA(J848:AC848)=0,"",IF(OR(B848="",D848="",E848="",G848="",J848=""),"缺少必填项",IF(H848&gt;G848,"完成数大于订单数",IF(AND(X848="",OR(Y848="排队",Y848="生产中",Y848="阻塞",Z848&lt;&gt;"",AA848&lt;&gt;"",AB848="是")),"已有排期字段缺少机台",IF(AND(X848&lt;&gt;"",Y848="待排"),"已填机台但状态为待排",IF(AND(Y848="生产中",AB848&lt;&gt;"是"),"需确认：生产中未锁定","可导入"))))))</x:f>
      </x:c>
    </x:row>
    <x:row r="849" ht="22" customHeight="1">
      <x:c r="A849" s="186" t="str">
        <x:f>IF(B849="","",ROW()-5)</x:f>
      </x:c>
      <x:c r="B849" s="196"/>
      <x:c r="C849" s="198"/>
      <x:c r="D849" s="196"/>
      <x:c r="E849" s="188"/>
      <x:c r="F849" s="198"/>
      <x:c r="G849" s="202"/>
      <x:c r="H849" s="204"/>
      <x:c r="I849" s="206" t="str">
        <x:f>IF(G849="","",MAX(G849-H849,0))</x:f>
      </x:c>
      <x:c r="J849" s="210"/>
      <x:c r="K849" s="190"/>
      <x:c r="L849" s="208"/>
      <x:c r="M849" s="208"/>
      <x:c r="N849" s="208"/>
      <x:c r="O849" s="208"/>
      <x:c r="P849" s="190"/>
      <x:c r="Q849" s="190"/>
      <x:c r="R849" s="190"/>
      <x:c r="S849" s="190"/>
      <x:c r="T849" s="190"/>
      <x:c r="U849" s="190"/>
      <x:c r="V849" s="212"/>
      <x:c r="W849" s="212"/>
      <x:c r="X849" s="200"/>
      <x:c r="Y849" s="192"/>
      <x:c r="Z849" s="214"/>
      <x:c r="AA849" s="214"/>
      <x:c r="AB849" s="192"/>
      <x:c r="AC849" s="194"/>
      <x:c r="AD849" s="186" t="str">
        <x:f>IF(COUNTA(B849:H849)+COUNTA(J849:AC849)=0,"",IF(OR(B849="",D849="",E849="",G849="",J849=""),"缺少必填项",IF(H849&gt;G849,"完成数大于订单数",IF(AND(X849="",OR(Y849="排队",Y849="生产中",Y849="阻塞",Z849&lt;&gt;"",AA849&lt;&gt;"",AB849="是")),"已有排期字段缺少机台",IF(AND(X849&lt;&gt;"",Y849="待排"),"已填机台但状态为待排",IF(AND(Y849="生产中",AB849&lt;&gt;"是"),"需确认：生产中未锁定","可导入"))))))</x:f>
      </x:c>
    </x:row>
    <x:row r="850" ht="22" customHeight="1">
      <x:c r="A850" s="186" t="str">
        <x:f>IF(B850="","",ROW()-5)</x:f>
      </x:c>
      <x:c r="B850" s="196"/>
      <x:c r="C850" s="198"/>
      <x:c r="D850" s="196"/>
      <x:c r="E850" s="188"/>
      <x:c r="F850" s="198"/>
      <x:c r="G850" s="202"/>
      <x:c r="H850" s="204"/>
      <x:c r="I850" s="206" t="str">
        <x:f>IF(G850="","",MAX(G850-H850,0))</x:f>
      </x:c>
      <x:c r="J850" s="210"/>
      <x:c r="K850" s="190"/>
      <x:c r="L850" s="208"/>
      <x:c r="M850" s="208"/>
      <x:c r="N850" s="208"/>
      <x:c r="O850" s="208"/>
      <x:c r="P850" s="190"/>
      <x:c r="Q850" s="190"/>
      <x:c r="R850" s="190"/>
      <x:c r="S850" s="190"/>
      <x:c r="T850" s="190"/>
      <x:c r="U850" s="190"/>
      <x:c r="V850" s="212"/>
      <x:c r="W850" s="212"/>
      <x:c r="X850" s="200"/>
      <x:c r="Y850" s="192"/>
      <x:c r="Z850" s="214"/>
      <x:c r="AA850" s="214"/>
      <x:c r="AB850" s="192"/>
      <x:c r="AC850" s="194"/>
      <x:c r="AD850" s="186" t="str">
        <x:f>IF(COUNTA(B850:H850)+COUNTA(J850:AC850)=0,"",IF(OR(B850="",D850="",E850="",G850="",J850=""),"缺少必填项",IF(H850&gt;G850,"完成数大于订单数",IF(AND(X850="",OR(Y850="排队",Y850="生产中",Y850="阻塞",Z850&lt;&gt;"",AA850&lt;&gt;"",AB850="是")),"已有排期字段缺少机台",IF(AND(X850&lt;&gt;"",Y850="待排"),"已填机台但状态为待排",IF(AND(Y850="生产中",AB850&lt;&gt;"是"),"需确认：生产中未锁定","可导入"))))))</x:f>
      </x:c>
    </x:row>
    <x:row r="851" ht="22" customHeight="1">
      <x:c r="A851" s="186" t="str">
        <x:f>IF(B851="","",ROW()-5)</x:f>
      </x:c>
      <x:c r="B851" s="196"/>
      <x:c r="C851" s="198"/>
      <x:c r="D851" s="196"/>
      <x:c r="E851" s="188"/>
      <x:c r="F851" s="198"/>
      <x:c r="G851" s="202"/>
      <x:c r="H851" s="204"/>
      <x:c r="I851" s="206" t="str">
        <x:f>IF(G851="","",MAX(G851-H851,0))</x:f>
      </x:c>
      <x:c r="J851" s="210"/>
      <x:c r="K851" s="190"/>
      <x:c r="L851" s="208"/>
      <x:c r="M851" s="208"/>
      <x:c r="N851" s="208"/>
      <x:c r="O851" s="208"/>
      <x:c r="P851" s="190"/>
      <x:c r="Q851" s="190"/>
      <x:c r="R851" s="190"/>
      <x:c r="S851" s="190"/>
      <x:c r="T851" s="190"/>
      <x:c r="U851" s="190"/>
      <x:c r="V851" s="212"/>
      <x:c r="W851" s="212"/>
      <x:c r="X851" s="200"/>
      <x:c r="Y851" s="192"/>
      <x:c r="Z851" s="214"/>
      <x:c r="AA851" s="214"/>
      <x:c r="AB851" s="192"/>
      <x:c r="AC851" s="194"/>
      <x:c r="AD851" s="186" t="str">
        <x:f>IF(COUNTA(B851:H851)+COUNTA(J851:AC851)=0,"",IF(OR(B851="",D851="",E851="",G851="",J851=""),"缺少必填项",IF(H851&gt;G851,"完成数大于订单数",IF(AND(X851="",OR(Y851="排队",Y851="生产中",Y851="阻塞",Z851&lt;&gt;"",AA851&lt;&gt;"",AB851="是")),"已有排期字段缺少机台",IF(AND(X851&lt;&gt;"",Y851="待排"),"已填机台但状态为待排",IF(AND(Y851="生产中",AB851&lt;&gt;"是"),"需确认：生产中未锁定","可导入"))))))</x:f>
      </x:c>
    </x:row>
    <x:row r="852" ht="22" customHeight="1">
      <x:c r="A852" s="186" t="str">
        <x:f>IF(B852="","",ROW()-5)</x:f>
      </x:c>
      <x:c r="B852" s="196"/>
      <x:c r="C852" s="198"/>
      <x:c r="D852" s="196"/>
      <x:c r="E852" s="188"/>
      <x:c r="F852" s="198"/>
      <x:c r="G852" s="202"/>
      <x:c r="H852" s="204"/>
      <x:c r="I852" s="206" t="str">
        <x:f>IF(G852="","",MAX(G852-H852,0))</x:f>
      </x:c>
      <x:c r="J852" s="210"/>
      <x:c r="K852" s="190"/>
      <x:c r="L852" s="208"/>
      <x:c r="M852" s="208"/>
      <x:c r="N852" s="208"/>
      <x:c r="O852" s="208"/>
      <x:c r="P852" s="190"/>
      <x:c r="Q852" s="190"/>
      <x:c r="R852" s="190"/>
      <x:c r="S852" s="190"/>
      <x:c r="T852" s="190"/>
      <x:c r="U852" s="190"/>
      <x:c r="V852" s="212"/>
      <x:c r="W852" s="212"/>
      <x:c r="X852" s="200"/>
      <x:c r="Y852" s="192"/>
      <x:c r="Z852" s="214"/>
      <x:c r="AA852" s="214"/>
      <x:c r="AB852" s="192"/>
      <x:c r="AC852" s="194"/>
      <x:c r="AD852" s="186" t="str">
        <x:f>IF(COUNTA(B852:H852)+COUNTA(J852:AC852)=0,"",IF(OR(B852="",D852="",E852="",G852="",J852=""),"缺少必填项",IF(H852&gt;G852,"完成数大于订单数",IF(AND(X852="",OR(Y852="排队",Y852="生产中",Y852="阻塞",Z852&lt;&gt;"",AA852&lt;&gt;"",AB852="是")),"已有排期字段缺少机台",IF(AND(X852&lt;&gt;"",Y852="待排"),"已填机台但状态为待排",IF(AND(Y852="生产中",AB852&lt;&gt;"是"),"需确认：生产中未锁定","可导入"))))))</x:f>
      </x:c>
    </x:row>
    <x:row r="853" ht="22" customHeight="1">
      <x:c r="A853" s="186" t="str">
        <x:f>IF(B853="","",ROW()-5)</x:f>
      </x:c>
      <x:c r="B853" s="196"/>
      <x:c r="C853" s="198"/>
      <x:c r="D853" s="196"/>
      <x:c r="E853" s="188"/>
      <x:c r="F853" s="198"/>
      <x:c r="G853" s="202"/>
      <x:c r="H853" s="204"/>
      <x:c r="I853" s="206" t="str">
        <x:f>IF(G853="","",MAX(G853-H853,0))</x:f>
      </x:c>
      <x:c r="J853" s="210"/>
      <x:c r="K853" s="190"/>
      <x:c r="L853" s="208"/>
      <x:c r="M853" s="208"/>
      <x:c r="N853" s="208"/>
      <x:c r="O853" s="208"/>
      <x:c r="P853" s="190"/>
      <x:c r="Q853" s="190"/>
      <x:c r="R853" s="190"/>
      <x:c r="S853" s="190"/>
      <x:c r="T853" s="190"/>
      <x:c r="U853" s="190"/>
      <x:c r="V853" s="212"/>
      <x:c r="W853" s="212"/>
      <x:c r="X853" s="200"/>
      <x:c r="Y853" s="192"/>
      <x:c r="Z853" s="214"/>
      <x:c r="AA853" s="214"/>
      <x:c r="AB853" s="192"/>
      <x:c r="AC853" s="194"/>
      <x:c r="AD853" s="186" t="str">
        <x:f>IF(COUNTA(B853:H853)+COUNTA(J853:AC853)=0,"",IF(OR(B853="",D853="",E853="",G853="",J853=""),"缺少必填项",IF(H853&gt;G853,"完成数大于订单数",IF(AND(X853="",OR(Y853="排队",Y853="生产中",Y853="阻塞",Z853&lt;&gt;"",AA853&lt;&gt;"",AB853="是")),"已有排期字段缺少机台",IF(AND(X853&lt;&gt;"",Y853="待排"),"已填机台但状态为待排",IF(AND(Y853="生产中",AB853&lt;&gt;"是"),"需确认：生产中未锁定","可导入"))))))</x:f>
      </x:c>
    </x:row>
    <x:row r="854" ht="22" customHeight="1">
      <x:c r="A854" s="186" t="str">
        <x:f>IF(B854="","",ROW()-5)</x:f>
      </x:c>
      <x:c r="B854" s="196"/>
      <x:c r="C854" s="198"/>
      <x:c r="D854" s="196"/>
      <x:c r="E854" s="188"/>
      <x:c r="F854" s="198"/>
      <x:c r="G854" s="202"/>
      <x:c r="H854" s="204"/>
      <x:c r="I854" s="206" t="str">
        <x:f>IF(G854="","",MAX(G854-H854,0))</x:f>
      </x:c>
      <x:c r="J854" s="210"/>
      <x:c r="K854" s="190"/>
      <x:c r="L854" s="208"/>
      <x:c r="M854" s="208"/>
      <x:c r="N854" s="208"/>
      <x:c r="O854" s="208"/>
      <x:c r="P854" s="190"/>
      <x:c r="Q854" s="190"/>
      <x:c r="R854" s="190"/>
      <x:c r="S854" s="190"/>
      <x:c r="T854" s="190"/>
      <x:c r="U854" s="190"/>
      <x:c r="V854" s="212"/>
      <x:c r="W854" s="212"/>
      <x:c r="X854" s="200"/>
      <x:c r="Y854" s="192"/>
      <x:c r="Z854" s="214"/>
      <x:c r="AA854" s="214"/>
      <x:c r="AB854" s="192"/>
      <x:c r="AC854" s="194"/>
      <x:c r="AD854" s="186" t="str">
        <x:f>IF(COUNTA(B854:H854)+COUNTA(J854:AC854)=0,"",IF(OR(B854="",D854="",E854="",G854="",J854=""),"缺少必填项",IF(H854&gt;G854,"完成数大于订单数",IF(AND(X854="",OR(Y854="排队",Y854="生产中",Y854="阻塞",Z854&lt;&gt;"",AA854&lt;&gt;"",AB854="是")),"已有排期字段缺少机台",IF(AND(X854&lt;&gt;"",Y854="待排"),"已填机台但状态为待排",IF(AND(Y854="生产中",AB854&lt;&gt;"是"),"需确认：生产中未锁定","可导入"))))))</x:f>
      </x:c>
    </x:row>
    <x:row r="855" ht="22" customHeight="1">
      <x:c r="A855" s="186" t="str">
        <x:f>IF(B855="","",ROW()-5)</x:f>
      </x:c>
      <x:c r="B855" s="196"/>
      <x:c r="C855" s="198"/>
      <x:c r="D855" s="196"/>
      <x:c r="E855" s="188"/>
      <x:c r="F855" s="198"/>
      <x:c r="G855" s="202"/>
      <x:c r="H855" s="204"/>
      <x:c r="I855" s="206" t="str">
        <x:f>IF(G855="","",MAX(G855-H855,0))</x:f>
      </x:c>
      <x:c r="J855" s="210"/>
      <x:c r="K855" s="190"/>
      <x:c r="L855" s="208"/>
      <x:c r="M855" s="208"/>
      <x:c r="N855" s="208"/>
      <x:c r="O855" s="208"/>
      <x:c r="P855" s="190"/>
      <x:c r="Q855" s="190"/>
      <x:c r="R855" s="190"/>
      <x:c r="S855" s="190"/>
      <x:c r="T855" s="190"/>
      <x:c r="U855" s="190"/>
      <x:c r="V855" s="212"/>
      <x:c r="W855" s="212"/>
      <x:c r="X855" s="200"/>
      <x:c r="Y855" s="192"/>
      <x:c r="Z855" s="214"/>
      <x:c r="AA855" s="214"/>
      <x:c r="AB855" s="192"/>
      <x:c r="AC855" s="194"/>
      <x:c r="AD855" s="186" t="str">
        <x:f>IF(COUNTA(B855:H855)+COUNTA(J855:AC855)=0,"",IF(OR(B855="",D855="",E855="",G855="",J855=""),"缺少必填项",IF(H855&gt;G855,"完成数大于订单数",IF(AND(X855="",OR(Y855="排队",Y855="生产中",Y855="阻塞",Z855&lt;&gt;"",AA855&lt;&gt;"",AB855="是")),"已有排期字段缺少机台",IF(AND(X855&lt;&gt;"",Y855="待排"),"已填机台但状态为待排",IF(AND(Y855="生产中",AB855&lt;&gt;"是"),"需确认：生产中未锁定","可导入"))))))</x:f>
      </x:c>
    </x:row>
    <x:row r="856" ht="22" customHeight="1">
      <x:c r="A856" s="186" t="str">
        <x:f>IF(B856="","",ROW()-5)</x:f>
      </x:c>
      <x:c r="B856" s="196"/>
      <x:c r="C856" s="198"/>
      <x:c r="D856" s="196"/>
      <x:c r="E856" s="188"/>
      <x:c r="F856" s="198"/>
      <x:c r="G856" s="202"/>
      <x:c r="H856" s="204"/>
      <x:c r="I856" s="206" t="str">
        <x:f>IF(G856="","",MAX(G856-H856,0))</x:f>
      </x:c>
      <x:c r="J856" s="210"/>
      <x:c r="K856" s="190"/>
      <x:c r="L856" s="208"/>
      <x:c r="M856" s="208"/>
      <x:c r="N856" s="208"/>
      <x:c r="O856" s="208"/>
      <x:c r="P856" s="190"/>
      <x:c r="Q856" s="190"/>
      <x:c r="R856" s="190"/>
      <x:c r="S856" s="190"/>
      <x:c r="T856" s="190"/>
      <x:c r="U856" s="190"/>
      <x:c r="V856" s="212"/>
      <x:c r="W856" s="212"/>
      <x:c r="X856" s="200"/>
      <x:c r="Y856" s="192"/>
      <x:c r="Z856" s="214"/>
      <x:c r="AA856" s="214"/>
      <x:c r="AB856" s="192"/>
      <x:c r="AC856" s="194"/>
      <x:c r="AD856" s="186" t="str">
        <x:f>IF(COUNTA(B856:H856)+COUNTA(J856:AC856)=0,"",IF(OR(B856="",D856="",E856="",G856="",J856=""),"缺少必填项",IF(H856&gt;G856,"完成数大于订单数",IF(AND(X856="",OR(Y856="排队",Y856="生产中",Y856="阻塞",Z856&lt;&gt;"",AA856&lt;&gt;"",AB856="是")),"已有排期字段缺少机台",IF(AND(X856&lt;&gt;"",Y856="待排"),"已填机台但状态为待排",IF(AND(Y856="生产中",AB856&lt;&gt;"是"),"需确认：生产中未锁定","可导入"))))))</x:f>
      </x:c>
    </x:row>
    <x:row r="857" ht="22" customHeight="1">
      <x:c r="A857" s="186" t="str">
        <x:f>IF(B857="","",ROW()-5)</x:f>
      </x:c>
      <x:c r="B857" s="196"/>
      <x:c r="C857" s="198"/>
      <x:c r="D857" s="196"/>
      <x:c r="E857" s="188"/>
      <x:c r="F857" s="198"/>
      <x:c r="G857" s="202"/>
      <x:c r="H857" s="204"/>
      <x:c r="I857" s="206" t="str">
        <x:f>IF(G857="","",MAX(G857-H857,0))</x:f>
      </x:c>
      <x:c r="J857" s="210"/>
      <x:c r="K857" s="190"/>
      <x:c r="L857" s="208"/>
      <x:c r="M857" s="208"/>
      <x:c r="N857" s="208"/>
      <x:c r="O857" s="208"/>
      <x:c r="P857" s="190"/>
      <x:c r="Q857" s="190"/>
      <x:c r="R857" s="190"/>
      <x:c r="S857" s="190"/>
      <x:c r="T857" s="190"/>
      <x:c r="U857" s="190"/>
      <x:c r="V857" s="212"/>
      <x:c r="W857" s="212"/>
      <x:c r="X857" s="200"/>
      <x:c r="Y857" s="192"/>
      <x:c r="Z857" s="214"/>
      <x:c r="AA857" s="214"/>
      <x:c r="AB857" s="192"/>
      <x:c r="AC857" s="194"/>
      <x:c r="AD857" s="186" t="str">
        <x:f>IF(COUNTA(B857:H857)+COUNTA(J857:AC857)=0,"",IF(OR(B857="",D857="",E857="",G857="",J857=""),"缺少必填项",IF(H857&gt;G857,"完成数大于订单数",IF(AND(X857="",OR(Y857="排队",Y857="生产中",Y857="阻塞",Z857&lt;&gt;"",AA857&lt;&gt;"",AB857="是")),"已有排期字段缺少机台",IF(AND(X857&lt;&gt;"",Y857="待排"),"已填机台但状态为待排",IF(AND(Y857="生产中",AB857&lt;&gt;"是"),"需确认：生产中未锁定","可导入"))))))</x:f>
      </x:c>
    </x:row>
    <x:row r="858" ht="22" customHeight="1">
      <x:c r="A858" s="186" t="str">
        <x:f>IF(B858="","",ROW()-5)</x:f>
      </x:c>
      <x:c r="B858" s="196"/>
      <x:c r="C858" s="198"/>
      <x:c r="D858" s="196"/>
      <x:c r="E858" s="188"/>
      <x:c r="F858" s="198"/>
      <x:c r="G858" s="202"/>
      <x:c r="H858" s="204"/>
      <x:c r="I858" s="206" t="str">
        <x:f>IF(G858="","",MAX(G858-H858,0))</x:f>
      </x:c>
      <x:c r="J858" s="210"/>
      <x:c r="K858" s="190"/>
      <x:c r="L858" s="208"/>
      <x:c r="M858" s="208"/>
      <x:c r="N858" s="208"/>
      <x:c r="O858" s="208"/>
      <x:c r="P858" s="190"/>
      <x:c r="Q858" s="190"/>
      <x:c r="R858" s="190"/>
      <x:c r="S858" s="190"/>
      <x:c r="T858" s="190"/>
      <x:c r="U858" s="190"/>
      <x:c r="V858" s="212"/>
      <x:c r="W858" s="212"/>
      <x:c r="X858" s="200"/>
      <x:c r="Y858" s="192"/>
      <x:c r="Z858" s="214"/>
      <x:c r="AA858" s="214"/>
      <x:c r="AB858" s="192"/>
      <x:c r="AC858" s="194"/>
      <x:c r="AD858" s="186" t="str">
        <x:f>IF(COUNTA(B858:H858)+COUNTA(J858:AC858)=0,"",IF(OR(B858="",D858="",E858="",G858="",J858=""),"缺少必填项",IF(H858&gt;G858,"完成数大于订单数",IF(AND(X858="",OR(Y858="排队",Y858="生产中",Y858="阻塞",Z858&lt;&gt;"",AA858&lt;&gt;"",AB858="是")),"已有排期字段缺少机台",IF(AND(X858&lt;&gt;"",Y858="待排"),"已填机台但状态为待排",IF(AND(Y858="生产中",AB858&lt;&gt;"是"),"需确认：生产中未锁定","可导入"))))))</x:f>
      </x:c>
    </x:row>
    <x:row r="859" ht="22" customHeight="1">
      <x:c r="A859" s="186" t="str">
        <x:f>IF(B859="","",ROW()-5)</x:f>
      </x:c>
      <x:c r="B859" s="196"/>
      <x:c r="C859" s="198"/>
      <x:c r="D859" s="196"/>
      <x:c r="E859" s="188"/>
      <x:c r="F859" s="198"/>
      <x:c r="G859" s="202"/>
      <x:c r="H859" s="204"/>
      <x:c r="I859" s="206" t="str">
        <x:f>IF(G859="","",MAX(G859-H859,0))</x:f>
      </x:c>
      <x:c r="J859" s="210"/>
      <x:c r="K859" s="190"/>
      <x:c r="L859" s="208"/>
      <x:c r="M859" s="208"/>
      <x:c r="N859" s="208"/>
      <x:c r="O859" s="208"/>
      <x:c r="P859" s="190"/>
      <x:c r="Q859" s="190"/>
      <x:c r="R859" s="190"/>
      <x:c r="S859" s="190"/>
      <x:c r="T859" s="190"/>
      <x:c r="U859" s="190"/>
      <x:c r="V859" s="212"/>
      <x:c r="W859" s="212"/>
      <x:c r="X859" s="200"/>
      <x:c r="Y859" s="192"/>
      <x:c r="Z859" s="214"/>
      <x:c r="AA859" s="214"/>
      <x:c r="AB859" s="192"/>
      <x:c r="AC859" s="194"/>
      <x:c r="AD859" s="186" t="str">
        <x:f>IF(COUNTA(B859:H859)+COUNTA(J859:AC859)=0,"",IF(OR(B859="",D859="",E859="",G859="",J859=""),"缺少必填项",IF(H859&gt;G859,"完成数大于订单数",IF(AND(X859="",OR(Y859="排队",Y859="生产中",Y859="阻塞",Z859&lt;&gt;"",AA859&lt;&gt;"",AB859="是")),"已有排期字段缺少机台",IF(AND(X859&lt;&gt;"",Y859="待排"),"已填机台但状态为待排",IF(AND(Y859="生产中",AB859&lt;&gt;"是"),"需确认：生产中未锁定","可导入"))))))</x:f>
      </x:c>
    </x:row>
    <x:row r="860" ht="22" customHeight="1">
      <x:c r="A860" s="186" t="str">
        <x:f>IF(B860="","",ROW()-5)</x:f>
      </x:c>
      <x:c r="B860" s="196"/>
      <x:c r="C860" s="198"/>
      <x:c r="D860" s="196"/>
      <x:c r="E860" s="188"/>
      <x:c r="F860" s="198"/>
      <x:c r="G860" s="202"/>
      <x:c r="H860" s="204"/>
      <x:c r="I860" s="206" t="str">
        <x:f>IF(G860="","",MAX(G860-H860,0))</x:f>
      </x:c>
      <x:c r="J860" s="210"/>
      <x:c r="K860" s="190"/>
      <x:c r="L860" s="208"/>
      <x:c r="M860" s="208"/>
      <x:c r="N860" s="208"/>
      <x:c r="O860" s="208"/>
      <x:c r="P860" s="190"/>
      <x:c r="Q860" s="190"/>
      <x:c r="R860" s="190"/>
      <x:c r="S860" s="190"/>
      <x:c r="T860" s="190"/>
      <x:c r="U860" s="190"/>
      <x:c r="V860" s="212"/>
      <x:c r="W860" s="212"/>
      <x:c r="X860" s="200"/>
      <x:c r="Y860" s="192"/>
      <x:c r="Z860" s="214"/>
      <x:c r="AA860" s="214"/>
      <x:c r="AB860" s="192"/>
      <x:c r="AC860" s="194"/>
      <x:c r="AD860" s="186" t="str">
        <x:f>IF(COUNTA(B860:H860)+COUNTA(J860:AC860)=0,"",IF(OR(B860="",D860="",E860="",G860="",J860=""),"缺少必填项",IF(H860&gt;G860,"完成数大于订单数",IF(AND(X860="",OR(Y860="排队",Y860="生产中",Y860="阻塞",Z860&lt;&gt;"",AA860&lt;&gt;"",AB860="是")),"已有排期字段缺少机台",IF(AND(X860&lt;&gt;"",Y860="待排"),"已填机台但状态为待排",IF(AND(Y860="生产中",AB860&lt;&gt;"是"),"需确认：生产中未锁定","可导入"))))))</x:f>
      </x:c>
    </x:row>
    <x:row r="861" ht="22" customHeight="1">
      <x:c r="A861" s="186" t="str">
        <x:f>IF(B861="","",ROW()-5)</x:f>
      </x:c>
      <x:c r="B861" s="196"/>
      <x:c r="C861" s="198"/>
      <x:c r="D861" s="196"/>
      <x:c r="E861" s="188"/>
      <x:c r="F861" s="198"/>
      <x:c r="G861" s="202"/>
      <x:c r="H861" s="204"/>
      <x:c r="I861" s="206" t="str">
        <x:f>IF(G861="","",MAX(G861-H861,0))</x:f>
      </x:c>
      <x:c r="J861" s="210"/>
      <x:c r="K861" s="190"/>
      <x:c r="L861" s="208"/>
      <x:c r="M861" s="208"/>
      <x:c r="N861" s="208"/>
      <x:c r="O861" s="208"/>
      <x:c r="P861" s="190"/>
      <x:c r="Q861" s="190"/>
      <x:c r="R861" s="190"/>
      <x:c r="S861" s="190"/>
      <x:c r="T861" s="190"/>
      <x:c r="U861" s="190"/>
      <x:c r="V861" s="212"/>
      <x:c r="W861" s="212"/>
      <x:c r="X861" s="200"/>
      <x:c r="Y861" s="192"/>
      <x:c r="Z861" s="214"/>
      <x:c r="AA861" s="214"/>
      <x:c r="AB861" s="192"/>
      <x:c r="AC861" s="194"/>
      <x:c r="AD861" s="186" t="str">
        <x:f>IF(COUNTA(B861:H861)+COUNTA(J861:AC861)=0,"",IF(OR(B861="",D861="",E861="",G861="",J861=""),"缺少必填项",IF(H861&gt;G861,"完成数大于订单数",IF(AND(X861="",OR(Y861="排队",Y861="生产中",Y861="阻塞",Z861&lt;&gt;"",AA861&lt;&gt;"",AB861="是")),"已有排期字段缺少机台",IF(AND(X861&lt;&gt;"",Y861="待排"),"已填机台但状态为待排",IF(AND(Y861="生产中",AB861&lt;&gt;"是"),"需确认：生产中未锁定","可导入"))))))</x:f>
      </x:c>
    </x:row>
    <x:row r="862" ht="22" customHeight="1">
      <x:c r="A862" s="186" t="str">
        <x:f>IF(B862="","",ROW()-5)</x:f>
      </x:c>
      <x:c r="B862" s="196"/>
      <x:c r="C862" s="198"/>
      <x:c r="D862" s="196"/>
      <x:c r="E862" s="188"/>
      <x:c r="F862" s="198"/>
      <x:c r="G862" s="202"/>
      <x:c r="H862" s="204"/>
      <x:c r="I862" s="206" t="str">
        <x:f>IF(G862="","",MAX(G862-H862,0))</x:f>
      </x:c>
      <x:c r="J862" s="210"/>
      <x:c r="K862" s="190"/>
      <x:c r="L862" s="208"/>
      <x:c r="M862" s="208"/>
      <x:c r="N862" s="208"/>
      <x:c r="O862" s="208"/>
      <x:c r="P862" s="190"/>
      <x:c r="Q862" s="190"/>
      <x:c r="R862" s="190"/>
      <x:c r="S862" s="190"/>
      <x:c r="T862" s="190"/>
      <x:c r="U862" s="190"/>
      <x:c r="V862" s="212"/>
      <x:c r="W862" s="212"/>
      <x:c r="X862" s="200"/>
      <x:c r="Y862" s="192"/>
      <x:c r="Z862" s="214"/>
      <x:c r="AA862" s="214"/>
      <x:c r="AB862" s="192"/>
      <x:c r="AC862" s="194"/>
      <x:c r="AD862" s="186" t="str">
        <x:f>IF(COUNTA(B862:H862)+COUNTA(J862:AC862)=0,"",IF(OR(B862="",D862="",E862="",G862="",J862=""),"缺少必填项",IF(H862&gt;G862,"完成数大于订单数",IF(AND(X862="",OR(Y862="排队",Y862="生产中",Y862="阻塞",Z862&lt;&gt;"",AA862&lt;&gt;"",AB862="是")),"已有排期字段缺少机台",IF(AND(X862&lt;&gt;"",Y862="待排"),"已填机台但状态为待排",IF(AND(Y862="生产中",AB862&lt;&gt;"是"),"需确认：生产中未锁定","可导入"))))))</x:f>
      </x:c>
    </x:row>
    <x:row r="863" ht="22" customHeight="1">
      <x:c r="A863" s="186" t="str">
        <x:f>IF(B863="","",ROW()-5)</x:f>
      </x:c>
      <x:c r="B863" s="196"/>
      <x:c r="C863" s="198"/>
      <x:c r="D863" s="196"/>
      <x:c r="E863" s="188"/>
      <x:c r="F863" s="198"/>
      <x:c r="G863" s="202"/>
      <x:c r="H863" s="204"/>
      <x:c r="I863" s="206" t="str">
        <x:f>IF(G863="","",MAX(G863-H863,0))</x:f>
      </x:c>
      <x:c r="J863" s="210"/>
      <x:c r="K863" s="190"/>
      <x:c r="L863" s="208"/>
      <x:c r="M863" s="208"/>
      <x:c r="N863" s="208"/>
      <x:c r="O863" s="208"/>
      <x:c r="P863" s="190"/>
      <x:c r="Q863" s="190"/>
      <x:c r="R863" s="190"/>
      <x:c r="S863" s="190"/>
      <x:c r="T863" s="190"/>
      <x:c r="U863" s="190"/>
      <x:c r="V863" s="212"/>
      <x:c r="W863" s="212"/>
      <x:c r="X863" s="200"/>
      <x:c r="Y863" s="192"/>
      <x:c r="Z863" s="214"/>
      <x:c r="AA863" s="214"/>
      <x:c r="AB863" s="192"/>
      <x:c r="AC863" s="194"/>
      <x:c r="AD863" s="186" t="str">
        <x:f>IF(COUNTA(B863:H863)+COUNTA(J863:AC863)=0,"",IF(OR(B863="",D863="",E863="",G863="",J863=""),"缺少必填项",IF(H863&gt;G863,"完成数大于订单数",IF(AND(X863="",OR(Y863="排队",Y863="生产中",Y863="阻塞",Z863&lt;&gt;"",AA863&lt;&gt;"",AB863="是")),"已有排期字段缺少机台",IF(AND(X863&lt;&gt;"",Y863="待排"),"已填机台但状态为待排",IF(AND(Y863="生产中",AB863&lt;&gt;"是"),"需确认：生产中未锁定","可导入"))))))</x:f>
      </x:c>
    </x:row>
    <x:row r="864" ht="22" customHeight="1">
      <x:c r="A864" s="186" t="str">
        <x:f>IF(B864="","",ROW()-5)</x:f>
      </x:c>
      <x:c r="B864" s="196"/>
      <x:c r="C864" s="198"/>
      <x:c r="D864" s="196"/>
      <x:c r="E864" s="188"/>
      <x:c r="F864" s="198"/>
      <x:c r="G864" s="202"/>
      <x:c r="H864" s="204"/>
      <x:c r="I864" s="206" t="str">
        <x:f>IF(G864="","",MAX(G864-H864,0))</x:f>
      </x:c>
      <x:c r="J864" s="210"/>
      <x:c r="K864" s="190"/>
      <x:c r="L864" s="208"/>
      <x:c r="M864" s="208"/>
      <x:c r="N864" s="208"/>
      <x:c r="O864" s="208"/>
      <x:c r="P864" s="190"/>
      <x:c r="Q864" s="190"/>
      <x:c r="R864" s="190"/>
      <x:c r="S864" s="190"/>
      <x:c r="T864" s="190"/>
      <x:c r="U864" s="190"/>
      <x:c r="V864" s="212"/>
      <x:c r="W864" s="212"/>
      <x:c r="X864" s="200"/>
      <x:c r="Y864" s="192"/>
      <x:c r="Z864" s="214"/>
      <x:c r="AA864" s="214"/>
      <x:c r="AB864" s="192"/>
      <x:c r="AC864" s="194"/>
      <x:c r="AD864" s="186" t="str">
        <x:f>IF(COUNTA(B864:H864)+COUNTA(J864:AC864)=0,"",IF(OR(B864="",D864="",E864="",G864="",J864=""),"缺少必填项",IF(H864&gt;G864,"完成数大于订单数",IF(AND(X864="",OR(Y864="排队",Y864="生产中",Y864="阻塞",Z864&lt;&gt;"",AA864&lt;&gt;"",AB864="是")),"已有排期字段缺少机台",IF(AND(X864&lt;&gt;"",Y864="待排"),"已填机台但状态为待排",IF(AND(Y864="生产中",AB864&lt;&gt;"是"),"需确认：生产中未锁定","可导入"))))))</x:f>
      </x:c>
    </x:row>
    <x:row r="865" ht="22" customHeight="1">
      <x:c r="A865" s="186" t="str">
        <x:f>IF(B865="","",ROW()-5)</x:f>
      </x:c>
      <x:c r="B865" s="196"/>
      <x:c r="C865" s="198"/>
      <x:c r="D865" s="196"/>
      <x:c r="E865" s="188"/>
      <x:c r="F865" s="198"/>
      <x:c r="G865" s="202"/>
      <x:c r="H865" s="204"/>
      <x:c r="I865" s="206" t="str">
        <x:f>IF(G865="","",MAX(G865-H865,0))</x:f>
      </x:c>
      <x:c r="J865" s="210"/>
      <x:c r="K865" s="190"/>
      <x:c r="L865" s="208"/>
      <x:c r="M865" s="208"/>
      <x:c r="N865" s="208"/>
      <x:c r="O865" s="208"/>
      <x:c r="P865" s="190"/>
      <x:c r="Q865" s="190"/>
      <x:c r="R865" s="190"/>
      <x:c r="S865" s="190"/>
      <x:c r="T865" s="190"/>
      <x:c r="U865" s="190"/>
      <x:c r="V865" s="212"/>
      <x:c r="W865" s="212"/>
      <x:c r="X865" s="200"/>
      <x:c r="Y865" s="192"/>
      <x:c r="Z865" s="214"/>
      <x:c r="AA865" s="214"/>
      <x:c r="AB865" s="192"/>
      <x:c r="AC865" s="194"/>
      <x:c r="AD865" s="186" t="str">
        <x:f>IF(COUNTA(B865:H865)+COUNTA(J865:AC865)=0,"",IF(OR(B865="",D865="",E865="",G865="",J865=""),"缺少必填项",IF(H865&gt;G865,"完成数大于订单数",IF(AND(X865="",OR(Y865="排队",Y865="生产中",Y865="阻塞",Z865&lt;&gt;"",AA865&lt;&gt;"",AB865="是")),"已有排期字段缺少机台",IF(AND(X865&lt;&gt;"",Y865="待排"),"已填机台但状态为待排",IF(AND(Y865="生产中",AB865&lt;&gt;"是"),"需确认：生产中未锁定","可导入"))))))</x:f>
      </x:c>
    </x:row>
    <x:row r="866" ht="22" customHeight="1">
      <x:c r="A866" s="186" t="str">
        <x:f>IF(B866="","",ROW()-5)</x:f>
      </x:c>
      <x:c r="B866" s="196"/>
      <x:c r="C866" s="198"/>
      <x:c r="D866" s="196"/>
      <x:c r="E866" s="188"/>
      <x:c r="F866" s="198"/>
      <x:c r="G866" s="202"/>
      <x:c r="H866" s="204"/>
      <x:c r="I866" s="206" t="str">
        <x:f>IF(G866="","",MAX(G866-H866,0))</x:f>
      </x:c>
      <x:c r="J866" s="210"/>
      <x:c r="K866" s="190"/>
      <x:c r="L866" s="208"/>
      <x:c r="M866" s="208"/>
      <x:c r="N866" s="208"/>
      <x:c r="O866" s="208"/>
      <x:c r="P866" s="190"/>
      <x:c r="Q866" s="190"/>
      <x:c r="R866" s="190"/>
      <x:c r="S866" s="190"/>
      <x:c r="T866" s="190"/>
      <x:c r="U866" s="190"/>
      <x:c r="V866" s="212"/>
      <x:c r="W866" s="212"/>
      <x:c r="X866" s="200"/>
      <x:c r="Y866" s="192"/>
      <x:c r="Z866" s="214"/>
      <x:c r="AA866" s="214"/>
      <x:c r="AB866" s="192"/>
      <x:c r="AC866" s="194"/>
      <x:c r="AD866" s="186" t="str">
        <x:f>IF(COUNTA(B866:H866)+COUNTA(J866:AC866)=0,"",IF(OR(B866="",D866="",E866="",G866="",J866=""),"缺少必填项",IF(H866&gt;G866,"完成数大于订单数",IF(AND(X866="",OR(Y866="排队",Y866="生产中",Y866="阻塞",Z866&lt;&gt;"",AA866&lt;&gt;"",AB866="是")),"已有排期字段缺少机台",IF(AND(X866&lt;&gt;"",Y866="待排"),"已填机台但状态为待排",IF(AND(Y866="生产中",AB866&lt;&gt;"是"),"需确认：生产中未锁定","可导入"))))))</x:f>
      </x:c>
    </x:row>
    <x:row r="867" ht="22" customHeight="1">
      <x:c r="A867" s="186" t="str">
        <x:f>IF(B867="","",ROW()-5)</x:f>
      </x:c>
      <x:c r="B867" s="196"/>
      <x:c r="C867" s="198"/>
      <x:c r="D867" s="196"/>
      <x:c r="E867" s="188"/>
      <x:c r="F867" s="198"/>
      <x:c r="G867" s="202"/>
      <x:c r="H867" s="204"/>
      <x:c r="I867" s="206" t="str">
        <x:f>IF(G867="","",MAX(G867-H867,0))</x:f>
      </x:c>
      <x:c r="J867" s="210"/>
      <x:c r="K867" s="190"/>
      <x:c r="L867" s="208"/>
      <x:c r="M867" s="208"/>
      <x:c r="N867" s="208"/>
      <x:c r="O867" s="208"/>
      <x:c r="P867" s="190"/>
      <x:c r="Q867" s="190"/>
      <x:c r="R867" s="190"/>
      <x:c r="S867" s="190"/>
      <x:c r="T867" s="190"/>
      <x:c r="U867" s="190"/>
      <x:c r="V867" s="212"/>
      <x:c r="W867" s="212"/>
      <x:c r="X867" s="200"/>
      <x:c r="Y867" s="192"/>
      <x:c r="Z867" s="214"/>
      <x:c r="AA867" s="214"/>
      <x:c r="AB867" s="192"/>
      <x:c r="AC867" s="194"/>
      <x:c r="AD867" s="186" t="str">
        <x:f>IF(COUNTA(B867:H867)+COUNTA(J867:AC867)=0,"",IF(OR(B867="",D867="",E867="",G867="",J867=""),"缺少必填项",IF(H867&gt;G867,"完成数大于订单数",IF(AND(X867="",OR(Y867="排队",Y867="生产中",Y867="阻塞",Z867&lt;&gt;"",AA867&lt;&gt;"",AB867="是")),"已有排期字段缺少机台",IF(AND(X867&lt;&gt;"",Y867="待排"),"已填机台但状态为待排",IF(AND(Y867="生产中",AB867&lt;&gt;"是"),"需确认：生产中未锁定","可导入"))))))</x:f>
      </x:c>
    </x:row>
    <x:row r="868" ht="22" customHeight="1">
      <x:c r="A868" s="186" t="str">
        <x:f>IF(B868="","",ROW()-5)</x:f>
      </x:c>
      <x:c r="B868" s="196"/>
      <x:c r="C868" s="198"/>
      <x:c r="D868" s="196"/>
      <x:c r="E868" s="188"/>
      <x:c r="F868" s="198"/>
      <x:c r="G868" s="202"/>
      <x:c r="H868" s="204"/>
      <x:c r="I868" s="206" t="str">
        <x:f>IF(G868="","",MAX(G868-H868,0))</x:f>
      </x:c>
      <x:c r="J868" s="210"/>
      <x:c r="K868" s="190"/>
      <x:c r="L868" s="208"/>
      <x:c r="M868" s="208"/>
      <x:c r="N868" s="208"/>
      <x:c r="O868" s="208"/>
      <x:c r="P868" s="190"/>
      <x:c r="Q868" s="190"/>
      <x:c r="R868" s="190"/>
      <x:c r="S868" s="190"/>
      <x:c r="T868" s="190"/>
      <x:c r="U868" s="190"/>
      <x:c r="V868" s="212"/>
      <x:c r="W868" s="212"/>
      <x:c r="X868" s="200"/>
      <x:c r="Y868" s="192"/>
      <x:c r="Z868" s="214"/>
      <x:c r="AA868" s="214"/>
      <x:c r="AB868" s="192"/>
      <x:c r="AC868" s="194"/>
      <x:c r="AD868" s="186" t="str">
        <x:f>IF(COUNTA(B868:H868)+COUNTA(J868:AC868)=0,"",IF(OR(B868="",D868="",E868="",G868="",J868=""),"缺少必填项",IF(H868&gt;G868,"完成数大于订单数",IF(AND(X868="",OR(Y868="排队",Y868="生产中",Y868="阻塞",Z868&lt;&gt;"",AA868&lt;&gt;"",AB868="是")),"已有排期字段缺少机台",IF(AND(X868&lt;&gt;"",Y868="待排"),"已填机台但状态为待排",IF(AND(Y868="生产中",AB868&lt;&gt;"是"),"需确认：生产中未锁定","可导入"))))))</x:f>
      </x:c>
    </x:row>
    <x:row r="869" ht="22" customHeight="1">
      <x:c r="A869" s="186" t="str">
        <x:f>IF(B869="","",ROW()-5)</x:f>
      </x:c>
      <x:c r="B869" s="196"/>
      <x:c r="C869" s="198"/>
      <x:c r="D869" s="196"/>
      <x:c r="E869" s="188"/>
      <x:c r="F869" s="198"/>
      <x:c r="G869" s="202"/>
      <x:c r="H869" s="204"/>
      <x:c r="I869" s="206" t="str">
        <x:f>IF(G869="","",MAX(G869-H869,0))</x:f>
      </x:c>
      <x:c r="J869" s="210"/>
      <x:c r="K869" s="190"/>
      <x:c r="L869" s="208"/>
      <x:c r="M869" s="208"/>
      <x:c r="N869" s="208"/>
      <x:c r="O869" s="208"/>
      <x:c r="P869" s="190"/>
      <x:c r="Q869" s="190"/>
      <x:c r="R869" s="190"/>
      <x:c r="S869" s="190"/>
      <x:c r="T869" s="190"/>
      <x:c r="U869" s="190"/>
      <x:c r="V869" s="212"/>
      <x:c r="W869" s="212"/>
      <x:c r="X869" s="200"/>
      <x:c r="Y869" s="192"/>
      <x:c r="Z869" s="214"/>
      <x:c r="AA869" s="214"/>
      <x:c r="AB869" s="192"/>
      <x:c r="AC869" s="194"/>
      <x:c r="AD869" s="186" t="str">
        <x:f>IF(COUNTA(B869:H869)+COUNTA(J869:AC869)=0,"",IF(OR(B869="",D869="",E869="",G869="",J869=""),"缺少必填项",IF(H869&gt;G869,"完成数大于订单数",IF(AND(X869="",OR(Y869="排队",Y869="生产中",Y869="阻塞",Z869&lt;&gt;"",AA869&lt;&gt;"",AB869="是")),"已有排期字段缺少机台",IF(AND(X869&lt;&gt;"",Y869="待排"),"已填机台但状态为待排",IF(AND(Y869="生产中",AB869&lt;&gt;"是"),"需确认：生产中未锁定","可导入"))))))</x:f>
      </x:c>
    </x:row>
    <x:row r="870" ht="22" customHeight="1">
      <x:c r="A870" s="186" t="str">
        <x:f>IF(B870="","",ROW()-5)</x:f>
      </x:c>
      <x:c r="B870" s="196"/>
      <x:c r="C870" s="198"/>
      <x:c r="D870" s="196"/>
      <x:c r="E870" s="188"/>
      <x:c r="F870" s="198"/>
      <x:c r="G870" s="202"/>
      <x:c r="H870" s="204"/>
      <x:c r="I870" s="206" t="str">
        <x:f>IF(G870="","",MAX(G870-H870,0))</x:f>
      </x:c>
      <x:c r="J870" s="210"/>
      <x:c r="K870" s="190"/>
      <x:c r="L870" s="208"/>
      <x:c r="M870" s="208"/>
      <x:c r="N870" s="208"/>
      <x:c r="O870" s="208"/>
      <x:c r="P870" s="190"/>
      <x:c r="Q870" s="190"/>
      <x:c r="R870" s="190"/>
      <x:c r="S870" s="190"/>
      <x:c r="T870" s="190"/>
      <x:c r="U870" s="190"/>
      <x:c r="V870" s="212"/>
      <x:c r="W870" s="212"/>
      <x:c r="X870" s="200"/>
      <x:c r="Y870" s="192"/>
      <x:c r="Z870" s="214"/>
      <x:c r="AA870" s="214"/>
      <x:c r="AB870" s="192"/>
      <x:c r="AC870" s="194"/>
      <x:c r="AD870" s="186" t="str">
        <x:f>IF(COUNTA(B870:H870)+COUNTA(J870:AC870)=0,"",IF(OR(B870="",D870="",E870="",G870="",J870=""),"缺少必填项",IF(H870&gt;G870,"完成数大于订单数",IF(AND(X870="",OR(Y870="排队",Y870="生产中",Y870="阻塞",Z870&lt;&gt;"",AA870&lt;&gt;"",AB870="是")),"已有排期字段缺少机台",IF(AND(X870&lt;&gt;"",Y870="待排"),"已填机台但状态为待排",IF(AND(Y870="生产中",AB870&lt;&gt;"是"),"需确认：生产中未锁定","可导入"))))))</x:f>
      </x:c>
    </x:row>
    <x:row r="871" ht="22" customHeight="1">
      <x:c r="A871" s="186" t="str">
        <x:f>IF(B871="","",ROW()-5)</x:f>
      </x:c>
      <x:c r="B871" s="196"/>
      <x:c r="C871" s="198"/>
      <x:c r="D871" s="196"/>
      <x:c r="E871" s="188"/>
      <x:c r="F871" s="198"/>
      <x:c r="G871" s="202"/>
      <x:c r="H871" s="204"/>
      <x:c r="I871" s="206" t="str">
        <x:f>IF(G871="","",MAX(G871-H871,0))</x:f>
      </x:c>
      <x:c r="J871" s="210"/>
      <x:c r="K871" s="190"/>
      <x:c r="L871" s="208"/>
      <x:c r="M871" s="208"/>
      <x:c r="N871" s="208"/>
      <x:c r="O871" s="208"/>
      <x:c r="P871" s="190"/>
      <x:c r="Q871" s="190"/>
      <x:c r="R871" s="190"/>
      <x:c r="S871" s="190"/>
      <x:c r="T871" s="190"/>
      <x:c r="U871" s="190"/>
      <x:c r="V871" s="212"/>
      <x:c r="W871" s="212"/>
      <x:c r="X871" s="200"/>
      <x:c r="Y871" s="192"/>
      <x:c r="Z871" s="214"/>
      <x:c r="AA871" s="214"/>
      <x:c r="AB871" s="192"/>
      <x:c r="AC871" s="194"/>
      <x:c r="AD871" s="186" t="str">
        <x:f>IF(COUNTA(B871:H871)+COUNTA(J871:AC871)=0,"",IF(OR(B871="",D871="",E871="",G871="",J871=""),"缺少必填项",IF(H871&gt;G871,"完成数大于订单数",IF(AND(X871="",OR(Y871="排队",Y871="生产中",Y871="阻塞",Z871&lt;&gt;"",AA871&lt;&gt;"",AB871="是")),"已有排期字段缺少机台",IF(AND(X871&lt;&gt;"",Y871="待排"),"已填机台但状态为待排",IF(AND(Y871="生产中",AB871&lt;&gt;"是"),"需确认：生产中未锁定","可导入"))))))</x:f>
      </x:c>
    </x:row>
    <x:row r="872" ht="22" customHeight="1">
      <x:c r="A872" s="186" t="str">
        <x:f>IF(B872="","",ROW()-5)</x:f>
      </x:c>
      <x:c r="B872" s="196"/>
      <x:c r="C872" s="198"/>
      <x:c r="D872" s="196"/>
      <x:c r="E872" s="188"/>
      <x:c r="F872" s="198"/>
      <x:c r="G872" s="202"/>
      <x:c r="H872" s="204"/>
      <x:c r="I872" s="206" t="str">
        <x:f>IF(G872="","",MAX(G872-H872,0))</x:f>
      </x:c>
      <x:c r="J872" s="210"/>
      <x:c r="K872" s="190"/>
      <x:c r="L872" s="208"/>
      <x:c r="M872" s="208"/>
      <x:c r="N872" s="208"/>
      <x:c r="O872" s="208"/>
      <x:c r="P872" s="190"/>
      <x:c r="Q872" s="190"/>
      <x:c r="R872" s="190"/>
      <x:c r="S872" s="190"/>
      <x:c r="T872" s="190"/>
      <x:c r="U872" s="190"/>
      <x:c r="V872" s="212"/>
      <x:c r="W872" s="212"/>
      <x:c r="X872" s="200"/>
      <x:c r="Y872" s="192"/>
      <x:c r="Z872" s="214"/>
      <x:c r="AA872" s="214"/>
      <x:c r="AB872" s="192"/>
      <x:c r="AC872" s="194"/>
      <x:c r="AD872" s="186" t="str">
        <x:f>IF(COUNTA(B872:H872)+COUNTA(J872:AC872)=0,"",IF(OR(B872="",D872="",E872="",G872="",J872=""),"缺少必填项",IF(H872&gt;G872,"完成数大于订单数",IF(AND(X872="",OR(Y872="排队",Y872="生产中",Y872="阻塞",Z872&lt;&gt;"",AA872&lt;&gt;"",AB872="是")),"已有排期字段缺少机台",IF(AND(X872&lt;&gt;"",Y872="待排"),"已填机台但状态为待排",IF(AND(Y872="生产中",AB872&lt;&gt;"是"),"需确认：生产中未锁定","可导入"))))))</x:f>
      </x:c>
    </x:row>
    <x:row r="873" ht="22" customHeight="1">
      <x:c r="A873" s="186" t="str">
        <x:f>IF(B873="","",ROW()-5)</x:f>
      </x:c>
      <x:c r="B873" s="196"/>
      <x:c r="C873" s="198"/>
      <x:c r="D873" s="196"/>
      <x:c r="E873" s="188"/>
      <x:c r="F873" s="198"/>
      <x:c r="G873" s="202"/>
      <x:c r="H873" s="204"/>
      <x:c r="I873" s="206" t="str">
        <x:f>IF(G873="","",MAX(G873-H873,0))</x:f>
      </x:c>
      <x:c r="J873" s="210"/>
      <x:c r="K873" s="190"/>
      <x:c r="L873" s="208"/>
      <x:c r="M873" s="208"/>
      <x:c r="N873" s="208"/>
      <x:c r="O873" s="208"/>
      <x:c r="P873" s="190"/>
      <x:c r="Q873" s="190"/>
      <x:c r="R873" s="190"/>
      <x:c r="S873" s="190"/>
      <x:c r="T873" s="190"/>
      <x:c r="U873" s="190"/>
      <x:c r="V873" s="212"/>
      <x:c r="W873" s="212"/>
      <x:c r="X873" s="200"/>
      <x:c r="Y873" s="192"/>
      <x:c r="Z873" s="214"/>
      <x:c r="AA873" s="214"/>
      <x:c r="AB873" s="192"/>
      <x:c r="AC873" s="194"/>
      <x:c r="AD873" s="186" t="str">
        <x:f>IF(COUNTA(B873:H873)+COUNTA(J873:AC873)=0,"",IF(OR(B873="",D873="",E873="",G873="",J873=""),"缺少必填项",IF(H873&gt;G873,"完成数大于订单数",IF(AND(X873="",OR(Y873="排队",Y873="生产中",Y873="阻塞",Z873&lt;&gt;"",AA873&lt;&gt;"",AB873="是")),"已有排期字段缺少机台",IF(AND(X873&lt;&gt;"",Y873="待排"),"已填机台但状态为待排",IF(AND(Y873="生产中",AB873&lt;&gt;"是"),"需确认：生产中未锁定","可导入"))))))</x:f>
      </x:c>
    </x:row>
    <x:row r="874" ht="22" customHeight="1">
      <x:c r="A874" s="186" t="str">
        <x:f>IF(B874="","",ROW()-5)</x:f>
      </x:c>
      <x:c r="B874" s="196"/>
      <x:c r="C874" s="198"/>
      <x:c r="D874" s="196"/>
      <x:c r="E874" s="188"/>
      <x:c r="F874" s="198"/>
      <x:c r="G874" s="202"/>
      <x:c r="H874" s="204"/>
      <x:c r="I874" s="206" t="str">
        <x:f>IF(G874="","",MAX(G874-H874,0))</x:f>
      </x:c>
      <x:c r="J874" s="210"/>
      <x:c r="K874" s="190"/>
      <x:c r="L874" s="208"/>
      <x:c r="M874" s="208"/>
      <x:c r="N874" s="208"/>
      <x:c r="O874" s="208"/>
      <x:c r="P874" s="190"/>
      <x:c r="Q874" s="190"/>
      <x:c r="R874" s="190"/>
      <x:c r="S874" s="190"/>
      <x:c r="T874" s="190"/>
      <x:c r="U874" s="190"/>
      <x:c r="V874" s="212"/>
      <x:c r="W874" s="212"/>
      <x:c r="X874" s="200"/>
      <x:c r="Y874" s="192"/>
      <x:c r="Z874" s="214"/>
      <x:c r="AA874" s="214"/>
      <x:c r="AB874" s="192"/>
      <x:c r="AC874" s="194"/>
      <x:c r="AD874" s="186" t="str">
        <x:f>IF(COUNTA(B874:H874)+COUNTA(J874:AC874)=0,"",IF(OR(B874="",D874="",E874="",G874="",J874=""),"缺少必填项",IF(H874&gt;G874,"完成数大于订单数",IF(AND(X874="",OR(Y874="排队",Y874="生产中",Y874="阻塞",Z874&lt;&gt;"",AA874&lt;&gt;"",AB874="是")),"已有排期字段缺少机台",IF(AND(X874&lt;&gt;"",Y874="待排"),"已填机台但状态为待排",IF(AND(Y874="生产中",AB874&lt;&gt;"是"),"需确认：生产中未锁定","可导入"))))))</x:f>
      </x:c>
    </x:row>
    <x:row r="875" ht="22" customHeight="1">
      <x:c r="A875" s="186" t="str">
        <x:f>IF(B875="","",ROW()-5)</x:f>
      </x:c>
      <x:c r="B875" s="196"/>
      <x:c r="C875" s="198"/>
      <x:c r="D875" s="196"/>
      <x:c r="E875" s="188"/>
      <x:c r="F875" s="198"/>
      <x:c r="G875" s="202"/>
      <x:c r="H875" s="204"/>
      <x:c r="I875" s="206" t="str">
        <x:f>IF(G875="","",MAX(G875-H875,0))</x:f>
      </x:c>
      <x:c r="J875" s="210"/>
      <x:c r="K875" s="190"/>
      <x:c r="L875" s="208"/>
      <x:c r="M875" s="208"/>
      <x:c r="N875" s="208"/>
      <x:c r="O875" s="208"/>
      <x:c r="P875" s="190"/>
      <x:c r="Q875" s="190"/>
      <x:c r="R875" s="190"/>
      <x:c r="S875" s="190"/>
      <x:c r="T875" s="190"/>
      <x:c r="U875" s="190"/>
      <x:c r="V875" s="212"/>
      <x:c r="W875" s="212"/>
      <x:c r="X875" s="200"/>
      <x:c r="Y875" s="192"/>
      <x:c r="Z875" s="214"/>
      <x:c r="AA875" s="214"/>
      <x:c r="AB875" s="192"/>
      <x:c r="AC875" s="194"/>
      <x:c r="AD875" s="186" t="str">
        <x:f>IF(COUNTA(B875:H875)+COUNTA(J875:AC875)=0,"",IF(OR(B875="",D875="",E875="",G875="",J875=""),"缺少必填项",IF(H875&gt;G875,"完成数大于订单数",IF(AND(X875="",OR(Y875="排队",Y875="生产中",Y875="阻塞",Z875&lt;&gt;"",AA875&lt;&gt;"",AB875="是")),"已有排期字段缺少机台",IF(AND(X875&lt;&gt;"",Y875="待排"),"已填机台但状态为待排",IF(AND(Y875="生产中",AB875&lt;&gt;"是"),"需确认：生产中未锁定","可导入"))))))</x:f>
      </x:c>
    </x:row>
    <x:row r="876" ht="22" customHeight="1">
      <x:c r="A876" s="186" t="str">
        <x:f>IF(B876="","",ROW()-5)</x:f>
      </x:c>
      <x:c r="B876" s="196"/>
      <x:c r="C876" s="198"/>
      <x:c r="D876" s="196"/>
      <x:c r="E876" s="188"/>
      <x:c r="F876" s="198"/>
      <x:c r="G876" s="202"/>
      <x:c r="H876" s="204"/>
      <x:c r="I876" s="206" t="str">
        <x:f>IF(G876="","",MAX(G876-H876,0))</x:f>
      </x:c>
      <x:c r="J876" s="210"/>
      <x:c r="K876" s="190"/>
      <x:c r="L876" s="208"/>
      <x:c r="M876" s="208"/>
      <x:c r="N876" s="208"/>
      <x:c r="O876" s="208"/>
      <x:c r="P876" s="190"/>
      <x:c r="Q876" s="190"/>
      <x:c r="R876" s="190"/>
      <x:c r="S876" s="190"/>
      <x:c r="T876" s="190"/>
      <x:c r="U876" s="190"/>
      <x:c r="V876" s="212"/>
      <x:c r="W876" s="212"/>
      <x:c r="X876" s="200"/>
      <x:c r="Y876" s="192"/>
      <x:c r="Z876" s="214"/>
      <x:c r="AA876" s="214"/>
      <x:c r="AB876" s="192"/>
      <x:c r="AC876" s="194"/>
      <x:c r="AD876" s="186" t="str">
        <x:f>IF(COUNTA(B876:H876)+COUNTA(J876:AC876)=0,"",IF(OR(B876="",D876="",E876="",G876="",J876=""),"缺少必填项",IF(H876&gt;G876,"完成数大于订单数",IF(AND(X876="",OR(Y876="排队",Y876="生产中",Y876="阻塞",Z876&lt;&gt;"",AA876&lt;&gt;"",AB876="是")),"已有排期字段缺少机台",IF(AND(X876&lt;&gt;"",Y876="待排"),"已填机台但状态为待排",IF(AND(Y876="生产中",AB876&lt;&gt;"是"),"需确认：生产中未锁定","可导入"))))))</x:f>
      </x:c>
    </x:row>
    <x:row r="877" ht="22" customHeight="1">
      <x:c r="A877" s="186" t="str">
        <x:f>IF(B877="","",ROW()-5)</x:f>
      </x:c>
      <x:c r="B877" s="196"/>
      <x:c r="C877" s="198"/>
      <x:c r="D877" s="196"/>
      <x:c r="E877" s="188"/>
      <x:c r="F877" s="198"/>
      <x:c r="G877" s="202"/>
      <x:c r="H877" s="204"/>
      <x:c r="I877" s="206" t="str">
        <x:f>IF(G877="","",MAX(G877-H877,0))</x:f>
      </x:c>
      <x:c r="J877" s="210"/>
      <x:c r="K877" s="190"/>
      <x:c r="L877" s="208"/>
      <x:c r="M877" s="208"/>
      <x:c r="N877" s="208"/>
      <x:c r="O877" s="208"/>
      <x:c r="P877" s="190"/>
      <x:c r="Q877" s="190"/>
      <x:c r="R877" s="190"/>
      <x:c r="S877" s="190"/>
      <x:c r="T877" s="190"/>
      <x:c r="U877" s="190"/>
      <x:c r="V877" s="212"/>
      <x:c r="W877" s="212"/>
      <x:c r="X877" s="200"/>
      <x:c r="Y877" s="192"/>
      <x:c r="Z877" s="214"/>
      <x:c r="AA877" s="214"/>
      <x:c r="AB877" s="192"/>
      <x:c r="AC877" s="194"/>
      <x:c r="AD877" s="186" t="str">
        <x:f>IF(COUNTA(B877:H877)+COUNTA(J877:AC877)=0,"",IF(OR(B877="",D877="",E877="",G877="",J877=""),"缺少必填项",IF(H877&gt;G877,"完成数大于订单数",IF(AND(X877="",OR(Y877="排队",Y877="生产中",Y877="阻塞",Z877&lt;&gt;"",AA877&lt;&gt;"",AB877="是")),"已有排期字段缺少机台",IF(AND(X877&lt;&gt;"",Y877="待排"),"已填机台但状态为待排",IF(AND(Y877="生产中",AB877&lt;&gt;"是"),"需确认：生产中未锁定","可导入"))))))</x:f>
      </x:c>
    </x:row>
    <x:row r="878" ht="22" customHeight="1">
      <x:c r="A878" s="186" t="str">
        <x:f>IF(B878="","",ROW()-5)</x:f>
      </x:c>
      <x:c r="B878" s="196"/>
      <x:c r="C878" s="198"/>
      <x:c r="D878" s="196"/>
      <x:c r="E878" s="188"/>
      <x:c r="F878" s="198"/>
      <x:c r="G878" s="202"/>
      <x:c r="H878" s="204"/>
      <x:c r="I878" s="206" t="str">
        <x:f>IF(G878="","",MAX(G878-H878,0))</x:f>
      </x:c>
      <x:c r="J878" s="210"/>
      <x:c r="K878" s="190"/>
      <x:c r="L878" s="208"/>
      <x:c r="M878" s="208"/>
      <x:c r="N878" s="208"/>
      <x:c r="O878" s="208"/>
      <x:c r="P878" s="190"/>
      <x:c r="Q878" s="190"/>
      <x:c r="R878" s="190"/>
      <x:c r="S878" s="190"/>
      <x:c r="T878" s="190"/>
      <x:c r="U878" s="190"/>
      <x:c r="V878" s="212"/>
      <x:c r="W878" s="212"/>
      <x:c r="X878" s="200"/>
      <x:c r="Y878" s="192"/>
      <x:c r="Z878" s="214"/>
      <x:c r="AA878" s="214"/>
      <x:c r="AB878" s="192"/>
      <x:c r="AC878" s="194"/>
      <x:c r="AD878" s="186" t="str">
        <x:f>IF(COUNTA(B878:H878)+COUNTA(J878:AC878)=0,"",IF(OR(B878="",D878="",E878="",G878="",J878=""),"缺少必填项",IF(H878&gt;G878,"完成数大于订单数",IF(AND(X878="",OR(Y878="排队",Y878="生产中",Y878="阻塞",Z878&lt;&gt;"",AA878&lt;&gt;"",AB878="是")),"已有排期字段缺少机台",IF(AND(X878&lt;&gt;"",Y878="待排"),"已填机台但状态为待排",IF(AND(Y878="生产中",AB878&lt;&gt;"是"),"需确认：生产中未锁定","可导入"))))))</x:f>
      </x:c>
    </x:row>
    <x:row r="879" ht="22" customHeight="1">
      <x:c r="A879" s="186" t="str">
        <x:f>IF(B879="","",ROW()-5)</x:f>
      </x:c>
      <x:c r="B879" s="196"/>
      <x:c r="C879" s="198"/>
      <x:c r="D879" s="196"/>
      <x:c r="E879" s="188"/>
      <x:c r="F879" s="198"/>
      <x:c r="G879" s="202"/>
      <x:c r="H879" s="204"/>
      <x:c r="I879" s="206" t="str">
        <x:f>IF(G879="","",MAX(G879-H879,0))</x:f>
      </x:c>
      <x:c r="J879" s="210"/>
      <x:c r="K879" s="190"/>
      <x:c r="L879" s="208"/>
      <x:c r="M879" s="208"/>
      <x:c r="N879" s="208"/>
      <x:c r="O879" s="208"/>
      <x:c r="P879" s="190"/>
      <x:c r="Q879" s="190"/>
      <x:c r="R879" s="190"/>
      <x:c r="S879" s="190"/>
      <x:c r="T879" s="190"/>
      <x:c r="U879" s="190"/>
      <x:c r="V879" s="212"/>
      <x:c r="W879" s="212"/>
      <x:c r="X879" s="200"/>
      <x:c r="Y879" s="192"/>
      <x:c r="Z879" s="214"/>
      <x:c r="AA879" s="214"/>
      <x:c r="AB879" s="192"/>
      <x:c r="AC879" s="194"/>
      <x:c r="AD879" s="186" t="str">
        <x:f>IF(COUNTA(B879:H879)+COUNTA(J879:AC879)=0,"",IF(OR(B879="",D879="",E879="",G879="",J879=""),"缺少必填项",IF(H879&gt;G879,"完成数大于订单数",IF(AND(X879="",OR(Y879="排队",Y879="生产中",Y879="阻塞",Z879&lt;&gt;"",AA879&lt;&gt;"",AB879="是")),"已有排期字段缺少机台",IF(AND(X879&lt;&gt;"",Y879="待排"),"已填机台但状态为待排",IF(AND(Y879="生产中",AB879&lt;&gt;"是"),"需确认：生产中未锁定","可导入"))))))</x:f>
      </x:c>
    </x:row>
    <x:row r="880" ht="22" customHeight="1">
      <x:c r="A880" s="186" t="str">
        <x:f>IF(B880="","",ROW()-5)</x:f>
      </x:c>
      <x:c r="B880" s="196"/>
      <x:c r="C880" s="198"/>
      <x:c r="D880" s="196"/>
      <x:c r="E880" s="188"/>
      <x:c r="F880" s="198"/>
      <x:c r="G880" s="202"/>
      <x:c r="H880" s="204"/>
      <x:c r="I880" s="206" t="str">
        <x:f>IF(G880="","",MAX(G880-H880,0))</x:f>
      </x:c>
      <x:c r="J880" s="210"/>
      <x:c r="K880" s="190"/>
      <x:c r="L880" s="208"/>
      <x:c r="M880" s="208"/>
      <x:c r="N880" s="208"/>
      <x:c r="O880" s="208"/>
      <x:c r="P880" s="190"/>
      <x:c r="Q880" s="190"/>
      <x:c r="R880" s="190"/>
      <x:c r="S880" s="190"/>
      <x:c r="T880" s="190"/>
      <x:c r="U880" s="190"/>
      <x:c r="V880" s="212"/>
      <x:c r="W880" s="212"/>
      <x:c r="X880" s="200"/>
      <x:c r="Y880" s="192"/>
      <x:c r="Z880" s="214"/>
      <x:c r="AA880" s="214"/>
      <x:c r="AB880" s="192"/>
      <x:c r="AC880" s="194"/>
      <x:c r="AD880" s="186" t="str">
        <x:f>IF(COUNTA(B880:H880)+COUNTA(J880:AC880)=0,"",IF(OR(B880="",D880="",E880="",G880="",J880=""),"缺少必填项",IF(H880&gt;G880,"完成数大于订单数",IF(AND(X880="",OR(Y880="排队",Y880="生产中",Y880="阻塞",Z880&lt;&gt;"",AA880&lt;&gt;"",AB880="是")),"已有排期字段缺少机台",IF(AND(X880&lt;&gt;"",Y880="待排"),"已填机台但状态为待排",IF(AND(Y880="生产中",AB880&lt;&gt;"是"),"需确认：生产中未锁定","可导入"))))))</x:f>
      </x:c>
    </x:row>
    <x:row r="881" ht="22" customHeight="1">
      <x:c r="A881" s="186" t="str">
        <x:f>IF(B881="","",ROW()-5)</x:f>
      </x:c>
      <x:c r="B881" s="196"/>
      <x:c r="C881" s="198"/>
      <x:c r="D881" s="196"/>
      <x:c r="E881" s="188"/>
      <x:c r="F881" s="198"/>
      <x:c r="G881" s="202"/>
      <x:c r="H881" s="204"/>
      <x:c r="I881" s="206" t="str">
        <x:f>IF(G881="","",MAX(G881-H881,0))</x:f>
      </x:c>
      <x:c r="J881" s="210"/>
      <x:c r="K881" s="190"/>
      <x:c r="L881" s="208"/>
      <x:c r="M881" s="208"/>
      <x:c r="N881" s="208"/>
      <x:c r="O881" s="208"/>
      <x:c r="P881" s="190"/>
      <x:c r="Q881" s="190"/>
      <x:c r="R881" s="190"/>
      <x:c r="S881" s="190"/>
      <x:c r="T881" s="190"/>
      <x:c r="U881" s="190"/>
      <x:c r="V881" s="212"/>
      <x:c r="W881" s="212"/>
      <x:c r="X881" s="200"/>
      <x:c r="Y881" s="192"/>
      <x:c r="Z881" s="214"/>
      <x:c r="AA881" s="214"/>
      <x:c r="AB881" s="192"/>
      <x:c r="AC881" s="194"/>
      <x:c r="AD881" s="186" t="str">
        <x:f>IF(COUNTA(B881:H881)+COUNTA(J881:AC881)=0,"",IF(OR(B881="",D881="",E881="",G881="",J881=""),"缺少必填项",IF(H881&gt;G881,"完成数大于订单数",IF(AND(X881="",OR(Y881="排队",Y881="生产中",Y881="阻塞",Z881&lt;&gt;"",AA881&lt;&gt;"",AB881="是")),"已有排期字段缺少机台",IF(AND(X881&lt;&gt;"",Y881="待排"),"已填机台但状态为待排",IF(AND(Y881="生产中",AB881&lt;&gt;"是"),"需确认：生产中未锁定","可导入"))))))</x:f>
      </x:c>
    </x:row>
    <x:row r="882" ht="22" customHeight="1">
      <x:c r="A882" s="186" t="str">
        <x:f>IF(B882="","",ROW()-5)</x:f>
      </x:c>
      <x:c r="B882" s="196"/>
      <x:c r="C882" s="198"/>
      <x:c r="D882" s="196"/>
      <x:c r="E882" s="188"/>
      <x:c r="F882" s="198"/>
      <x:c r="G882" s="202"/>
      <x:c r="H882" s="204"/>
      <x:c r="I882" s="206" t="str">
        <x:f>IF(G882="","",MAX(G882-H882,0))</x:f>
      </x:c>
      <x:c r="J882" s="210"/>
      <x:c r="K882" s="190"/>
      <x:c r="L882" s="208"/>
      <x:c r="M882" s="208"/>
      <x:c r="N882" s="208"/>
      <x:c r="O882" s="208"/>
      <x:c r="P882" s="190"/>
      <x:c r="Q882" s="190"/>
      <x:c r="R882" s="190"/>
      <x:c r="S882" s="190"/>
      <x:c r="T882" s="190"/>
      <x:c r="U882" s="190"/>
      <x:c r="V882" s="212"/>
      <x:c r="W882" s="212"/>
      <x:c r="X882" s="200"/>
      <x:c r="Y882" s="192"/>
      <x:c r="Z882" s="214"/>
      <x:c r="AA882" s="214"/>
      <x:c r="AB882" s="192"/>
      <x:c r="AC882" s="194"/>
      <x:c r="AD882" s="186" t="str">
        <x:f>IF(COUNTA(B882:H882)+COUNTA(J882:AC882)=0,"",IF(OR(B882="",D882="",E882="",G882="",J882=""),"缺少必填项",IF(H882&gt;G882,"完成数大于订单数",IF(AND(X882="",OR(Y882="排队",Y882="生产中",Y882="阻塞",Z882&lt;&gt;"",AA882&lt;&gt;"",AB882="是")),"已有排期字段缺少机台",IF(AND(X882&lt;&gt;"",Y882="待排"),"已填机台但状态为待排",IF(AND(Y882="生产中",AB882&lt;&gt;"是"),"需确认：生产中未锁定","可导入"))))))</x:f>
      </x:c>
    </x:row>
    <x:row r="883" ht="22" customHeight="1">
      <x:c r="A883" s="186" t="str">
        <x:f>IF(B883="","",ROW()-5)</x:f>
      </x:c>
      <x:c r="B883" s="196"/>
      <x:c r="C883" s="198"/>
      <x:c r="D883" s="196"/>
      <x:c r="E883" s="188"/>
      <x:c r="F883" s="198"/>
      <x:c r="G883" s="202"/>
      <x:c r="H883" s="204"/>
      <x:c r="I883" s="206" t="str">
        <x:f>IF(G883="","",MAX(G883-H883,0))</x:f>
      </x:c>
      <x:c r="J883" s="210"/>
      <x:c r="K883" s="190"/>
      <x:c r="L883" s="208"/>
      <x:c r="M883" s="208"/>
      <x:c r="N883" s="208"/>
      <x:c r="O883" s="208"/>
      <x:c r="P883" s="190"/>
      <x:c r="Q883" s="190"/>
      <x:c r="R883" s="190"/>
      <x:c r="S883" s="190"/>
      <x:c r="T883" s="190"/>
      <x:c r="U883" s="190"/>
      <x:c r="V883" s="212"/>
      <x:c r="W883" s="212"/>
      <x:c r="X883" s="200"/>
      <x:c r="Y883" s="192"/>
      <x:c r="Z883" s="214"/>
      <x:c r="AA883" s="214"/>
      <x:c r="AB883" s="192"/>
      <x:c r="AC883" s="194"/>
      <x:c r="AD883" s="186" t="str">
        <x:f>IF(COUNTA(B883:H883)+COUNTA(J883:AC883)=0,"",IF(OR(B883="",D883="",E883="",G883="",J883=""),"缺少必填项",IF(H883&gt;G883,"完成数大于订单数",IF(AND(X883="",OR(Y883="排队",Y883="生产中",Y883="阻塞",Z883&lt;&gt;"",AA883&lt;&gt;"",AB883="是")),"已有排期字段缺少机台",IF(AND(X883&lt;&gt;"",Y883="待排"),"已填机台但状态为待排",IF(AND(Y883="生产中",AB883&lt;&gt;"是"),"需确认：生产中未锁定","可导入"))))))</x:f>
      </x:c>
    </x:row>
    <x:row r="884" ht="22" customHeight="1">
      <x:c r="A884" s="186" t="str">
        <x:f>IF(B884="","",ROW()-5)</x:f>
      </x:c>
      <x:c r="B884" s="196"/>
      <x:c r="C884" s="198"/>
      <x:c r="D884" s="196"/>
      <x:c r="E884" s="188"/>
      <x:c r="F884" s="198"/>
      <x:c r="G884" s="202"/>
      <x:c r="H884" s="204"/>
      <x:c r="I884" s="206" t="str">
        <x:f>IF(G884="","",MAX(G884-H884,0))</x:f>
      </x:c>
      <x:c r="J884" s="210"/>
      <x:c r="K884" s="190"/>
      <x:c r="L884" s="208"/>
      <x:c r="M884" s="208"/>
      <x:c r="N884" s="208"/>
      <x:c r="O884" s="208"/>
      <x:c r="P884" s="190"/>
      <x:c r="Q884" s="190"/>
      <x:c r="R884" s="190"/>
      <x:c r="S884" s="190"/>
      <x:c r="T884" s="190"/>
      <x:c r="U884" s="190"/>
      <x:c r="V884" s="212"/>
      <x:c r="W884" s="212"/>
      <x:c r="X884" s="200"/>
      <x:c r="Y884" s="192"/>
      <x:c r="Z884" s="214"/>
      <x:c r="AA884" s="214"/>
      <x:c r="AB884" s="192"/>
      <x:c r="AC884" s="194"/>
      <x:c r="AD884" s="186" t="str">
        <x:f>IF(COUNTA(B884:H884)+COUNTA(J884:AC884)=0,"",IF(OR(B884="",D884="",E884="",G884="",J884=""),"缺少必填项",IF(H884&gt;G884,"完成数大于订单数",IF(AND(X884="",OR(Y884="排队",Y884="生产中",Y884="阻塞",Z884&lt;&gt;"",AA884&lt;&gt;"",AB884="是")),"已有排期字段缺少机台",IF(AND(X884&lt;&gt;"",Y884="待排"),"已填机台但状态为待排",IF(AND(Y884="生产中",AB884&lt;&gt;"是"),"需确认：生产中未锁定","可导入"))))))</x:f>
      </x:c>
    </x:row>
    <x:row r="885" ht="22" customHeight="1">
      <x:c r="A885" s="186" t="str">
        <x:f>IF(B885="","",ROW()-5)</x:f>
      </x:c>
      <x:c r="B885" s="196"/>
      <x:c r="C885" s="198"/>
      <x:c r="D885" s="196"/>
      <x:c r="E885" s="188"/>
      <x:c r="F885" s="198"/>
      <x:c r="G885" s="202"/>
      <x:c r="H885" s="204"/>
      <x:c r="I885" s="206" t="str">
        <x:f>IF(G885="","",MAX(G885-H885,0))</x:f>
      </x:c>
      <x:c r="J885" s="210"/>
      <x:c r="K885" s="190"/>
      <x:c r="L885" s="208"/>
      <x:c r="M885" s="208"/>
      <x:c r="N885" s="208"/>
      <x:c r="O885" s="208"/>
      <x:c r="P885" s="190"/>
      <x:c r="Q885" s="190"/>
      <x:c r="R885" s="190"/>
      <x:c r="S885" s="190"/>
      <x:c r="T885" s="190"/>
      <x:c r="U885" s="190"/>
      <x:c r="V885" s="212"/>
      <x:c r="W885" s="212"/>
      <x:c r="X885" s="200"/>
      <x:c r="Y885" s="192"/>
      <x:c r="Z885" s="214"/>
      <x:c r="AA885" s="214"/>
      <x:c r="AB885" s="192"/>
      <x:c r="AC885" s="194"/>
      <x:c r="AD885" s="186" t="str">
        <x:f>IF(COUNTA(B885:H885)+COUNTA(J885:AC885)=0,"",IF(OR(B885="",D885="",E885="",G885="",J885=""),"缺少必填项",IF(H885&gt;G885,"完成数大于订单数",IF(AND(X885="",OR(Y885="排队",Y885="生产中",Y885="阻塞",Z885&lt;&gt;"",AA885&lt;&gt;"",AB885="是")),"已有排期字段缺少机台",IF(AND(X885&lt;&gt;"",Y885="待排"),"已填机台但状态为待排",IF(AND(Y885="生产中",AB885&lt;&gt;"是"),"需确认：生产中未锁定","可导入"))))))</x:f>
      </x:c>
    </x:row>
    <x:row r="886" ht="22" customHeight="1">
      <x:c r="A886" s="186" t="str">
        <x:f>IF(B886="","",ROW()-5)</x:f>
      </x:c>
      <x:c r="B886" s="196"/>
      <x:c r="C886" s="198"/>
      <x:c r="D886" s="196"/>
      <x:c r="E886" s="188"/>
      <x:c r="F886" s="198"/>
      <x:c r="G886" s="202"/>
      <x:c r="H886" s="204"/>
      <x:c r="I886" s="206" t="str">
        <x:f>IF(G886="","",MAX(G886-H886,0))</x:f>
      </x:c>
      <x:c r="J886" s="210"/>
      <x:c r="K886" s="190"/>
      <x:c r="L886" s="208"/>
      <x:c r="M886" s="208"/>
      <x:c r="N886" s="208"/>
      <x:c r="O886" s="208"/>
      <x:c r="P886" s="190"/>
      <x:c r="Q886" s="190"/>
      <x:c r="R886" s="190"/>
      <x:c r="S886" s="190"/>
      <x:c r="T886" s="190"/>
      <x:c r="U886" s="190"/>
      <x:c r="V886" s="212"/>
      <x:c r="W886" s="212"/>
      <x:c r="X886" s="200"/>
      <x:c r="Y886" s="192"/>
      <x:c r="Z886" s="214"/>
      <x:c r="AA886" s="214"/>
      <x:c r="AB886" s="192"/>
      <x:c r="AC886" s="194"/>
      <x:c r="AD886" s="186" t="str">
        <x:f>IF(COUNTA(B886:H886)+COUNTA(J886:AC886)=0,"",IF(OR(B886="",D886="",E886="",G886="",J886=""),"缺少必填项",IF(H886&gt;G886,"完成数大于订单数",IF(AND(X886="",OR(Y886="排队",Y886="生产中",Y886="阻塞",Z886&lt;&gt;"",AA886&lt;&gt;"",AB886="是")),"已有排期字段缺少机台",IF(AND(X886&lt;&gt;"",Y886="待排"),"已填机台但状态为待排",IF(AND(Y886="生产中",AB886&lt;&gt;"是"),"需确认：生产中未锁定","可导入"))))))</x:f>
      </x:c>
    </x:row>
    <x:row r="887" ht="22" customHeight="1">
      <x:c r="A887" s="186" t="str">
        <x:f>IF(B887="","",ROW()-5)</x:f>
      </x:c>
      <x:c r="B887" s="196"/>
      <x:c r="C887" s="198"/>
      <x:c r="D887" s="196"/>
      <x:c r="E887" s="188"/>
      <x:c r="F887" s="198"/>
      <x:c r="G887" s="202"/>
      <x:c r="H887" s="204"/>
      <x:c r="I887" s="206" t="str">
        <x:f>IF(G887="","",MAX(G887-H887,0))</x:f>
      </x:c>
      <x:c r="J887" s="210"/>
      <x:c r="K887" s="190"/>
      <x:c r="L887" s="208"/>
      <x:c r="M887" s="208"/>
      <x:c r="N887" s="208"/>
      <x:c r="O887" s="208"/>
      <x:c r="P887" s="190"/>
      <x:c r="Q887" s="190"/>
      <x:c r="R887" s="190"/>
      <x:c r="S887" s="190"/>
      <x:c r="T887" s="190"/>
      <x:c r="U887" s="190"/>
      <x:c r="V887" s="212"/>
      <x:c r="W887" s="212"/>
      <x:c r="X887" s="200"/>
      <x:c r="Y887" s="192"/>
      <x:c r="Z887" s="214"/>
      <x:c r="AA887" s="214"/>
      <x:c r="AB887" s="192"/>
      <x:c r="AC887" s="194"/>
      <x:c r="AD887" s="186" t="str">
        <x:f>IF(COUNTA(B887:H887)+COUNTA(J887:AC887)=0,"",IF(OR(B887="",D887="",E887="",G887="",J887=""),"缺少必填项",IF(H887&gt;G887,"完成数大于订单数",IF(AND(X887="",OR(Y887="排队",Y887="生产中",Y887="阻塞",Z887&lt;&gt;"",AA887&lt;&gt;"",AB887="是")),"已有排期字段缺少机台",IF(AND(X887&lt;&gt;"",Y887="待排"),"已填机台但状态为待排",IF(AND(Y887="生产中",AB887&lt;&gt;"是"),"需确认：生产中未锁定","可导入"))))))</x:f>
      </x:c>
    </x:row>
    <x:row r="888" ht="22" customHeight="1">
      <x:c r="A888" s="186" t="str">
        <x:f>IF(B888="","",ROW()-5)</x:f>
      </x:c>
      <x:c r="B888" s="196"/>
      <x:c r="C888" s="198"/>
      <x:c r="D888" s="196"/>
      <x:c r="E888" s="188"/>
      <x:c r="F888" s="198"/>
      <x:c r="G888" s="202"/>
      <x:c r="H888" s="204"/>
      <x:c r="I888" s="206" t="str">
        <x:f>IF(G888="","",MAX(G888-H888,0))</x:f>
      </x:c>
      <x:c r="J888" s="210"/>
      <x:c r="K888" s="190"/>
      <x:c r="L888" s="208"/>
      <x:c r="M888" s="208"/>
      <x:c r="N888" s="208"/>
      <x:c r="O888" s="208"/>
      <x:c r="P888" s="190"/>
      <x:c r="Q888" s="190"/>
      <x:c r="R888" s="190"/>
      <x:c r="S888" s="190"/>
      <x:c r="T888" s="190"/>
      <x:c r="U888" s="190"/>
      <x:c r="V888" s="212"/>
      <x:c r="W888" s="212"/>
      <x:c r="X888" s="200"/>
      <x:c r="Y888" s="192"/>
      <x:c r="Z888" s="214"/>
      <x:c r="AA888" s="214"/>
      <x:c r="AB888" s="192"/>
      <x:c r="AC888" s="194"/>
      <x:c r="AD888" s="186" t="str">
        <x:f>IF(COUNTA(B888:H888)+COUNTA(J888:AC888)=0,"",IF(OR(B888="",D888="",E888="",G888="",J888=""),"缺少必填项",IF(H888&gt;G888,"完成数大于订单数",IF(AND(X888="",OR(Y888="排队",Y888="生产中",Y888="阻塞",Z888&lt;&gt;"",AA888&lt;&gt;"",AB888="是")),"已有排期字段缺少机台",IF(AND(X888&lt;&gt;"",Y888="待排"),"已填机台但状态为待排",IF(AND(Y888="生产中",AB888&lt;&gt;"是"),"需确认：生产中未锁定","可导入"))))))</x:f>
      </x:c>
    </x:row>
    <x:row r="889" ht="22" customHeight="1">
      <x:c r="A889" s="186" t="str">
        <x:f>IF(B889="","",ROW()-5)</x:f>
      </x:c>
      <x:c r="B889" s="196"/>
      <x:c r="C889" s="198"/>
      <x:c r="D889" s="196"/>
      <x:c r="E889" s="188"/>
      <x:c r="F889" s="198"/>
      <x:c r="G889" s="202"/>
      <x:c r="H889" s="204"/>
      <x:c r="I889" s="206" t="str">
        <x:f>IF(G889="","",MAX(G889-H889,0))</x:f>
      </x:c>
      <x:c r="J889" s="210"/>
      <x:c r="K889" s="190"/>
      <x:c r="L889" s="208"/>
      <x:c r="M889" s="208"/>
      <x:c r="N889" s="208"/>
      <x:c r="O889" s="208"/>
      <x:c r="P889" s="190"/>
      <x:c r="Q889" s="190"/>
      <x:c r="R889" s="190"/>
      <x:c r="S889" s="190"/>
      <x:c r="T889" s="190"/>
      <x:c r="U889" s="190"/>
      <x:c r="V889" s="212"/>
      <x:c r="W889" s="212"/>
      <x:c r="X889" s="200"/>
      <x:c r="Y889" s="192"/>
      <x:c r="Z889" s="214"/>
      <x:c r="AA889" s="214"/>
      <x:c r="AB889" s="192"/>
      <x:c r="AC889" s="194"/>
      <x:c r="AD889" s="186" t="str">
        <x:f>IF(COUNTA(B889:H889)+COUNTA(J889:AC889)=0,"",IF(OR(B889="",D889="",E889="",G889="",J889=""),"缺少必填项",IF(H889&gt;G889,"完成数大于订单数",IF(AND(X889="",OR(Y889="排队",Y889="生产中",Y889="阻塞",Z889&lt;&gt;"",AA889&lt;&gt;"",AB889="是")),"已有排期字段缺少机台",IF(AND(X889&lt;&gt;"",Y889="待排"),"已填机台但状态为待排",IF(AND(Y889="生产中",AB889&lt;&gt;"是"),"需确认：生产中未锁定","可导入"))))))</x:f>
      </x:c>
    </x:row>
    <x:row r="890" ht="22" customHeight="1">
      <x:c r="A890" s="186" t="str">
        <x:f>IF(B890="","",ROW()-5)</x:f>
      </x:c>
      <x:c r="B890" s="196"/>
      <x:c r="C890" s="198"/>
      <x:c r="D890" s="196"/>
      <x:c r="E890" s="188"/>
      <x:c r="F890" s="198"/>
      <x:c r="G890" s="202"/>
      <x:c r="H890" s="204"/>
      <x:c r="I890" s="206" t="str">
        <x:f>IF(G890="","",MAX(G890-H890,0))</x:f>
      </x:c>
      <x:c r="J890" s="210"/>
      <x:c r="K890" s="190"/>
      <x:c r="L890" s="208"/>
      <x:c r="M890" s="208"/>
      <x:c r="N890" s="208"/>
      <x:c r="O890" s="208"/>
      <x:c r="P890" s="190"/>
      <x:c r="Q890" s="190"/>
      <x:c r="R890" s="190"/>
      <x:c r="S890" s="190"/>
      <x:c r="T890" s="190"/>
      <x:c r="U890" s="190"/>
      <x:c r="V890" s="212"/>
      <x:c r="W890" s="212"/>
      <x:c r="X890" s="200"/>
      <x:c r="Y890" s="192"/>
      <x:c r="Z890" s="214"/>
      <x:c r="AA890" s="214"/>
      <x:c r="AB890" s="192"/>
      <x:c r="AC890" s="194"/>
      <x:c r="AD890" s="186" t="str">
        <x:f>IF(COUNTA(B890:H890)+COUNTA(J890:AC890)=0,"",IF(OR(B890="",D890="",E890="",G890="",J890=""),"缺少必填项",IF(H890&gt;G890,"完成数大于订单数",IF(AND(X890="",OR(Y890="排队",Y890="生产中",Y890="阻塞",Z890&lt;&gt;"",AA890&lt;&gt;"",AB890="是")),"已有排期字段缺少机台",IF(AND(X890&lt;&gt;"",Y890="待排"),"已填机台但状态为待排",IF(AND(Y890="生产中",AB890&lt;&gt;"是"),"需确认：生产中未锁定","可导入"))))))</x:f>
      </x:c>
    </x:row>
    <x:row r="891" ht="22" customHeight="1">
      <x:c r="A891" s="186" t="str">
        <x:f>IF(B891="","",ROW()-5)</x:f>
      </x:c>
      <x:c r="B891" s="196"/>
      <x:c r="C891" s="198"/>
      <x:c r="D891" s="196"/>
      <x:c r="E891" s="188"/>
      <x:c r="F891" s="198"/>
      <x:c r="G891" s="202"/>
      <x:c r="H891" s="204"/>
      <x:c r="I891" s="206" t="str">
        <x:f>IF(G891="","",MAX(G891-H891,0))</x:f>
      </x:c>
      <x:c r="J891" s="210"/>
      <x:c r="K891" s="190"/>
      <x:c r="L891" s="208"/>
      <x:c r="M891" s="208"/>
      <x:c r="N891" s="208"/>
      <x:c r="O891" s="208"/>
      <x:c r="P891" s="190"/>
      <x:c r="Q891" s="190"/>
      <x:c r="R891" s="190"/>
      <x:c r="S891" s="190"/>
      <x:c r="T891" s="190"/>
      <x:c r="U891" s="190"/>
      <x:c r="V891" s="212"/>
      <x:c r="W891" s="212"/>
      <x:c r="X891" s="200"/>
      <x:c r="Y891" s="192"/>
      <x:c r="Z891" s="214"/>
      <x:c r="AA891" s="214"/>
      <x:c r="AB891" s="192"/>
      <x:c r="AC891" s="194"/>
      <x:c r="AD891" s="186" t="str">
        <x:f>IF(COUNTA(B891:H891)+COUNTA(J891:AC891)=0,"",IF(OR(B891="",D891="",E891="",G891="",J891=""),"缺少必填项",IF(H891&gt;G891,"完成数大于订单数",IF(AND(X891="",OR(Y891="排队",Y891="生产中",Y891="阻塞",Z891&lt;&gt;"",AA891&lt;&gt;"",AB891="是")),"已有排期字段缺少机台",IF(AND(X891&lt;&gt;"",Y891="待排"),"已填机台但状态为待排",IF(AND(Y891="生产中",AB891&lt;&gt;"是"),"需确认：生产中未锁定","可导入"))))))</x:f>
      </x:c>
    </x:row>
    <x:row r="892" ht="22" customHeight="1">
      <x:c r="A892" s="186" t="str">
        <x:f>IF(B892="","",ROW()-5)</x:f>
      </x:c>
      <x:c r="B892" s="196"/>
      <x:c r="C892" s="198"/>
      <x:c r="D892" s="196"/>
      <x:c r="E892" s="188"/>
      <x:c r="F892" s="198"/>
      <x:c r="G892" s="202"/>
      <x:c r="H892" s="204"/>
      <x:c r="I892" s="206" t="str">
        <x:f>IF(G892="","",MAX(G892-H892,0))</x:f>
      </x:c>
      <x:c r="J892" s="210"/>
      <x:c r="K892" s="190"/>
      <x:c r="L892" s="208"/>
      <x:c r="M892" s="208"/>
      <x:c r="N892" s="208"/>
      <x:c r="O892" s="208"/>
      <x:c r="P892" s="190"/>
      <x:c r="Q892" s="190"/>
      <x:c r="R892" s="190"/>
      <x:c r="S892" s="190"/>
      <x:c r="T892" s="190"/>
      <x:c r="U892" s="190"/>
      <x:c r="V892" s="212"/>
      <x:c r="W892" s="212"/>
      <x:c r="X892" s="200"/>
      <x:c r="Y892" s="192"/>
      <x:c r="Z892" s="214"/>
      <x:c r="AA892" s="214"/>
      <x:c r="AB892" s="192"/>
      <x:c r="AC892" s="194"/>
      <x:c r="AD892" s="186" t="str">
        <x:f>IF(COUNTA(B892:H892)+COUNTA(J892:AC892)=0,"",IF(OR(B892="",D892="",E892="",G892="",J892=""),"缺少必填项",IF(H892&gt;G892,"完成数大于订单数",IF(AND(X892="",OR(Y892="排队",Y892="生产中",Y892="阻塞",Z892&lt;&gt;"",AA892&lt;&gt;"",AB892="是")),"已有排期字段缺少机台",IF(AND(X892&lt;&gt;"",Y892="待排"),"已填机台但状态为待排",IF(AND(Y892="生产中",AB892&lt;&gt;"是"),"需确认：生产中未锁定","可导入"))))))</x:f>
      </x:c>
    </x:row>
    <x:row r="893" ht="22" customHeight="1">
      <x:c r="A893" s="186" t="str">
        <x:f>IF(B893="","",ROW()-5)</x:f>
      </x:c>
      <x:c r="B893" s="196"/>
      <x:c r="C893" s="198"/>
      <x:c r="D893" s="196"/>
      <x:c r="E893" s="188"/>
      <x:c r="F893" s="198"/>
      <x:c r="G893" s="202"/>
      <x:c r="H893" s="204"/>
      <x:c r="I893" s="206" t="str">
        <x:f>IF(G893="","",MAX(G893-H893,0))</x:f>
      </x:c>
      <x:c r="J893" s="210"/>
      <x:c r="K893" s="190"/>
      <x:c r="L893" s="208"/>
      <x:c r="M893" s="208"/>
      <x:c r="N893" s="208"/>
      <x:c r="O893" s="208"/>
      <x:c r="P893" s="190"/>
      <x:c r="Q893" s="190"/>
      <x:c r="R893" s="190"/>
      <x:c r="S893" s="190"/>
      <x:c r="T893" s="190"/>
      <x:c r="U893" s="190"/>
      <x:c r="V893" s="212"/>
      <x:c r="W893" s="212"/>
      <x:c r="X893" s="200"/>
      <x:c r="Y893" s="192"/>
      <x:c r="Z893" s="214"/>
      <x:c r="AA893" s="214"/>
      <x:c r="AB893" s="192"/>
      <x:c r="AC893" s="194"/>
      <x:c r="AD893" s="186" t="str">
        <x:f>IF(COUNTA(B893:H893)+COUNTA(J893:AC893)=0,"",IF(OR(B893="",D893="",E893="",G893="",J893=""),"缺少必填项",IF(H893&gt;G893,"完成数大于订单数",IF(AND(X893="",OR(Y893="排队",Y893="生产中",Y893="阻塞",Z893&lt;&gt;"",AA893&lt;&gt;"",AB893="是")),"已有排期字段缺少机台",IF(AND(X893&lt;&gt;"",Y893="待排"),"已填机台但状态为待排",IF(AND(Y893="生产中",AB893&lt;&gt;"是"),"需确认：生产中未锁定","可导入"))))))</x:f>
      </x:c>
    </x:row>
    <x:row r="894" ht="22" customHeight="1">
      <x:c r="A894" s="186" t="str">
        <x:f>IF(B894="","",ROW()-5)</x:f>
      </x:c>
      <x:c r="B894" s="196"/>
      <x:c r="C894" s="198"/>
      <x:c r="D894" s="196"/>
      <x:c r="E894" s="188"/>
      <x:c r="F894" s="198"/>
      <x:c r="G894" s="202"/>
      <x:c r="H894" s="204"/>
      <x:c r="I894" s="206" t="str">
        <x:f>IF(G894="","",MAX(G894-H894,0))</x:f>
      </x:c>
      <x:c r="J894" s="210"/>
      <x:c r="K894" s="190"/>
      <x:c r="L894" s="208"/>
      <x:c r="M894" s="208"/>
      <x:c r="N894" s="208"/>
      <x:c r="O894" s="208"/>
      <x:c r="P894" s="190"/>
      <x:c r="Q894" s="190"/>
      <x:c r="R894" s="190"/>
      <x:c r="S894" s="190"/>
      <x:c r="T894" s="190"/>
      <x:c r="U894" s="190"/>
      <x:c r="V894" s="212"/>
      <x:c r="W894" s="212"/>
      <x:c r="X894" s="200"/>
      <x:c r="Y894" s="192"/>
      <x:c r="Z894" s="214"/>
      <x:c r="AA894" s="214"/>
      <x:c r="AB894" s="192"/>
      <x:c r="AC894" s="194"/>
      <x:c r="AD894" s="186" t="str">
        <x:f>IF(COUNTA(B894:H894)+COUNTA(J894:AC894)=0,"",IF(OR(B894="",D894="",E894="",G894="",J894=""),"缺少必填项",IF(H894&gt;G894,"完成数大于订单数",IF(AND(X894="",OR(Y894="排队",Y894="生产中",Y894="阻塞",Z894&lt;&gt;"",AA894&lt;&gt;"",AB894="是")),"已有排期字段缺少机台",IF(AND(X894&lt;&gt;"",Y894="待排"),"已填机台但状态为待排",IF(AND(Y894="生产中",AB894&lt;&gt;"是"),"需确认：生产中未锁定","可导入"))))))</x:f>
      </x:c>
    </x:row>
    <x:row r="895" ht="22" customHeight="1">
      <x:c r="A895" s="186" t="str">
        <x:f>IF(B895="","",ROW()-5)</x:f>
      </x:c>
      <x:c r="B895" s="196"/>
      <x:c r="C895" s="198"/>
      <x:c r="D895" s="196"/>
      <x:c r="E895" s="188"/>
      <x:c r="F895" s="198"/>
      <x:c r="G895" s="202"/>
      <x:c r="H895" s="204"/>
      <x:c r="I895" s="206" t="str">
        <x:f>IF(G895="","",MAX(G895-H895,0))</x:f>
      </x:c>
      <x:c r="J895" s="210"/>
      <x:c r="K895" s="190"/>
      <x:c r="L895" s="208"/>
      <x:c r="M895" s="208"/>
      <x:c r="N895" s="208"/>
      <x:c r="O895" s="208"/>
      <x:c r="P895" s="190"/>
      <x:c r="Q895" s="190"/>
      <x:c r="R895" s="190"/>
      <x:c r="S895" s="190"/>
      <x:c r="T895" s="190"/>
      <x:c r="U895" s="190"/>
      <x:c r="V895" s="212"/>
      <x:c r="W895" s="212"/>
      <x:c r="X895" s="200"/>
      <x:c r="Y895" s="192"/>
      <x:c r="Z895" s="214"/>
      <x:c r="AA895" s="214"/>
      <x:c r="AB895" s="192"/>
      <x:c r="AC895" s="194"/>
      <x:c r="AD895" s="186" t="str">
        <x:f>IF(COUNTA(B895:H895)+COUNTA(J895:AC895)=0,"",IF(OR(B895="",D895="",E895="",G895="",J895=""),"缺少必填项",IF(H895&gt;G895,"完成数大于订单数",IF(AND(X895="",OR(Y895="排队",Y895="生产中",Y895="阻塞",Z895&lt;&gt;"",AA895&lt;&gt;"",AB895="是")),"已有排期字段缺少机台",IF(AND(X895&lt;&gt;"",Y895="待排"),"已填机台但状态为待排",IF(AND(Y895="生产中",AB895&lt;&gt;"是"),"需确认：生产中未锁定","可导入"))))))</x:f>
      </x:c>
    </x:row>
    <x:row r="896" ht="22" customHeight="1">
      <x:c r="A896" s="186" t="str">
        <x:f>IF(B896="","",ROW()-5)</x:f>
      </x:c>
      <x:c r="B896" s="196"/>
      <x:c r="C896" s="198"/>
      <x:c r="D896" s="196"/>
      <x:c r="E896" s="188"/>
      <x:c r="F896" s="198"/>
      <x:c r="G896" s="202"/>
      <x:c r="H896" s="204"/>
      <x:c r="I896" s="206" t="str">
        <x:f>IF(G896="","",MAX(G896-H896,0))</x:f>
      </x:c>
      <x:c r="J896" s="210"/>
      <x:c r="K896" s="190"/>
      <x:c r="L896" s="208"/>
      <x:c r="M896" s="208"/>
      <x:c r="N896" s="208"/>
      <x:c r="O896" s="208"/>
      <x:c r="P896" s="190"/>
      <x:c r="Q896" s="190"/>
      <x:c r="R896" s="190"/>
      <x:c r="S896" s="190"/>
      <x:c r="T896" s="190"/>
      <x:c r="U896" s="190"/>
      <x:c r="V896" s="212"/>
      <x:c r="W896" s="212"/>
      <x:c r="X896" s="200"/>
      <x:c r="Y896" s="192"/>
      <x:c r="Z896" s="214"/>
      <x:c r="AA896" s="214"/>
      <x:c r="AB896" s="192"/>
      <x:c r="AC896" s="194"/>
      <x:c r="AD896" s="186" t="str">
        <x:f>IF(COUNTA(B896:H896)+COUNTA(J896:AC896)=0,"",IF(OR(B896="",D896="",E896="",G896="",J896=""),"缺少必填项",IF(H896&gt;G896,"完成数大于订单数",IF(AND(X896="",OR(Y896="排队",Y896="生产中",Y896="阻塞",Z896&lt;&gt;"",AA896&lt;&gt;"",AB896="是")),"已有排期字段缺少机台",IF(AND(X896&lt;&gt;"",Y896="待排"),"已填机台但状态为待排",IF(AND(Y896="生产中",AB896&lt;&gt;"是"),"需确认：生产中未锁定","可导入"))))))</x:f>
      </x:c>
    </x:row>
    <x:row r="897" ht="22" customHeight="1">
      <x:c r="A897" s="186" t="str">
        <x:f>IF(B897="","",ROW()-5)</x:f>
      </x:c>
      <x:c r="B897" s="196"/>
      <x:c r="C897" s="198"/>
      <x:c r="D897" s="196"/>
      <x:c r="E897" s="188"/>
      <x:c r="F897" s="198"/>
      <x:c r="G897" s="202"/>
      <x:c r="H897" s="204"/>
      <x:c r="I897" s="206" t="str">
        <x:f>IF(G897="","",MAX(G897-H897,0))</x:f>
      </x:c>
      <x:c r="J897" s="210"/>
      <x:c r="K897" s="190"/>
      <x:c r="L897" s="208"/>
      <x:c r="M897" s="208"/>
      <x:c r="N897" s="208"/>
      <x:c r="O897" s="208"/>
      <x:c r="P897" s="190"/>
      <x:c r="Q897" s="190"/>
      <x:c r="R897" s="190"/>
      <x:c r="S897" s="190"/>
      <x:c r="T897" s="190"/>
      <x:c r="U897" s="190"/>
      <x:c r="V897" s="212"/>
      <x:c r="W897" s="212"/>
      <x:c r="X897" s="200"/>
      <x:c r="Y897" s="192"/>
      <x:c r="Z897" s="214"/>
      <x:c r="AA897" s="214"/>
      <x:c r="AB897" s="192"/>
      <x:c r="AC897" s="194"/>
      <x:c r="AD897" s="186" t="str">
        <x:f>IF(COUNTA(B897:H897)+COUNTA(J897:AC897)=0,"",IF(OR(B897="",D897="",E897="",G897="",J897=""),"缺少必填项",IF(H897&gt;G897,"完成数大于订单数",IF(AND(X897="",OR(Y897="排队",Y897="生产中",Y897="阻塞",Z897&lt;&gt;"",AA897&lt;&gt;"",AB897="是")),"已有排期字段缺少机台",IF(AND(X897&lt;&gt;"",Y897="待排"),"已填机台但状态为待排",IF(AND(Y897="生产中",AB897&lt;&gt;"是"),"需确认：生产中未锁定","可导入"))))))</x:f>
      </x:c>
    </x:row>
    <x:row r="898" ht="22" customHeight="1">
      <x:c r="A898" s="186" t="str">
        <x:f>IF(B898="","",ROW()-5)</x:f>
      </x:c>
      <x:c r="B898" s="196"/>
      <x:c r="C898" s="198"/>
      <x:c r="D898" s="196"/>
      <x:c r="E898" s="188"/>
      <x:c r="F898" s="198"/>
      <x:c r="G898" s="202"/>
      <x:c r="H898" s="204"/>
      <x:c r="I898" s="206" t="str">
        <x:f>IF(G898="","",MAX(G898-H898,0))</x:f>
      </x:c>
      <x:c r="J898" s="210"/>
      <x:c r="K898" s="190"/>
      <x:c r="L898" s="208"/>
      <x:c r="M898" s="208"/>
      <x:c r="N898" s="208"/>
      <x:c r="O898" s="208"/>
      <x:c r="P898" s="190"/>
      <x:c r="Q898" s="190"/>
      <x:c r="R898" s="190"/>
      <x:c r="S898" s="190"/>
      <x:c r="T898" s="190"/>
      <x:c r="U898" s="190"/>
      <x:c r="V898" s="212"/>
      <x:c r="W898" s="212"/>
      <x:c r="X898" s="200"/>
      <x:c r="Y898" s="192"/>
      <x:c r="Z898" s="214"/>
      <x:c r="AA898" s="214"/>
      <x:c r="AB898" s="192"/>
      <x:c r="AC898" s="194"/>
      <x:c r="AD898" s="186" t="str">
        <x:f>IF(COUNTA(B898:H898)+COUNTA(J898:AC898)=0,"",IF(OR(B898="",D898="",E898="",G898="",J898=""),"缺少必填项",IF(H898&gt;G898,"完成数大于订单数",IF(AND(X898="",OR(Y898="排队",Y898="生产中",Y898="阻塞",Z898&lt;&gt;"",AA898&lt;&gt;"",AB898="是")),"已有排期字段缺少机台",IF(AND(X898&lt;&gt;"",Y898="待排"),"已填机台但状态为待排",IF(AND(Y898="生产中",AB898&lt;&gt;"是"),"需确认：生产中未锁定","可导入"))))))</x:f>
      </x:c>
    </x:row>
    <x:row r="899" ht="22" customHeight="1">
      <x:c r="A899" s="186" t="str">
        <x:f>IF(B899="","",ROW()-5)</x:f>
      </x:c>
      <x:c r="B899" s="196"/>
      <x:c r="C899" s="198"/>
      <x:c r="D899" s="196"/>
      <x:c r="E899" s="188"/>
      <x:c r="F899" s="198"/>
      <x:c r="G899" s="202"/>
      <x:c r="H899" s="204"/>
      <x:c r="I899" s="206" t="str">
        <x:f>IF(G899="","",MAX(G899-H899,0))</x:f>
      </x:c>
      <x:c r="J899" s="210"/>
      <x:c r="K899" s="190"/>
      <x:c r="L899" s="208"/>
      <x:c r="M899" s="208"/>
      <x:c r="N899" s="208"/>
      <x:c r="O899" s="208"/>
      <x:c r="P899" s="190"/>
      <x:c r="Q899" s="190"/>
      <x:c r="R899" s="190"/>
      <x:c r="S899" s="190"/>
      <x:c r="T899" s="190"/>
      <x:c r="U899" s="190"/>
      <x:c r="V899" s="212"/>
      <x:c r="W899" s="212"/>
      <x:c r="X899" s="200"/>
      <x:c r="Y899" s="192"/>
      <x:c r="Z899" s="214"/>
      <x:c r="AA899" s="214"/>
      <x:c r="AB899" s="192"/>
      <x:c r="AC899" s="194"/>
      <x:c r="AD899" s="186" t="str">
        <x:f>IF(COUNTA(B899:H899)+COUNTA(J899:AC899)=0,"",IF(OR(B899="",D899="",E899="",G899="",J899=""),"缺少必填项",IF(H899&gt;G899,"完成数大于订单数",IF(AND(X899="",OR(Y899="排队",Y899="生产中",Y899="阻塞",Z899&lt;&gt;"",AA899&lt;&gt;"",AB899="是")),"已有排期字段缺少机台",IF(AND(X899&lt;&gt;"",Y899="待排"),"已填机台但状态为待排",IF(AND(Y899="生产中",AB899&lt;&gt;"是"),"需确认：生产中未锁定","可导入"))))))</x:f>
      </x:c>
    </x:row>
    <x:row r="900" ht="22" customHeight="1">
      <x:c r="A900" s="186" t="str">
        <x:f>IF(B900="","",ROW()-5)</x:f>
      </x:c>
      <x:c r="B900" s="196"/>
      <x:c r="C900" s="198"/>
      <x:c r="D900" s="196"/>
      <x:c r="E900" s="188"/>
      <x:c r="F900" s="198"/>
      <x:c r="G900" s="202"/>
      <x:c r="H900" s="204"/>
      <x:c r="I900" s="206" t="str">
        <x:f>IF(G900="","",MAX(G900-H900,0))</x:f>
      </x:c>
      <x:c r="J900" s="210"/>
      <x:c r="K900" s="190"/>
      <x:c r="L900" s="208"/>
      <x:c r="M900" s="208"/>
      <x:c r="N900" s="208"/>
      <x:c r="O900" s="208"/>
      <x:c r="P900" s="190"/>
      <x:c r="Q900" s="190"/>
      <x:c r="R900" s="190"/>
      <x:c r="S900" s="190"/>
      <x:c r="T900" s="190"/>
      <x:c r="U900" s="190"/>
      <x:c r="V900" s="212"/>
      <x:c r="W900" s="212"/>
      <x:c r="X900" s="200"/>
      <x:c r="Y900" s="192"/>
      <x:c r="Z900" s="214"/>
      <x:c r="AA900" s="214"/>
      <x:c r="AB900" s="192"/>
      <x:c r="AC900" s="194"/>
      <x:c r="AD900" s="186" t="str">
        <x:f>IF(COUNTA(B900:H900)+COUNTA(J900:AC900)=0,"",IF(OR(B900="",D900="",E900="",G900="",J900=""),"缺少必填项",IF(H900&gt;G900,"完成数大于订单数",IF(AND(X900="",OR(Y900="排队",Y900="生产中",Y900="阻塞",Z900&lt;&gt;"",AA900&lt;&gt;"",AB900="是")),"已有排期字段缺少机台",IF(AND(X900&lt;&gt;"",Y900="待排"),"已填机台但状态为待排",IF(AND(Y900="生产中",AB900&lt;&gt;"是"),"需确认：生产中未锁定","可导入"))))))</x:f>
      </x:c>
    </x:row>
    <x:row r="901" ht="22" customHeight="1">
      <x:c r="A901" s="186" t="str">
        <x:f>IF(B901="","",ROW()-5)</x:f>
      </x:c>
      <x:c r="B901" s="196"/>
      <x:c r="C901" s="198"/>
      <x:c r="D901" s="196"/>
      <x:c r="E901" s="188"/>
      <x:c r="F901" s="198"/>
      <x:c r="G901" s="202"/>
      <x:c r="H901" s="204"/>
      <x:c r="I901" s="206" t="str">
        <x:f>IF(G901="","",MAX(G901-H901,0))</x:f>
      </x:c>
      <x:c r="J901" s="210"/>
      <x:c r="K901" s="190"/>
      <x:c r="L901" s="208"/>
      <x:c r="M901" s="208"/>
      <x:c r="N901" s="208"/>
      <x:c r="O901" s="208"/>
      <x:c r="P901" s="190"/>
      <x:c r="Q901" s="190"/>
      <x:c r="R901" s="190"/>
      <x:c r="S901" s="190"/>
      <x:c r="T901" s="190"/>
      <x:c r="U901" s="190"/>
      <x:c r="V901" s="212"/>
      <x:c r="W901" s="212"/>
      <x:c r="X901" s="200"/>
      <x:c r="Y901" s="192"/>
      <x:c r="Z901" s="214"/>
      <x:c r="AA901" s="214"/>
      <x:c r="AB901" s="192"/>
      <x:c r="AC901" s="194"/>
      <x:c r="AD901" s="186" t="str">
        <x:f>IF(COUNTA(B901:H901)+COUNTA(J901:AC901)=0,"",IF(OR(B901="",D901="",E901="",G901="",J901=""),"缺少必填项",IF(H901&gt;G901,"完成数大于订单数",IF(AND(X901="",OR(Y901="排队",Y901="生产中",Y901="阻塞",Z901&lt;&gt;"",AA901&lt;&gt;"",AB901="是")),"已有排期字段缺少机台",IF(AND(X901&lt;&gt;"",Y901="待排"),"已填机台但状态为待排",IF(AND(Y901="生产中",AB901&lt;&gt;"是"),"需确认：生产中未锁定","可导入"))))))</x:f>
      </x:c>
    </x:row>
    <x:row r="902" ht="22" customHeight="1">
      <x:c r="A902" s="186" t="str">
        <x:f>IF(B902="","",ROW()-5)</x:f>
      </x:c>
      <x:c r="B902" s="196"/>
      <x:c r="C902" s="198"/>
      <x:c r="D902" s="196"/>
      <x:c r="E902" s="188"/>
      <x:c r="F902" s="198"/>
      <x:c r="G902" s="202"/>
      <x:c r="H902" s="204"/>
      <x:c r="I902" s="206" t="str">
        <x:f>IF(G902="","",MAX(G902-H902,0))</x:f>
      </x:c>
      <x:c r="J902" s="210"/>
      <x:c r="K902" s="190"/>
      <x:c r="L902" s="208"/>
      <x:c r="M902" s="208"/>
      <x:c r="N902" s="208"/>
      <x:c r="O902" s="208"/>
      <x:c r="P902" s="190"/>
      <x:c r="Q902" s="190"/>
      <x:c r="R902" s="190"/>
      <x:c r="S902" s="190"/>
      <x:c r="T902" s="190"/>
      <x:c r="U902" s="190"/>
      <x:c r="V902" s="212"/>
      <x:c r="W902" s="212"/>
      <x:c r="X902" s="200"/>
      <x:c r="Y902" s="192"/>
      <x:c r="Z902" s="214"/>
      <x:c r="AA902" s="214"/>
      <x:c r="AB902" s="192"/>
      <x:c r="AC902" s="194"/>
      <x:c r="AD902" s="186" t="str">
        <x:f>IF(COUNTA(B902:H902)+COUNTA(J902:AC902)=0,"",IF(OR(B902="",D902="",E902="",G902="",J902=""),"缺少必填项",IF(H902&gt;G902,"完成数大于订单数",IF(AND(X902="",OR(Y902="排队",Y902="生产中",Y902="阻塞",Z902&lt;&gt;"",AA902&lt;&gt;"",AB902="是")),"已有排期字段缺少机台",IF(AND(X902&lt;&gt;"",Y902="待排"),"已填机台但状态为待排",IF(AND(Y902="生产中",AB902&lt;&gt;"是"),"需确认：生产中未锁定","可导入"))))))</x:f>
      </x:c>
    </x:row>
    <x:row r="903" ht="22" customHeight="1">
      <x:c r="A903" s="186" t="str">
        <x:f>IF(B903="","",ROW()-5)</x:f>
      </x:c>
      <x:c r="B903" s="196"/>
      <x:c r="C903" s="198"/>
      <x:c r="D903" s="196"/>
      <x:c r="E903" s="188"/>
      <x:c r="F903" s="198"/>
      <x:c r="G903" s="202"/>
      <x:c r="H903" s="204"/>
      <x:c r="I903" s="206" t="str">
        <x:f>IF(G903="","",MAX(G903-H903,0))</x:f>
      </x:c>
      <x:c r="J903" s="210"/>
      <x:c r="K903" s="190"/>
      <x:c r="L903" s="208"/>
      <x:c r="M903" s="208"/>
      <x:c r="N903" s="208"/>
      <x:c r="O903" s="208"/>
      <x:c r="P903" s="190"/>
      <x:c r="Q903" s="190"/>
      <x:c r="R903" s="190"/>
      <x:c r="S903" s="190"/>
      <x:c r="T903" s="190"/>
      <x:c r="U903" s="190"/>
      <x:c r="V903" s="212"/>
      <x:c r="W903" s="212"/>
      <x:c r="X903" s="200"/>
      <x:c r="Y903" s="192"/>
      <x:c r="Z903" s="214"/>
      <x:c r="AA903" s="214"/>
      <x:c r="AB903" s="192"/>
      <x:c r="AC903" s="194"/>
      <x:c r="AD903" s="186" t="str">
        <x:f>IF(COUNTA(B903:H903)+COUNTA(J903:AC903)=0,"",IF(OR(B903="",D903="",E903="",G903="",J903=""),"缺少必填项",IF(H903&gt;G903,"完成数大于订单数",IF(AND(X903="",OR(Y903="排队",Y903="生产中",Y903="阻塞",Z903&lt;&gt;"",AA903&lt;&gt;"",AB903="是")),"已有排期字段缺少机台",IF(AND(X903&lt;&gt;"",Y903="待排"),"已填机台但状态为待排",IF(AND(Y903="生产中",AB903&lt;&gt;"是"),"需确认：生产中未锁定","可导入"))))))</x:f>
      </x:c>
    </x:row>
    <x:row r="904" ht="22" customHeight="1">
      <x:c r="A904" s="186" t="str">
        <x:f>IF(B904="","",ROW()-5)</x:f>
      </x:c>
      <x:c r="B904" s="196"/>
      <x:c r="C904" s="198"/>
      <x:c r="D904" s="196"/>
      <x:c r="E904" s="188"/>
      <x:c r="F904" s="198"/>
      <x:c r="G904" s="202"/>
      <x:c r="H904" s="204"/>
      <x:c r="I904" s="206" t="str">
        <x:f>IF(G904="","",MAX(G904-H904,0))</x:f>
      </x:c>
      <x:c r="J904" s="210"/>
      <x:c r="K904" s="190"/>
      <x:c r="L904" s="208"/>
      <x:c r="M904" s="208"/>
      <x:c r="N904" s="208"/>
      <x:c r="O904" s="208"/>
      <x:c r="P904" s="190"/>
      <x:c r="Q904" s="190"/>
      <x:c r="R904" s="190"/>
      <x:c r="S904" s="190"/>
      <x:c r="T904" s="190"/>
      <x:c r="U904" s="190"/>
      <x:c r="V904" s="212"/>
      <x:c r="W904" s="212"/>
      <x:c r="X904" s="200"/>
      <x:c r="Y904" s="192"/>
      <x:c r="Z904" s="214"/>
      <x:c r="AA904" s="214"/>
      <x:c r="AB904" s="192"/>
      <x:c r="AC904" s="194"/>
      <x:c r="AD904" s="186" t="str">
        <x:f>IF(COUNTA(B904:H904)+COUNTA(J904:AC904)=0,"",IF(OR(B904="",D904="",E904="",G904="",J904=""),"缺少必填项",IF(H904&gt;G904,"完成数大于订单数",IF(AND(X904="",OR(Y904="排队",Y904="生产中",Y904="阻塞",Z904&lt;&gt;"",AA904&lt;&gt;"",AB904="是")),"已有排期字段缺少机台",IF(AND(X904&lt;&gt;"",Y904="待排"),"已填机台但状态为待排",IF(AND(Y904="生产中",AB904&lt;&gt;"是"),"需确认：生产中未锁定","可导入"))))))</x:f>
      </x:c>
    </x:row>
    <x:row r="905" ht="22" customHeight="1">
      <x:c r="A905" s="186" t="str">
        <x:f>IF(B905="","",ROW()-5)</x:f>
      </x:c>
      <x:c r="B905" s="196"/>
      <x:c r="C905" s="198"/>
      <x:c r="D905" s="196"/>
      <x:c r="E905" s="188"/>
      <x:c r="F905" s="198"/>
      <x:c r="G905" s="202"/>
      <x:c r="H905" s="204"/>
      <x:c r="I905" s="206" t="str">
        <x:f>IF(G905="","",MAX(G905-H905,0))</x:f>
      </x:c>
      <x:c r="J905" s="210"/>
      <x:c r="K905" s="190"/>
      <x:c r="L905" s="208"/>
      <x:c r="M905" s="208"/>
      <x:c r="N905" s="208"/>
      <x:c r="O905" s="208"/>
      <x:c r="P905" s="190"/>
      <x:c r="Q905" s="190"/>
      <x:c r="R905" s="190"/>
      <x:c r="S905" s="190"/>
      <x:c r="T905" s="190"/>
      <x:c r="U905" s="190"/>
      <x:c r="V905" s="212"/>
      <x:c r="W905" s="212"/>
      <x:c r="X905" s="200"/>
      <x:c r="Y905" s="192"/>
      <x:c r="Z905" s="214"/>
      <x:c r="AA905" s="214"/>
      <x:c r="AB905" s="192"/>
      <x:c r="AC905" s="194"/>
      <x:c r="AD905" s="186" t="str">
        <x:f>IF(COUNTA(B905:H905)+COUNTA(J905:AC905)=0,"",IF(OR(B905="",D905="",E905="",G905="",J905=""),"缺少必填项",IF(H905&gt;G905,"完成数大于订单数",IF(AND(X905="",OR(Y905="排队",Y905="生产中",Y905="阻塞",Z905&lt;&gt;"",AA905&lt;&gt;"",AB905="是")),"已有排期字段缺少机台",IF(AND(X905&lt;&gt;"",Y905="待排"),"已填机台但状态为待排",IF(AND(Y905="生产中",AB905&lt;&gt;"是"),"需确认：生产中未锁定","可导入"))))))</x:f>
      </x:c>
    </x:row>
    <x:row r="906" ht="22" customHeight="1">
      <x:c r="A906" s="186" t="str">
        <x:f>IF(B906="","",ROW()-5)</x:f>
      </x:c>
      <x:c r="B906" s="196"/>
      <x:c r="C906" s="198"/>
      <x:c r="D906" s="196"/>
      <x:c r="E906" s="188"/>
      <x:c r="F906" s="198"/>
      <x:c r="G906" s="202"/>
      <x:c r="H906" s="204"/>
      <x:c r="I906" s="206" t="str">
        <x:f>IF(G906="","",MAX(G906-H906,0))</x:f>
      </x:c>
      <x:c r="J906" s="210"/>
      <x:c r="K906" s="190"/>
      <x:c r="L906" s="208"/>
      <x:c r="M906" s="208"/>
      <x:c r="N906" s="208"/>
      <x:c r="O906" s="208"/>
      <x:c r="P906" s="190"/>
      <x:c r="Q906" s="190"/>
      <x:c r="R906" s="190"/>
      <x:c r="S906" s="190"/>
      <x:c r="T906" s="190"/>
      <x:c r="U906" s="190"/>
      <x:c r="V906" s="212"/>
      <x:c r="W906" s="212"/>
      <x:c r="X906" s="200"/>
      <x:c r="Y906" s="192"/>
      <x:c r="Z906" s="214"/>
      <x:c r="AA906" s="214"/>
      <x:c r="AB906" s="192"/>
      <x:c r="AC906" s="194"/>
      <x:c r="AD906" s="186" t="str">
        <x:f>IF(COUNTA(B906:H906)+COUNTA(J906:AC906)=0,"",IF(OR(B906="",D906="",E906="",G906="",J906=""),"缺少必填项",IF(H906&gt;G906,"完成数大于订单数",IF(AND(X906="",OR(Y906="排队",Y906="生产中",Y906="阻塞",Z906&lt;&gt;"",AA906&lt;&gt;"",AB906="是")),"已有排期字段缺少机台",IF(AND(X906&lt;&gt;"",Y906="待排"),"已填机台但状态为待排",IF(AND(Y906="生产中",AB906&lt;&gt;"是"),"需确认：生产中未锁定","可导入"))))))</x:f>
      </x:c>
    </x:row>
    <x:row r="907" ht="22" customHeight="1">
      <x:c r="A907" s="186" t="str">
        <x:f>IF(B907="","",ROW()-5)</x:f>
      </x:c>
      <x:c r="B907" s="196"/>
      <x:c r="C907" s="198"/>
      <x:c r="D907" s="196"/>
      <x:c r="E907" s="188"/>
      <x:c r="F907" s="198"/>
      <x:c r="G907" s="202"/>
      <x:c r="H907" s="204"/>
      <x:c r="I907" s="206" t="str">
        <x:f>IF(G907="","",MAX(G907-H907,0))</x:f>
      </x:c>
      <x:c r="J907" s="210"/>
      <x:c r="K907" s="190"/>
      <x:c r="L907" s="208"/>
      <x:c r="M907" s="208"/>
      <x:c r="N907" s="208"/>
      <x:c r="O907" s="208"/>
      <x:c r="P907" s="190"/>
      <x:c r="Q907" s="190"/>
      <x:c r="R907" s="190"/>
      <x:c r="S907" s="190"/>
      <x:c r="T907" s="190"/>
      <x:c r="U907" s="190"/>
      <x:c r="V907" s="212"/>
      <x:c r="W907" s="212"/>
      <x:c r="X907" s="200"/>
      <x:c r="Y907" s="192"/>
      <x:c r="Z907" s="214"/>
      <x:c r="AA907" s="214"/>
      <x:c r="AB907" s="192"/>
      <x:c r="AC907" s="194"/>
      <x:c r="AD907" s="186" t="str">
        <x:f>IF(COUNTA(B907:H907)+COUNTA(J907:AC907)=0,"",IF(OR(B907="",D907="",E907="",G907="",J907=""),"缺少必填项",IF(H907&gt;G907,"完成数大于订单数",IF(AND(X907="",OR(Y907="排队",Y907="生产中",Y907="阻塞",Z907&lt;&gt;"",AA907&lt;&gt;"",AB907="是")),"已有排期字段缺少机台",IF(AND(X907&lt;&gt;"",Y907="待排"),"已填机台但状态为待排",IF(AND(Y907="生产中",AB907&lt;&gt;"是"),"需确认：生产中未锁定","可导入"))))))</x:f>
      </x:c>
    </x:row>
    <x:row r="908" ht="22" customHeight="1">
      <x:c r="A908" s="186" t="str">
        <x:f>IF(B908="","",ROW()-5)</x:f>
      </x:c>
      <x:c r="B908" s="196"/>
      <x:c r="C908" s="198"/>
      <x:c r="D908" s="196"/>
      <x:c r="E908" s="188"/>
      <x:c r="F908" s="198"/>
      <x:c r="G908" s="202"/>
      <x:c r="H908" s="204"/>
      <x:c r="I908" s="206" t="str">
        <x:f>IF(G908="","",MAX(G908-H908,0))</x:f>
      </x:c>
      <x:c r="J908" s="210"/>
      <x:c r="K908" s="190"/>
      <x:c r="L908" s="208"/>
      <x:c r="M908" s="208"/>
      <x:c r="N908" s="208"/>
      <x:c r="O908" s="208"/>
      <x:c r="P908" s="190"/>
      <x:c r="Q908" s="190"/>
      <x:c r="R908" s="190"/>
      <x:c r="S908" s="190"/>
      <x:c r="T908" s="190"/>
      <x:c r="U908" s="190"/>
      <x:c r="V908" s="212"/>
      <x:c r="W908" s="212"/>
      <x:c r="X908" s="200"/>
      <x:c r="Y908" s="192"/>
      <x:c r="Z908" s="214"/>
      <x:c r="AA908" s="214"/>
      <x:c r="AB908" s="192"/>
      <x:c r="AC908" s="194"/>
      <x:c r="AD908" s="186" t="str">
        <x:f>IF(COUNTA(B908:H908)+COUNTA(J908:AC908)=0,"",IF(OR(B908="",D908="",E908="",G908="",J908=""),"缺少必填项",IF(H908&gt;G908,"完成数大于订单数",IF(AND(X908="",OR(Y908="排队",Y908="生产中",Y908="阻塞",Z908&lt;&gt;"",AA908&lt;&gt;"",AB908="是")),"已有排期字段缺少机台",IF(AND(X908&lt;&gt;"",Y908="待排"),"已填机台但状态为待排",IF(AND(Y908="生产中",AB908&lt;&gt;"是"),"需确认：生产中未锁定","可导入"))))))</x:f>
      </x:c>
    </x:row>
    <x:row r="909" ht="22" customHeight="1">
      <x:c r="A909" s="186" t="str">
        <x:f>IF(B909="","",ROW()-5)</x:f>
      </x:c>
      <x:c r="B909" s="196"/>
      <x:c r="C909" s="198"/>
      <x:c r="D909" s="196"/>
      <x:c r="E909" s="188"/>
      <x:c r="F909" s="198"/>
      <x:c r="G909" s="202"/>
      <x:c r="H909" s="204"/>
      <x:c r="I909" s="206" t="str">
        <x:f>IF(G909="","",MAX(G909-H909,0))</x:f>
      </x:c>
      <x:c r="J909" s="210"/>
      <x:c r="K909" s="190"/>
      <x:c r="L909" s="208"/>
      <x:c r="M909" s="208"/>
      <x:c r="N909" s="208"/>
      <x:c r="O909" s="208"/>
      <x:c r="P909" s="190"/>
      <x:c r="Q909" s="190"/>
      <x:c r="R909" s="190"/>
      <x:c r="S909" s="190"/>
      <x:c r="T909" s="190"/>
      <x:c r="U909" s="190"/>
      <x:c r="V909" s="212"/>
      <x:c r="W909" s="212"/>
      <x:c r="X909" s="200"/>
      <x:c r="Y909" s="192"/>
      <x:c r="Z909" s="214"/>
      <x:c r="AA909" s="214"/>
      <x:c r="AB909" s="192"/>
      <x:c r="AC909" s="194"/>
      <x:c r="AD909" s="186" t="str">
        <x:f>IF(COUNTA(B909:H909)+COUNTA(J909:AC909)=0,"",IF(OR(B909="",D909="",E909="",G909="",J909=""),"缺少必填项",IF(H909&gt;G909,"完成数大于订单数",IF(AND(X909="",OR(Y909="排队",Y909="生产中",Y909="阻塞",Z909&lt;&gt;"",AA909&lt;&gt;"",AB909="是")),"已有排期字段缺少机台",IF(AND(X909&lt;&gt;"",Y909="待排"),"已填机台但状态为待排",IF(AND(Y909="生产中",AB909&lt;&gt;"是"),"需确认：生产中未锁定","可导入"))))))</x:f>
      </x:c>
    </x:row>
    <x:row r="910" ht="22" customHeight="1">
      <x:c r="A910" s="186" t="str">
        <x:f>IF(B910="","",ROW()-5)</x:f>
      </x:c>
      <x:c r="B910" s="196"/>
      <x:c r="C910" s="198"/>
      <x:c r="D910" s="196"/>
      <x:c r="E910" s="188"/>
      <x:c r="F910" s="198"/>
      <x:c r="G910" s="202"/>
      <x:c r="H910" s="204"/>
      <x:c r="I910" s="206" t="str">
        <x:f>IF(G910="","",MAX(G910-H910,0))</x:f>
      </x:c>
      <x:c r="J910" s="210"/>
      <x:c r="K910" s="190"/>
      <x:c r="L910" s="208"/>
      <x:c r="M910" s="208"/>
      <x:c r="N910" s="208"/>
      <x:c r="O910" s="208"/>
      <x:c r="P910" s="190"/>
      <x:c r="Q910" s="190"/>
      <x:c r="R910" s="190"/>
      <x:c r="S910" s="190"/>
      <x:c r="T910" s="190"/>
      <x:c r="U910" s="190"/>
      <x:c r="V910" s="212"/>
      <x:c r="W910" s="212"/>
      <x:c r="X910" s="200"/>
      <x:c r="Y910" s="192"/>
      <x:c r="Z910" s="214"/>
      <x:c r="AA910" s="214"/>
      <x:c r="AB910" s="192"/>
      <x:c r="AC910" s="194"/>
      <x:c r="AD910" s="186" t="str">
        <x:f>IF(COUNTA(B910:H910)+COUNTA(J910:AC910)=0,"",IF(OR(B910="",D910="",E910="",G910="",J910=""),"缺少必填项",IF(H910&gt;G910,"完成数大于订单数",IF(AND(X910="",OR(Y910="排队",Y910="生产中",Y910="阻塞",Z910&lt;&gt;"",AA910&lt;&gt;"",AB910="是")),"已有排期字段缺少机台",IF(AND(X910&lt;&gt;"",Y910="待排"),"已填机台但状态为待排",IF(AND(Y910="生产中",AB910&lt;&gt;"是"),"需确认：生产中未锁定","可导入"))))))</x:f>
      </x:c>
    </x:row>
    <x:row r="911" ht="22" customHeight="1">
      <x:c r="A911" s="186" t="str">
        <x:f>IF(B911="","",ROW()-5)</x:f>
      </x:c>
      <x:c r="B911" s="196"/>
      <x:c r="C911" s="198"/>
      <x:c r="D911" s="196"/>
      <x:c r="E911" s="188"/>
      <x:c r="F911" s="198"/>
      <x:c r="G911" s="202"/>
      <x:c r="H911" s="204"/>
      <x:c r="I911" s="206" t="str">
        <x:f>IF(G911="","",MAX(G911-H911,0))</x:f>
      </x:c>
      <x:c r="J911" s="210"/>
      <x:c r="K911" s="190"/>
      <x:c r="L911" s="208"/>
      <x:c r="M911" s="208"/>
      <x:c r="N911" s="208"/>
      <x:c r="O911" s="208"/>
      <x:c r="P911" s="190"/>
      <x:c r="Q911" s="190"/>
      <x:c r="R911" s="190"/>
      <x:c r="S911" s="190"/>
      <x:c r="T911" s="190"/>
      <x:c r="U911" s="190"/>
      <x:c r="V911" s="212"/>
      <x:c r="W911" s="212"/>
      <x:c r="X911" s="200"/>
      <x:c r="Y911" s="192"/>
      <x:c r="Z911" s="214"/>
      <x:c r="AA911" s="214"/>
      <x:c r="AB911" s="192"/>
      <x:c r="AC911" s="194"/>
      <x:c r="AD911" s="186" t="str">
        <x:f>IF(COUNTA(B911:H911)+COUNTA(J911:AC911)=0,"",IF(OR(B911="",D911="",E911="",G911="",J911=""),"缺少必填项",IF(H911&gt;G911,"完成数大于订单数",IF(AND(X911="",OR(Y911="排队",Y911="生产中",Y911="阻塞",Z911&lt;&gt;"",AA911&lt;&gt;"",AB911="是")),"已有排期字段缺少机台",IF(AND(X911&lt;&gt;"",Y911="待排"),"已填机台但状态为待排",IF(AND(Y911="生产中",AB911&lt;&gt;"是"),"需确认：生产中未锁定","可导入"))))))</x:f>
      </x:c>
    </x:row>
    <x:row r="912" ht="22" customHeight="1">
      <x:c r="A912" s="186" t="str">
        <x:f>IF(B912="","",ROW()-5)</x:f>
      </x:c>
      <x:c r="B912" s="196"/>
      <x:c r="C912" s="198"/>
      <x:c r="D912" s="196"/>
      <x:c r="E912" s="188"/>
      <x:c r="F912" s="198"/>
      <x:c r="G912" s="202"/>
      <x:c r="H912" s="204"/>
      <x:c r="I912" s="206" t="str">
        <x:f>IF(G912="","",MAX(G912-H912,0))</x:f>
      </x:c>
      <x:c r="J912" s="210"/>
      <x:c r="K912" s="190"/>
      <x:c r="L912" s="208"/>
      <x:c r="M912" s="208"/>
      <x:c r="N912" s="208"/>
      <x:c r="O912" s="208"/>
      <x:c r="P912" s="190"/>
      <x:c r="Q912" s="190"/>
      <x:c r="R912" s="190"/>
      <x:c r="S912" s="190"/>
      <x:c r="T912" s="190"/>
      <x:c r="U912" s="190"/>
      <x:c r="V912" s="212"/>
      <x:c r="W912" s="212"/>
      <x:c r="X912" s="200"/>
      <x:c r="Y912" s="192"/>
      <x:c r="Z912" s="214"/>
      <x:c r="AA912" s="214"/>
      <x:c r="AB912" s="192"/>
      <x:c r="AC912" s="194"/>
      <x:c r="AD912" s="186" t="str">
        <x:f>IF(COUNTA(B912:H912)+COUNTA(J912:AC912)=0,"",IF(OR(B912="",D912="",E912="",G912="",J912=""),"缺少必填项",IF(H912&gt;G912,"完成数大于订单数",IF(AND(X912="",OR(Y912="排队",Y912="生产中",Y912="阻塞",Z912&lt;&gt;"",AA912&lt;&gt;"",AB912="是")),"已有排期字段缺少机台",IF(AND(X912&lt;&gt;"",Y912="待排"),"已填机台但状态为待排",IF(AND(Y912="生产中",AB912&lt;&gt;"是"),"需确认：生产中未锁定","可导入"))))))</x:f>
      </x:c>
    </x:row>
    <x:row r="913" ht="22" customHeight="1">
      <x:c r="A913" s="186" t="str">
        <x:f>IF(B913="","",ROW()-5)</x:f>
      </x:c>
      <x:c r="B913" s="196"/>
      <x:c r="C913" s="198"/>
      <x:c r="D913" s="196"/>
      <x:c r="E913" s="188"/>
      <x:c r="F913" s="198"/>
      <x:c r="G913" s="202"/>
      <x:c r="H913" s="204"/>
      <x:c r="I913" s="206" t="str">
        <x:f>IF(G913="","",MAX(G913-H913,0))</x:f>
      </x:c>
      <x:c r="J913" s="210"/>
      <x:c r="K913" s="190"/>
      <x:c r="L913" s="208"/>
      <x:c r="M913" s="208"/>
      <x:c r="N913" s="208"/>
      <x:c r="O913" s="208"/>
      <x:c r="P913" s="190"/>
      <x:c r="Q913" s="190"/>
      <x:c r="R913" s="190"/>
      <x:c r="S913" s="190"/>
      <x:c r="T913" s="190"/>
      <x:c r="U913" s="190"/>
      <x:c r="V913" s="212"/>
      <x:c r="W913" s="212"/>
      <x:c r="X913" s="200"/>
      <x:c r="Y913" s="192"/>
      <x:c r="Z913" s="214"/>
      <x:c r="AA913" s="214"/>
      <x:c r="AB913" s="192"/>
      <x:c r="AC913" s="194"/>
      <x:c r="AD913" s="186" t="str">
        <x:f>IF(COUNTA(B913:H913)+COUNTA(J913:AC913)=0,"",IF(OR(B913="",D913="",E913="",G913="",J913=""),"缺少必填项",IF(H913&gt;G913,"完成数大于订单数",IF(AND(X913="",OR(Y913="排队",Y913="生产中",Y913="阻塞",Z913&lt;&gt;"",AA913&lt;&gt;"",AB913="是")),"已有排期字段缺少机台",IF(AND(X913&lt;&gt;"",Y913="待排"),"已填机台但状态为待排",IF(AND(Y913="生产中",AB913&lt;&gt;"是"),"需确认：生产中未锁定","可导入"))))))</x:f>
      </x:c>
    </x:row>
    <x:row r="914" ht="22" customHeight="1">
      <x:c r="A914" s="186" t="str">
        <x:f>IF(B914="","",ROW()-5)</x:f>
      </x:c>
      <x:c r="B914" s="196"/>
      <x:c r="C914" s="198"/>
      <x:c r="D914" s="196"/>
      <x:c r="E914" s="188"/>
      <x:c r="F914" s="198"/>
      <x:c r="G914" s="202"/>
      <x:c r="H914" s="204"/>
      <x:c r="I914" s="206" t="str">
        <x:f>IF(G914="","",MAX(G914-H914,0))</x:f>
      </x:c>
      <x:c r="J914" s="210"/>
      <x:c r="K914" s="190"/>
      <x:c r="L914" s="208"/>
      <x:c r="M914" s="208"/>
      <x:c r="N914" s="208"/>
      <x:c r="O914" s="208"/>
      <x:c r="P914" s="190"/>
      <x:c r="Q914" s="190"/>
      <x:c r="R914" s="190"/>
      <x:c r="S914" s="190"/>
      <x:c r="T914" s="190"/>
      <x:c r="U914" s="190"/>
      <x:c r="V914" s="212"/>
      <x:c r="W914" s="212"/>
      <x:c r="X914" s="200"/>
      <x:c r="Y914" s="192"/>
      <x:c r="Z914" s="214"/>
      <x:c r="AA914" s="214"/>
      <x:c r="AB914" s="192"/>
      <x:c r="AC914" s="194"/>
      <x:c r="AD914" s="186" t="str">
        <x:f>IF(COUNTA(B914:H914)+COUNTA(J914:AC914)=0,"",IF(OR(B914="",D914="",E914="",G914="",J914=""),"缺少必填项",IF(H914&gt;G914,"完成数大于订单数",IF(AND(X914="",OR(Y914="排队",Y914="生产中",Y914="阻塞",Z914&lt;&gt;"",AA914&lt;&gt;"",AB914="是")),"已有排期字段缺少机台",IF(AND(X914&lt;&gt;"",Y914="待排"),"已填机台但状态为待排",IF(AND(Y914="生产中",AB914&lt;&gt;"是"),"需确认：生产中未锁定","可导入"))))))</x:f>
      </x:c>
    </x:row>
    <x:row r="915" ht="22" customHeight="1">
      <x:c r="A915" s="186" t="str">
        <x:f>IF(B915="","",ROW()-5)</x:f>
      </x:c>
      <x:c r="B915" s="196"/>
      <x:c r="C915" s="198"/>
      <x:c r="D915" s="196"/>
      <x:c r="E915" s="188"/>
      <x:c r="F915" s="198"/>
      <x:c r="G915" s="202"/>
      <x:c r="H915" s="204"/>
      <x:c r="I915" s="206" t="str">
        <x:f>IF(G915="","",MAX(G915-H915,0))</x:f>
      </x:c>
      <x:c r="J915" s="210"/>
      <x:c r="K915" s="190"/>
      <x:c r="L915" s="208"/>
      <x:c r="M915" s="208"/>
      <x:c r="N915" s="208"/>
      <x:c r="O915" s="208"/>
      <x:c r="P915" s="190"/>
      <x:c r="Q915" s="190"/>
      <x:c r="R915" s="190"/>
      <x:c r="S915" s="190"/>
      <x:c r="T915" s="190"/>
      <x:c r="U915" s="190"/>
      <x:c r="V915" s="212"/>
      <x:c r="W915" s="212"/>
      <x:c r="X915" s="200"/>
      <x:c r="Y915" s="192"/>
      <x:c r="Z915" s="214"/>
      <x:c r="AA915" s="214"/>
      <x:c r="AB915" s="192"/>
      <x:c r="AC915" s="194"/>
      <x:c r="AD915" s="186" t="str">
        <x:f>IF(COUNTA(B915:H915)+COUNTA(J915:AC915)=0,"",IF(OR(B915="",D915="",E915="",G915="",J915=""),"缺少必填项",IF(H915&gt;G915,"完成数大于订单数",IF(AND(X915="",OR(Y915="排队",Y915="生产中",Y915="阻塞",Z915&lt;&gt;"",AA915&lt;&gt;"",AB915="是")),"已有排期字段缺少机台",IF(AND(X915&lt;&gt;"",Y915="待排"),"已填机台但状态为待排",IF(AND(Y915="生产中",AB915&lt;&gt;"是"),"需确认：生产中未锁定","可导入"))))))</x:f>
      </x:c>
    </x:row>
    <x:row r="916" ht="22" customHeight="1">
      <x:c r="A916" s="186" t="str">
        <x:f>IF(B916="","",ROW()-5)</x:f>
      </x:c>
      <x:c r="B916" s="196"/>
      <x:c r="C916" s="198"/>
      <x:c r="D916" s="196"/>
      <x:c r="E916" s="188"/>
      <x:c r="F916" s="198"/>
      <x:c r="G916" s="202"/>
      <x:c r="H916" s="204"/>
      <x:c r="I916" s="206" t="str">
        <x:f>IF(G916="","",MAX(G916-H916,0))</x:f>
      </x:c>
      <x:c r="J916" s="210"/>
      <x:c r="K916" s="190"/>
      <x:c r="L916" s="208"/>
      <x:c r="M916" s="208"/>
      <x:c r="N916" s="208"/>
      <x:c r="O916" s="208"/>
      <x:c r="P916" s="190"/>
      <x:c r="Q916" s="190"/>
      <x:c r="R916" s="190"/>
      <x:c r="S916" s="190"/>
      <x:c r="T916" s="190"/>
      <x:c r="U916" s="190"/>
      <x:c r="V916" s="212"/>
      <x:c r="W916" s="212"/>
      <x:c r="X916" s="200"/>
      <x:c r="Y916" s="192"/>
      <x:c r="Z916" s="214"/>
      <x:c r="AA916" s="214"/>
      <x:c r="AB916" s="192"/>
      <x:c r="AC916" s="194"/>
      <x:c r="AD916" s="186" t="str">
        <x:f>IF(COUNTA(B916:H916)+COUNTA(J916:AC916)=0,"",IF(OR(B916="",D916="",E916="",G916="",J916=""),"缺少必填项",IF(H916&gt;G916,"完成数大于订单数",IF(AND(X916="",OR(Y916="排队",Y916="生产中",Y916="阻塞",Z916&lt;&gt;"",AA916&lt;&gt;"",AB916="是")),"已有排期字段缺少机台",IF(AND(X916&lt;&gt;"",Y916="待排"),"已填机台但状态为待排",IF(AND(Y916="生产中",AB916&lt;&gt;"是"),"需确认：生产中未锁定","可导入"))))))</x:f>
      </x:c>
    </x:row>
    <x:row r="917" ht="22" customHeight="1">
      <x:c r="A917" s="186" t="str">
        <x:f>IF(B917="","",ROW()-5)</x:f>
      </x:c>
      <x:c r="B917" s="196"/>
      <x:c r="C917" s="198"/>
      <x:c r="D917" s="196"/>
      <x:c r="E917" s="188"/>
      <x:c r="F917" s="198"/>
      <x:c r="G917" s="202"/>
      <x:c r="H917" s="204"/>
      <x:c r="I917" s="206" t="str">
        <x:f>IF(G917="","",MAX(G917-H917,0))</x:f>
      </x:c>
      <x:c r="J917" s="210"/>
      <x:c r="K917" s="190"/>
      <x:c r="L917" s="208"/>
      <x:c r="M917" s="208"/>
      <x:c r="N917" s="208"/>
      <x:c r="O917" s="208"/>
      <x:c r="P917" s="190"/>
      <x:c r="Q917" s="190"/>
      <x:c r="R917" s="190"/>
      <x:c r="S917" s="190"/>
      <x:c r="T917" s="190"/>
      <x:c r="U917" s="190"/>
      <x:c r="V917" s="212"/>
      <x:c r="W917" s="212"/>
      <x:c r="X917" s="200"/>
      <x:c r="Y917" s="192"/>
      <x:c r="Z917" s="214"/>
      <x:c r="AA917" s="214"/>
      <x:c r="AB917" s="192"/>
      <x:c r="AC917" s="194"/>
      <x:c r="AD917" s="186" t="str">
        <x:f>IF(COUNTA(B917:H917)+COUNTA(J917:AC917)=0,"",IF(OR(B917="",D917="",E917="",G917="",J917=""),"缺少必填项",IF(H917&gt;G917,"完成数大于订单数",IF(AND(X917="",OR(Y917="排队",Y917="生产中",Y917="阻塞",Z917&lt;&gt;"",AA917&lt;&gt;"",AB917="是")),"已有排期字段缺少机台",IF(AND(X917&lt;&gt;"",Y917="待排"),"已填机台但状态为待排",IF(AND(Y917="生产中",AB917&lt;&gt;"是"),"需确认：生产中未锁定","可导入"))))))</x:f>
      </x:c>
    </x:row>
    <x:row r="918" ht="22" customHeight="1">
      <x:c r="A918" s="186" t="str">
        <x:f>IF(B918="","",ROW()-5)</x:f>
      </x:c>
      <x:c r="B918" s="196"/>
      <x:c r="C918" s="198"/>
      <x:c r="D918" s="196"/>
      <x:c r="E918" s="188"/>
      <x:c r="F918" s="198"/>
      <x:c r="G918" s="202"/>
      <x:c r="H918" s="204"/>
      <x:c r="I918" s="206" t="str">
        <x:f>IF(G918="","",MAX(G918-H918,0))</x:f>
      </x:c>
      <x:c r="J918" s="210"/>
      <x:c r="K918" s="190"/>
      <x:c r="L918" s="208"/>
      <x:c r="M918" s="208"/>
      <x:c r="N918" s="208"/>
      <x:c r="O918" s="208"/>
      <x:c r="P918" s="190"/>
      <x:c r="Q918" s="190"/>
      <x:c r="R918" s="190"/>
      <x:c r="S918" s="190"/>
      <x:c r="T918" s="190"/>
      <x:c r="U918" s="190"/>
      <x:c r="V918" s="212"/>
      <x:c r="W918" s="212"/>
      <x:c r="X918" s="200"/>
      <x:c r="Y918" s="192"/>
      <x:c r="Z918" s="214"/>
      <x:c r="AA918" s="214"/>
      <x:c r="AB918" s="192"/>
      <x:c r="AC918" s="194"/>
      <x:c r="AD918" s="186" t="str">
        <x:f>IF(COUNTA(B918:H918)+COUNTA(J918:AC918)=0,"",IF(OR(B918="",D918="",E918="",G918="",J918=""),"缺少必填项",IF(H918&gt;G918,"完成数大于订单数",IF(AND(X918="",OR(Y918="排队",Y918="生产中",Y918="阻塞",Z918&lt;&gt;"",AA918&lt;&gt;"",AB918="是")),"已有排期字段缺少机台",IF(AND(X918&lt;&gt;"",Y918="待排"),"已填机台但状态为待排",IF(AND(Y918="生产中",AB918&lt;&gt;"是"),"需确认：生产中未锁定","可导入"))))))</x:f>
      </x:c>
    </x:row>
    <x:row r="919" ht="22" customHeight="1">
      <x:c r="A919" s="186" t="str">
        <x:f>IF(B919="","",ROW()-5)</x:f>
      </x:c>
      <x:c r="B919" s="196"/>
      <x:c r="C919" s="198"/>
      <x:c r="D919" s="196"/>
      <x:c r="E919" s="188"/>
      <x:c r="F919" s="198"/>
      <x:c r="G919" s="202"/>
      <x:c r="H919" s="204"/>
      <x:c r="I919" s="206" t="str">
        <x:f>IF(G919="","",MAX(G919-H919,0))</x:f>
      </x:c>
      <x:c r="J919" s="210"/>
      <x:c r="K919" s="190"/>
      <x:c r="L919" s="208"/>
      <x:c r="M919" s="208"/>
      <x:c r="N919" s="208"/>
      <x:c r="O919" s="208"/>
      <x:c r="P919" s="190"/>
      <x:c r="Q919" s="190"/>
      <x:c r="R919" s="190"/>
      <x:c r="S919" s="190"/>
      <x:c r="T919" s="190"/>
      <x:c r="U919" s="190"/>
      <x:c r="V919" s="212"/>
      <x:c r="W919" s="212"/>
      <x:c r="X919" s="200"/>
      <x:c r="Y919" s="192"/>
      <x:c r="Z919" s="214"/>
      <x:c r="AA919" s="214"/>
      <x:c r="AB919" s="192"/>
      <x:c r="AC919" s="194"/>
      <x:c r="AD919" s="186" t="str">
        <x:f>IF(COUNTA(B919:H919)+COUNTA(J919:AC919)=0,"",IF(OR(B919="",D919="",E919="",G919="",J919=""),"缺少必填项",IF(H919&gt;G919,"完成数大于订单数",IF(AND(X919="",OR(Y919="排队",Y919="生产中",Y919="阻塞",Z919&lt;&gt;"",AA919&lt;&gt;"",AB919="是")),"已有排期字段缺少机台",IF(AND(X919&lt;&gt;"",Y919="待排"),"已填机台但状态为待排",IF(AND(Y919="生产中",AB919&lt;&gt;"是"),"需确认：生产中未锁定","可导入"))))))</x:f>
      </x:c>
    </x:row>
    <x:row r="920" ht="22" customHeight="1">
      <x:c r="A920" s="186" t="str">
        <x:f>IF(B920="","",ROW()-5)</x:f>
      </x:c>
      <x:c r="B920" s="196"/>
      <x:c r="C920" s="198"/>
      <x:c r="D920" s="196"/>
      <x:c r="E920" s="188"/>
      <x:c r="F920" s="198"/>
      <x:c r="G920" s="202"/>
      <x:c r="H920" s="204"/>
      <x:c r="I920" s="206" t="str">
        <x:f>IF(G920="","",MAX(G920-H920,0))</x:f>
      </x:c>
      <x:c r="J920" s="210"/>
      <x:c r="K920" s="190"/>
      <x:c r="L920" s="208"/>
      <x:c r="M920" s="208"/>
      <x:c r="N920" s="208"/>
      <x:c r="O920" s="208"/>
      <x:c r="P920" s="190"/>
      <x:c r="Q920" s="190"/>
      <x:c r="R920" s="190"/>
      <x:c r="S920" s="190"/>
      <x:c r="T920" s="190"/>
      <x:c r="U920" s="190"/>
      <x:c r="V920" s="212"/>
      <x:c r="W920" s="212"/>
      <x:c r="X920" s="200"/>
      <x:c r="Y920" s="192"/>
      <x:c r="Z920" s="214"/>
      <x:c r="AA920" s="214"/>
      <x:c r="AB920" s="192"/>
      <x:c r="AC920" s="194"/>
      <x:c r="AD920" s="186" t="str">
        <x:f>IF(COUNTA(B920:H920)+COUNTA(J920:AC920)=0,"",IF(OR(B920="",D920="",E920="",G920="",J920=""),"缺少必填项",IF(H920&gt;G920,"完成数大于订单数",IF(AND(X920="",OR(Y920="排队",Y920="生产中",Y920="阻塞",Z920&lt;&gt;"",AA920&lt;&gt;"",AB920="是")),"已有排期字段缺少机台",IF(AND(X920&lt;&gt;"",Y920="待排"),"已填机台但状态为待排",IF(AND(Y920="生产中",AB920&lt;&gt;"是"),"需确认：生产中未锁定","可导入"))))))</x:f>
      </x:c>
    </x:row>
    <x:row r="921" ht="22" customHeight="1">
      <x:c r="A921" s="186" t="str">
        <x:f>IF(B921="","",ROW()-5)</x:f>
      </x:c>
      <x:c r="B921" s="196"/>
      <x:c r="C921" s="198"/>
      <x:c r="D921" s="196"/>
      <x:c r="E921" s="188"/>
      <x:c r="F921" s="198"/>
      <x:c r="G921" s="202"/>
      <x:c r="H921" s="204"/>
      <x:c r="I921" s="206" t="str">
        <x:f>IF(G921="","",MAX(G921-H921,0))</x:f>
      </x:c>
      <x:c r="J921" s="210"/>
      <x:c r="K921" s="190"/>
      <x:c r="L921" s="208"/>
      <x:c r="M921" s="208"/>
      <x:c r="N921" s="208"/>
      <x:c r="O921" s="208"/>
      <x:c r="P921" s="190"/>
      <x:c r="Q921" s="190"/>
      <x:c r="R921" s="190"/>
      <x:c r="S921" s="190"/>
      <x:c r="T921" s="190"/>
      <x:c r="U921" s="190"/>
      <x:c r="V921" s="212"/>
      <x:c r="W921" s="212"/>
      <x:c r="X921" s="200"/>
      <x:c r="Y921" s="192"/>
      <x:c r="Z921" s="214"/>
      <x:c r="AA921" s="214"/>
      <x:c r="AB921" s="192"/>
      <x:c r="AC921" s="194"/>
      <x:c r="AD921" s="186" t="str">
        <x:f>IF(COUNTA(B921:H921)+COUNTA(J921:AC921)=0,"",IF(OR(B921="",D921="",E921="",G921="",J921=""),"缺少必填项",IF(H921&gt;G921,"完成数大于订单数",IF(AND(X921="",OR(Y921="排队",Y921="生产中",Y921="阻塞",Z921&lt;&gt;"",AA921&lt;&gt;"",AB921="是")),"已有排期字段缺少机台",IF(AND(X921&lt;&gt;"",Y921="待排"),"已填机台但状态为待排",IF(AND(Y921="生产中",AB921&lt;&gt;"是"),"需确认：生产中未锁定","可导入"))))))</x:f>
      </x:c>
    </x:row>
    <x:row r="922" ht="22" customHeight="1">
      <x:c r="A922" s="186" t="str">
        <x:f>IF(B922="","",ROW()-5)</x:f>
      </x:c>
      <x:c r="B922" s="196"/>
      <x:c r="C922" s="198"/>
      <x:c r="D922" s="196"/>
      <x:c r="E922" s="188"/>
      <x:c r="F922" s="198"/>
      <x:c r="G922" s="202"/>
      <x:c r="H922" s="204"/>
      <x:c r="I922" s="206" t="str">
        <x:f>IF(G922="","",MAX(G922-H922,0))</x:f>
      </x:c>
      <x:c r="J922" s="210"/>
      <x:c r="K922" s="190"/>
      <x:c r="L922" s="208"/>
      <x:c r="M922" s="208"/>
      <x:c r="N922" s="208"/>
      <x:c r="O922" s="208"/>
      <x:c r="P922" s="190"/>
      <x:c r="Q922" s="190"/>
      <x:c r="R922" s="190"/>
      <x:c r="S922" s="190"/>
      <x:c r="T922" s="190"/>
      <x:c r="U922" s="190"/>
      <x:c r="V922" s="212"/>
      <x:c r="W922" s="212"/>
      <x:c r="X922" s="200"/>
      <x:c r="Y922" s="192"/>
      <x:c r="Z922" s="214"/>
      <x:c r="AA922" s="214"/>
      <x:c r="AB922" s="192"/>
      <x:c r="AC922" s="194"/>
      <x:c r="AD922" s="186" t="str">
        <x:f>IF(COUNTA(B922:H922)+COUNTA(J922:AC922)=0,"",IF(OR(B922="",D922="",E922="",G922="",J922=""),"缺少必填项",IF(H922&gt;G922,"完成数大于订单数",IF(AND(X922="",OR(Y922="排队",Y922="生产中",Y922="阻塞",Z922&lt;&gt;"",AA922&lt;&gt;"",AB922="是")),"已有排期字段缺少机台",IF(AND(X922&lt;&gt;"",Y922="待排"),"已填机台但状态为待排",IF(AND(Y922="生产中",AB922&lt;&gt;"是"),"需确认：生产中未锁定","可导入"))))))</x:f>
      </x:c>
    </x:row>
    <x:row r="923" ht="22" customHeight="1">
      <x:c r="A923" s="186" t="str">
        <x:f>IF(B923="","",ROW()-5)</x:f>
      </x:c>
      <x:c r="B923" s="196"/>
      <x:c r="C923" s="198"/>
      <x:c r="D923" s="196"/>
      <x:c r="E923" s="188"/>
      <x:c r="F923" s="198"/>
      <x:c r="G923" s="202"/>
      <x:c r="H923" s="204"/>
      <x:c r="I923" s="206" t="str">
        <x:f>IF(G923="","",MAX(G923-H923,0))</x:f>
      </x:c>
      <x:c r="J923" s="210"/>
      <x:c r="K923" s="190"/>
      <x:c r="L923" s="208"/>
      <x:c r="M923" s="208"/>
      <x:c r="N923" s="208"/>
      <x:c r="O923" s="208"/>
      <x:c r="P923" s="190"/>
      <x:c r="Q923" s="190"/>
      <x:c r="R923" s="190"/>
      <x:c r="S923" s="190"/>
      <x:c r="T923" s="190"/>
      <x:c r="U923" s="190"/>
      <x:c r="V923" s="212"/>
      <x:c r="W923" s="212"/>
      <x:c r="X923" s="200"/>
      <x:c r="Y923" s="192"/>
      <x:c r="Z923" s="214"/>
      <x:c r="AA923" s="214"/>
      <x:c r="AB923" s="192"/>
      <x:c r="AC923" s="194"/>
      <x:c r="AD923" s="186" t="str">
        <x:f>IF(COUNTA(B923:H923)+COUNTA(J923:AC923)=0,"",IF(OR(B923="",D923="",E923="",G923="",J923=""),"缺少必填项",IF(H923&gt;G923,"完成数大于订单数",IF(AND(X923="",OR(Y923="排队",Y923="生产中",Y923="阻塞",Z923&lt;&gt;"",AA923&lt;&gt;"",AB923="是")),"已有排期字段缺少机台",IF(AND(X923&lt;&gt;"",Y923="待排"),"已填机台但状态为待排",IF(AND(Y923="生产中",AB923&lt;&gt;"是"),"需确认：生产中未锁定","可导入"))))))</x:f>
      </x:c>
    </x:row>
    <x:row r="924" ht="22" customHeight="1">
      <x:c r="A924" s="186" t="str">
        <x:f>IF(B924="","",ROW()-5)</x:f>
      </x:c>
      <x:c r="B924" s="196"/>
      <x:c r="C924" s="198"/>
      <x:c r="D924" s="196"/>
      <x:c r="E924" s="188"/>
      <x:c r="F924" s="198"/>
      <x:c r="G924" s="202"/>
      <x:c r="H924" s="204"/>
      <x:c r="I924" s="206" t="str">
        <x:f>IF(G924="","",MAX(G924-H924,0))</x:f>
      </x:c>
      <x:c r="J924" s="210"/>
      <x:c r="K924" s="190"/>
      <x:c r="L924" s="208"/>
      <x:c r="M924" s="208"/>
      <x:c r="N924" s="208"/>
      <x:c r="O924" s="208"/>
      <x:c r="P924" s="190"/>
      <x:c r="Q924" s="190"/>
      <x:c r="R924" s="190"/>
      <x:c r="S924" s="190"/>
      <x:c r="T924" s="190"/>
      <x:c r="U924" s="190"/>
      <x:c r="V924" s="212"/>
      <x:c r="W924" s="212"/>
      <x:c r="X924" s="200"/>
      <x:c r="Y924" s="192"/>
      <x:c r="Z924" s="214"/>
      <x:c r="AA924" s="214"/>
      <x:c r="AB924" s="192"/>
      <x:c r="AC924" s="194"/>
      <x:c r="AD924" s="186" t="str">
        <x:f>IF(COUNTA(B924:H924)+COUNTA(J924:AC924)=0,"",IF(OR(B924="",D924="",E924="",G924="",J924=""),"缺少必填项",IF(H924&gt;G924,"完成数大于订单数",IF(AND(X924="",OR(Y924="排队",Y924="生产中",Y924="阻塞",Z924&lt;&gt;"",AA924&lt;&gt;"",AB924="是")),"已有排期字段缺少机台",IF(AND(X924&lt;&gt;"",Y924="待排"),"已填机台但状态为待排",IF(AND(Y924="生产中",AB924&lt;&gt;"是"),"需确认：生产中未锁定","可导入"))))))</x:f>
      </x:c>
    </x:row>
    <x:row r="925" ht="22" customHeight="1">
      <x:c r="A925" s="186" t="str">
        <x:f>IF(B925="","",ROW()-5)</x:f>
      </x:c>
      <x:c r="B925" s="196"/>
      <x:c r="C925" s="198"/>
      <x:c r="D925" s="196"/>
      <x:c r="E925" s="188"/>
      <x:c r="F925" s="198"/>
      <x:c r="G925" s="202"/>
      <x:c r="H925" s="204"/>
      <x:c r="I925" s="206" t="str">
        <x:f>IF(G925="","",MAX(G925-H925,0))</x:f>
      </x:c>
      <x:c r="J925" s="210"/>
      <x:c r="K925" s="190"/>
      <x:c r="L925" s="208"/>
      <x:c r="M925" s="208"/>
      <x:c r="N925" s="208"/>
      <x:c r="O925" s="208"/>
      <x:c r="P925" s="190"/>
      <x:c r="Q925" s="190"/>
      <x:c r="R925" s="190"/>
      <x:c r="S925" s="190"/>
      <x:c r="T925" s="190"/>
      <x:c r="U925" s="190"/>
      <x:c r="V925" s="212"/>
      <x:c r="W925" s="212"/>
      <x:c r="X925" s="200"/>
      <x:c r="Y925" s="192"/>
      <x:c r="Z925" s="214"/>
      <x:c r="AA925" s="214"/>
      <x:c r="AB925" s="192"/>
      <x:c r="AC925" s="194"/>
      <x:c r="AD925" s="186" t="str">
        <x:f>IF(COUNTA(B925:H925)+COUNTA(J925:AC925)=0,"",IF(OR(B925="",D925="",E925="",G925="",J925=""),"缺少必填项",IF(H925&gt;G925,"完成数大于订单数",IF(AND(X925="",OR(Y925="排队",Y925="生产中",Y925="阻塞",Z925&lt;&gt;"",AA925&lt;&gt;"",AB925="是")),"已有排期字段缺少机台",IF(AND(X925&lt;&gt;"",Y925="待排"),"已填机台但状态为待排",IF(AND(Y925="生产中",AB925&lt;&gt;"是"),"需确认：生产中未锁定","可导入"))))))</x:f>
      </x:c>
    </x:row>
    <x:row r="926" ht="22" customHeight="1">
      <x:c r="A926" s="186" t="str">
        <x:f>IF(B926="","",ROW()-5)</x:f>
      </x:c>
      <x:c r="B926" s="196"/>
      <x:c r="C926" s="198"/>
      <x:c r="D926" s="196"/>
      <x:c r="E926" s="188"/>
      <x:c r="F926" s="198"/>
      <x:c r="G926" s="202"/>
      <x:c r="H926" s="204"/>
      <x:c r="I926" s="206" t="str">
        <x:f>IF(G926="","",MAX(G926-H926,0))</x:f>
      </x:c>
      <x:c r="J926" s="210"/>
      <x:c r="K926" s="190"/>
      <x:c r="L926" s="208"/>
      <x:c r="M926" s="208"/>
      <x:c r="N926" s="208"/>
      <x:c r="O926" s="208"/>
      <x:c r="P926" s="190"/>
      <x:c r="Q926" s="190"/>
      <x:c r="R926" s="190"/>
      <x:c r="S926" s="190"/>
      <x:c r="T926" s="190"/>
      <x:c r="U926" s="190"/>
      <x:c r="V926" s="212"/>
      <x:c r="W926" s="212"/>
      <x:c r="X926" s="200"/>
      <x:c r="Y926" s="192"/>
      <x:c r="Z926" s="214"/>
      <x:c r="AA926" s="214"/>
      <x:c r="AB926" s="192"/>
      <x:c r="AC926" s="194"/>
      <x:c r="AD926" s="186" t="str">
        <x:f>IF(COUNTA(B926:H926)+COUNTA(J926:AC926)=0,"",IF(OR(B926="",D926="",E926="",G926="",J926=""),"缺少必填项",IF(H926&gt;G926,"完成数大于订单数",IF(AND(X926="",OR(Y926="排队",Y926="生产中",Y926="阻塞",Z926&lt;&gt;"",AA926&lt;&gt;"",AB926="是")),"已有排期字段缺少机台",IF(AND(X926&lt;&gt;"",Y926="待排"),"已填机台但状态为待排",IF(AND(Y926="生产中",AB926&lt;&gt;"是"),"需确认：生产中未锁定","可导入"))))))</x:f>
      </x:c>
    </x:row>
    <x:row r="927" ht="22" customHeight="1">
      <x:c r="A927" s="186" t="str">
        <x:f>IF(B927="","",ROW()-5)</x:f>
      </x:c>
      <x:c r="B927" s="196"/>
      <x:c r="C927" s="198"/>
      <x:c r="D927" s="196"/>
      <x:c r="E927" s="188"/>
      <x:c r="F927" s="198"/>
      <x:c r="G927" s="202"/>
      <x:c r="H927" s="204"/>
      <x:c r="I927" s="206" t="str">
        <x:f>IF(G927="","",MAX(G927-H927,0))</x:f>
      </x:c>
      <x:c r="J927" s="210"/>
      <x:c r="K927" s="190"/>
      <x:c r="L927" s="208"/>
      <x:c r="M927" s="208"/>
      <x:c r="N927" s="208"/>
      <x:c r="O927" s="208"/>
      <x:c r="P927" s="190"/>
      <x:c r="Q927" s="190"/>
      <x:c r="R927" s="190"/>
      <x:c r="S927" s="190"/>
      <x:c r="T927" s="190"/>
      <x:c r="U927" s="190"/>
      <x:c r="V927" s="212"/>
      <x:c r="W927" s="212"/>
      <x:c r="X927" s="200"/>
      <x:c r="Y927" s="192"/>
      <x:c r="Z927" s="214"/>
      <x:c r="AA927" s="214"/>
      <x:c r="AB927" s="192"/>
      <x:c r="AC927" s="194"/>
      <x:c r="AD927" s="186" t="str">
        <x:f>IF(COUNTA(B927:H927)+COUNTA(J927:AC927)=0,"",IF(OR(B927="",D927="",E927="",G927="",J927=""),"缺少必填项",IF(H927&gt;G927,"完成数大于订单数",IF(AND(X927="",OR(Y927="排队",Y927="生产中",Y927="阻塞",Z927&lt;&gt;"",AA927&lt;&gt;"",AB927="是")),"已有排期字段缺少机台",IF(AND(X927&lt;&gt;"",Y927="待排"),"已填机台但状态为待排",IF(AND(Y927="生产中",AB927&lt;&gt;"是"),"需确认：生产中未锁定","可导入"))))))</x:f>
      </x:c>
    </x:row>
    <x:row r="928" ht="22" customHeight="1">
      <x:c r="A928" s="186" t="str">
        <x:f>IF(B928="","",ROW()-5)</x:f>
      </x:c>
      <x:c r="B928" s="196"/>
      <x:c r="C928" s="198"/>
      <x:c r="D928" s="196"/>
      <x:c r="E928" s="188"/>
      <x:c r="F928" s="198"/>
      <x:c r="G928" s="202"/>
      <x:c r="H928" s="204"/>
      <x:c r="I928" s="206" t="str">
        <x:f>IF(G928="","",MAX(G928-H928,0))</x:f>
      </x:c>
      <x:c r="J928" s="210"/>
      <x:c r="K928" s="190"/>
      <x:c r="L928" s="208"/>
      <x:c r="M928" s="208"/>
      <x:c r="N928" s="208"/>
      <x:c r="O928" s="208"/>
      <x:c r="P928" s="190"/>
      <x:c r="Q928" s="190"/>
      <x:c r="R928" s="190"/>
      <x:c r="S928" s="190"/>
      <x:c r="T928" s="190"/>
      <x:c r="U928" s="190"/>
      <x:c r="V928" s="212"/>
      <x:c r="W928" s="212"/>
      <x:c r="X928" s="200"/>
      <x:c r="Y928" s="192"/>
      <x:c r="Z928" s="214"/>
      <x:c r="AA928" s="214"/>
      <x:c r="AB928" s="192"/>
      <x:c r="AC928" s="194"/>
      <x:c r="AD928" s="186" t="str">
        <x:f>IF(COUNTA(B928:H928)+COUNTA(J928:AC928)=0,"",IF(OR(B928="",D928="",E928="",G928="",J928=""),"缺少必填项",IF(H928&gt;G928,"完成数大于订单数",IF(AND(X928="",OR(Y928="排队",Y928="生产中",Y928="阻塞",Z928&lt;&gt;"",AA928&lt;&gt;"",AB928="是")),"已有排期字段缺少机台",IF(AND(X928&lt;&gt;"",Y928="待排"),"已填机台但状态为待排",IF(AND(Y928="生产中",AB928&lt;&gt;"是"),"需确认：生产中未锁定","可导入"))))))</x:f>
      </x:c>
    </x:row>
    <x:row r="929" ht="22" customHeight="1">
      <x:c r="A929" s="186" t="str">
        <x:f>IF(B929="","",ROW()-5)</x:f>
      </x:c>
      <x:c r="B929" s="196"/>
      <x:c r="C929" s="198"/>
      <x:c r="D929" s="196"/>
      <x:c r="E929" s="188"/>
      <x:c r="F929" s="198"/>
      <x:c r="G929" s="202"/>
      <x:c r="H929" s="204"/>
      <x:c r="I929" s="206" t="str">
        <x:f>IF(G929="","",MAX(G929-H929,0))</x:f>
      </x:c>
      <x:c r="J929" s="210"/>
      <x:c r="K929" s="190"/>
      <x:c r="L929" s="208"/>
      <x:c r="M929" s="208"/>
      <x:c r="N929" s="208"/>
      <x:c r="O929" s="208"/>
      <x:c r="P929" s="190"/>
      <x:c r="Q929" s="190"/>
      <x:c r="R929" s="190"/>
      <x:c r="S929" s="190"/>
      <x:c r="T929" s="190"/>
      <x:c r="U929" s="190"/>
      <x:c r="V929" s="212"/>
      <x:c r="W929" s="212"/>
      <x:c r="X929" s="200"/>
      <x:c r="Y929" s="192"/>
      <x:c r="Z929" s="214"/>
      <x:c r="AA929" s="214"/>
      <x:c r="AB929" s="192"/>
      <x:c r="AC929" s="194"/>
      <x:c r="AD929" s="186" t="str">
        <x:f>IF(COUNTA(B929:H929)+COUNTA(J929:AC929)=0,"",IF(OR(B929="",D929="",E929="",G929="",J929=""),"缺少必填项",IF(H929&gt;G929,"完成数大于订单数",IF(AND(X929="",OR(Y929="排队",Y929="生产中",Y929="阻塞",Z929&lt;&gt;"",AA929&lt;&gt;"",AB929="是")),"已有排期字段缺少机台",IF(AND(X929&lt;&gt;"",Y929="待排"),"已填机台但状态为待排",IF(AND(Y929="生产中",AB929&lt;&gt;"是"),"需确认：生产中未锁定","可导入"))))))</x:f>
      </x:c>
    </x:row>
    <x:row r="930" ht="22" customHeight="1">
      <x:c r="A930" s="186" t="str">
        <x:f>IF(B930="","",ROW()-5)</x:f>
      </x:c>
      <x:c r="B930" s="196"/>
      <x:c r="C930" s="198"/>
      <x:c r="D930" s="196"/>
      <x:c r="E930" s="188"/>
      <x:c r="F930" s="198"/>
      <x:c r="G930" s="202"/>
      <x:c r="H930" s="204"/>
      <x:c r="I930" s="206" t="str">
        <x:f>IF(G930="","",MAX(G930-H930,0))</x:f>
      </x:c>
      <x:c r="J930" s="210"/>
      <x:c r="K930" s="190"/>
      <x:c r="L930" s="208"/>
      <x:c r="M930" s="208"/>
      <x:c r="N930" s="208"/>
      <x:c r="O930" s="208"/>
      <x:c r="P930" s="190"/>
      <x:c r="Q930" s="190"/>
      <x:c r="R930" s="190"/>
      <x:c r="S930" s="190"/>
      <x:c r="T930" s="190"/>
      <x:c r="U930" s="190"/>
      <x:c r="V930" s="212"/>
      <x:c r="W930" s="212"/>
      <x:c r="X930" s="200"/>
      <x:c r="Y930" s="192"/>
      <x:c r="Z930" s="214"/>
      <x:c r="AA930" s="214"/>
      <x:c r="AB930" s="192"/>
      <x:c r="AC930" s="194"/>
      <x:c r="AD930" s="186" t="str">
        <x:f>IF(COUNTA(B930:H930)+COUNTA(J930:AC930)=0,"",IF(OR(B930="",D930="",E930="",G930="",J930=""),"缺少必填项",IF(H930&gt;G930,"完成数大于订单数",IF(AND(X930="",OR(Y930="排队",Y930="生产中",Y930="阻塞",Z930&lt;&gt;"",AA930&lt;&gt;"",AB930="是")),"已有排期字段缺少机台",IF(AND(X930&lt;&gt;"",Y930="待排"),"已填机台但状态为待排",IF(AND(Y930="生产中",AB930&lt;&gt;"是"),"需确认：生产中未锁定","可导入"))))))</x:f>
      </x:c>
    </x:row>
    <x:row r="931" ht="22" customHeight="1">
      <x:c r="A931" s="186" t="str">
        <x:f>IF(B931="","",ROW()-5)</x:f>
      </x:c>
      <x:c r="B931" s="196"/>
      <x:c r="C931" s="198"/>
      <x:c r="D931" s="196"/>
      <x:c r="E931" s="188"/>
      <x:c r="F931" s="198"/>
      <x:c r="G931" s="202"/>
      <x:c r="H931" s="204"/>
      <x:c r="I931" s="206" t="str">
        <x:f>IF(G931="","",MAX(G931-H931,0))</x:f>
      </x:c>
      <x:c r="J931" s="210"/>
      <x:c r="K931" s="190"/>
      <x:c r="L931" s="208"/>
      <x:c r="M931" s="208"/>
      <x:c r="N931" s="208"/>
      <x:c r="O931" s="208"/>
      <x:c r="P931" s="190"/>
      <x:c r="Q931" s="190"/>
      <x:c r="R931" s="190"/>
      <x:c r="S931" s="190"/>
      <x:c r="T931" s="190"/>
      <x:c r="U931" s="190"/>
      <x:c r="V931" s="212"/>
      <x:c r="W931" s="212"/>
      <x:c r="X931" s="200"/>
      <x:c r="Y931" s="192"/>
      <x:c r="Z931" s="214"/>
      <x:c r="AA931" s="214"/>
      <x:c r="AB931" s="192"/>
      <x:c r="AC931" s="194"/>
      <x:c r="AD931" s="186" t="str">
        <x:f>IF(COUNTA(B931:H931)+COUNTA(J931:AC931)=0,"",IF(OR(B931="",D931="",E931="",G931="",J931=""),"缺少必填项",IF(H931&gt;G931,"完成数大于订单数",IF(AND(X931="",OR(Y931="排队",Y931="生产中",Y931="阻塞",Z931&lt;&gt;"",AA931&lt;&gt;"",AB931="是")),"已有排期字段缺少机台",IF(AND(X931&lt;&gt;"",Y931="待排"),"已填机台但状态为待排",IF(AND(Y931="生产中",AB931&lt;&gt;"是"),"需确认：生产中未锁定","可导入"))))))</x:f>
      </x:c>
    </x:row>
    <x:row r="932" ht="22" customHeight="1">
      <x:c r="A932" s="186" t="str">
        <x:f>IF(B932="","",ROW()-5)</x:f>
      </x:c>
      <x:c r="B932" s="196"/>
      <x:c r="C932" s="198"/>
      <x:c r="D932" s="196"/>
      <x:c r="E932" s="188"/>
      <x:c r="F932" s="198"/>
      <x:c r="G932" s="202"/>
      <x:c r="H932" s="204"/>
      <x:c r="I932" s="206" t="str">
        <x:f>IF(G932="","",MAX(G932-H932,0))</x:f>
      </x:c>
      <x:c r="J932" s="210"/>
      <x:c r="K932" s="190"/>
      <x:c r="L932" s="208"/>
      <x:c r="M932" s="208"/>
      <x:c r="N932" s="208"/>
      <x:c r="O932" s="208"/>
      <x:c r="P932" s="190"/>
      <x:c r="Q932" s="190"/>
      <x:c r="R932" s="190"/>
      <x:c r="S932" s="190"/>
      <x:c r="T932" s="190"/>
      <x:c r="U932" s="190"/>
      <x:c r="V932" s="212"/>
      <x:c r="W932" s="212"/>
      <x:c r="X932" s="200"/>
      <x:c r="Y932" s="192"/>
      <x:c r="Z932" s="214"/>
      <x:c r="AA932" s="214"/>
      <x:c r="AB932" s="192"/>
      <x:c r="AC932" s="194"/>
      <x:c r="AD932" s="186" t="str">
        <x:f>IF(COUNTA(B932:H932)+COUNTA(J932:AC932)=0,"",IF(OR(B932="",D932="",E932="",G932="",J932=""),"缺少必填项",IF(H932&gt;G932,"完成数大于订单数",IF(AND(X932="",OR(Y932="排队",Y932="生产中",Y932="阻塞",Z932&lt;&gt;"",AA932&lt;&gt;"",AB932="是")),"已有排期字段缺少机台",IF(AND(X932&lt;&gt;"",Y932="待排"),"已填机台但状态为待排",IF(AND(Y932="生产中",AB932&lt;&gt;"是"),"需确认：生产中未锁定","可导入"))))))</x:f>
      </x:c>
    </x:row>
    <x:row r="933" ht="22" customHeight="1">
      <x:c r="A933" s="186" t="str">
        <x:f>IF(B933="","",ROW()-5)</x:f>
      </x:c>
      <x:c r="B933" s="196"/>
      <x:c r="C933" s="198"/>
      <x:c r="D933" s="196"/>
      <x:c r="E933" s="188"/>
      <x:c r="F933" s="198"/>
      <x:c r="G933" s="202"/>
      <x:c r="H933" s="204"/>
      <x:c r="I933" s="206" t="str">
        <x:f>IF(G933="","",MAX(G933-H933,0))</x:f>
      </x:c>
      <x:c r="J933" s="210"/>
      <x:c r="K933" s="190"/>
      <x:c r="L933" s="208"/>
      <x:c r="M933" s="208"/>
      <x:c r="N933" s="208"/>
      <x:c r="O933" s="208"/>
      <x:c r="P933" s="190"/>
      <x:c r="Q933" s="190"/>
      <x:c r="R933" s="190"/>
      <x:c r="S933" s="190"/>
      <x:c r="T933" s="190"/>
      <x:c r="U933" s="190"/>
      <x:c r="V933" s="212"/>
      <x:c r="W933" s="212"/>
      <x:c r="X933" s="200"/>
      <x:c r="Y933" s="192"/>
      <x:c r="Z933" s="214"/>
      <x:c r="AA933" s="214"/>
      <x:c r="AB933" s="192"/>
      <x:c r="AC933" s="194"/>
      <x:c r="AD933" s="186" t="str">
        <x:f>IF(COUNTA(B933:H933)+COUNTA(J933:AC933)=0,"",IF(OR(B933="",D933="",E933="",G933="",J933=""),"缺少必填项",IF(H933&gt;G933,"完成数大于订单数",IF(AND(X933="",OR(Y933="排队",Y933="生产中",Y933="阻塞",Z933&lt;&gt;"",AA933&lt;&gt;"",AB933="是")),"已有排期字段缺少机台",IF(AND(X933&lt;&gt;"",Y933="待排"),"已填机台但状态为待排",IF(AND(Y933="生产中",AB933&lt;&gt;"是"),"需确认：生产中未锁定","可导入"))))))</x:f>
      </x:c>
    </x:row>
    <x:row r="934" ht="22" customHeight="1">
      <x:c r="A934" s="186" t="str">
        <x:f>IF(B934="","",ROW()-5)</x:f>
      </x:c>
      <x:c r="B934" s="196"/>
      <x:c r="C934" s="198"/>
      <x:c r="D934" s="196"/>
      <x:c r="E934" s="188"/>
      <x:c r="F934" s="198"/>
      <x:c r="G934" s="202"/>
      <x:c r="H934" s="204"/>
      <x:c r="I934" s="206" t="str">
        <x:f>IF(G934="","",MAX(G934-H934,0))</x:f>
      </x:c>
      <x:c r="J934" s="210"/>
      <x:c r="K934" s="190"/>
      <x:c r="L934" s="208"/>
      <x:c r="M934" s="208"/>
      <x:c r="N934" s="208"/>
      <x:c r="O934" s="208"/>
      <x:c r="P934" s="190"/>
      <x:c r="Q934" s="190"/>
      <x:c r="R934" s="190"/>
      <x:c r="S934" s="190"/>
      <x:c r="T934" s="190"/>
      <x:c r="U934" s="190"/>
      <x:c r="V934" s="212"/>
      <x:c r="W934" s="212"/>
      <x:c r="X934" s="200"/>
      <x:c r="Y934" s="192"/>
      <x:c r="Z934" s="214"/>
      <x:c r="AA934" s="214"/>
      <x:c r="AB934" s="192"/>
      <x:c r="AC934" s="194"/>
      <x:c r="AD934" s="186" t="str">
        <x:f>IF(COUNTA(B934:H934)+COUNTA(J934:AC934)=0,"",IF(OR(B934="",D934="",E934="",G934="",J934=""),"缺少必填项",IF(H934&gt;G934,"完成数大于订单数",IF(AND(X934="",OR(Y934="排队",Y934="生产中",Y934="阻塞",Z934&lt;&gt;"",AA934&lt;&gt;"",AB934="是")),"已有排期字段缺少机台",IF(AND(X934&lt;&gt;"",Y934="待排"),"已填机台但状态为待排",IF(AND(Y934="生产中",AB934&lt;&gt;"是"),"需确认：生产中未锁定","可导入"))))))</x:f>
      </x:c>
    </x:row>
    <x:row r="935" ht="22" customHeight="1">
      <x:c r="A935" s="186" t="str">
        <x:f>IF(B935="","",ROW()-5)</x:f>
      </x:c>
      <x:c r="B935" s="196"/>
      <x:c r="C935" s="198"/>
      <x:c r="D935" s="196"/>
      <x:c r="E935" s="188"/>
      <x:c r="F935" s="198"/>
      <x:c r="G935" s="202"/>
      <x:c r="H935" s="204"/>
      <x:c r="I935" s="206" t="str">
        <x:f>IF(G935="","",MAX(G935-H935,0))</x:f>
      </x:c>
      <x:c r="J935" s="210"/>
      <x:c r="K935" s="190"/>
      <x:c r="L935" s="208"/>
      <x:c r="M935" s="208"/>
      <x:c r="N935" s="208"/>
      <x:c r="O935" s="208"/>
      <x:c r="P935" s="190"/>
      <x:c r="Q935" s="190"/>
      <x:c r="R935" s="190"/>
      <x:c r="S935" s="190"/>
      <x:c r="T935" s="190"/>
      <x:c r="U935" s="190"/>
      <x:c r="V935" s="212"/>
      <x:c r="W935" s="212"/>
      <x:c r="X935" s="200"/>
      <x:c r="Y935" s="192"/>
      <x:c r="Z935" s="214"/>
      <x:c r="AA935" s="214"/>
      <x:c r="AB935" s="192"/>
      <x:c r="AC935" s="194"/>
      <x:c r="AD935" s="186" t="str">
        <x:f>IF(COUNTA(B935:H935)+COUNTA(J935:AC935)=0,"",IF(OR(B935="",D935="",E935="",G935="",J935=""),"缺少必填项",IF(H935&gt;G935,"完成数大于订单数",IF(AND(X935="",OR(Y935="排队",Y935="生产中",Y935="阻塞",Z935&lt;&gt;"",AA935&lt;&gt;"",AB935="是")),"已有排期字段缺少机台",IF(AND(X935&lt;&gt;"",Y935="待排"),"已填机台但状态为待排",IF(AND(Y935="生产中",AB935&lt;&gt;"是"),"需确认：生产中未锁定","可导入"))))))</x:f>
      </x:c>
    </x:row>
    <x:row r="936" ht="22" customHeight="1">
      <x:c r="A936" s="186" t="str">
        <x:f>IF(B936="","",ROW()-5)</x:f>
      </x:c>
      <x:c r="B936" s="196"/>
      <x:c r="C936" s="198"/>
      <x:c r="D936" s="196"/>
      <x:c r="E936" s="188"/>
      <x:c r="F936" s="198"/>
      <x:c r="G936" s="202"/>
      <x:c r="H936" s="204"/>
      <x:c r="I936" s="206" t="str">
        <x:f>IF(G936="","",MAX(G936-H936,0))</x:f>
      </x:c>
      <x:c r="J936" s="210"/>
      <x:c r="K936" s="190"/>
      <x:c r="L936" s="208"/>
      <x:c r="M936" s="208"/>
      <x:c r="N936" s="208"/>
      <x:c r="O936" s="208"/>
      <x:c r="P936" s="190"/>
      <x:c r="Q936" s="190"/>
      <x:c r="R936" s="190"/>
      <x:c r="S936" s="190"/>
      <x:c r="T936" s="190"/>
      <x:c r="U936" s="190"/>
      <x:c r="V936" s="212"/>
      <x:c r="W936" s="212"/>
      <x:c r="X936" s="200"/>
      <x:c r="Y936" s="192"/>
      <x:c r="Z936" s="214"/>
      <x:c r="AA936" s="214"/>
      <x:c r="AB936" s="192"/>
      <x:c r="AC936" s="194"/>
      <x:c r="AD936" s="186" t="str">
        <x:f>IF(COUNTA(B936:H936)+COUNTA(J936:AC936)=0,"",IF(OR(B936="",D936="",E936="",G936="",J936=""),"缺少必填项",IF(H936&gt;G936,"完成数大于订单数",IF(AND(X936="",OR(Y936="排队",Y936="生产中",Y936="阻塞",Z936&lt;&gt;"",AA936&lt;&gt;"",AB936="是")),"已有排期字段缺少机台",IF(AND(X936&lt;&gt;"",Y936="待排"),"已填机台但状态为待排",IF(AND(Y936="生产中",AB936&lt;&gt;"是"),"需确认：生产中未锁定","可导入"))))))</x:f>
      </x:c>
    </x:row>
    <x:row r="937" ht="22" customHeight="1">
      <x:c r="A937" s="186" t="str">
        <x:f>IF(B937="","",ROW()-5)</x:f>
      </x:c>
      <x:c r="B937" s="196"/>
      <x:c r="C937" s="198"/>
      <x:c r="D937" s="196"/>
      <x:c r="E937" s="188"/>
      <x:c r="F937" s="198"/>
      <x:c r="G937" s="202"/>
      <x:c r="H937" s="204"/>
      <x:c r="I937" s="206" t="str">
        <x:f>IF(G937="","",MAX(G937-H937,0))</x:f>
      </x:c>
      <x:c r="J937" s="210"/>
      <x:c r="K937" s="190"/>
      <x:c r="L937" s="208"/>
      <x:c r="M937" s="208"/>
      <x:c r="N937" s="208"/>
      <x:c r="O937" s="208"/>
      <x:c r="P937" s="190"/>
      <x:c r="Q937" s="190"/>
      <x:c r="R937" s="190"/>
      <x:c r="S937" s="190"/>
      <x:c r="T937" s="190"/>
      <x:c r="U937" s="190"/>
      <x:c r="V937" s="212"/>
      <x:c r="W937" s="212"/>
      <x:c r="X937" s="200"/>
      <x:c r="Y937" s="192"/>
      <x:c r="Z937" s="214"/>
      <x:c r="AA937" s="214"/>
      <x:c r="AB937" s="192"/>
      <x:c r="AC937" s="194"/>
      <x:c r="AD937" s="186" t="str">
        <x:f>IF(COUNTA(B937:H937)+COUNTA(J937:AC937)=0,"",IF(OR(B937="",D937="",E937="",G937="",J937=""),"缺少必填项",IF(H937&gt;G937,"完成数大于订单数",IF(AND(X937="",OR(Y937="排队",Y937="生产中",Y937="阻塞",Z937&lt;&gt;"",AA937&lt;&gt;"",AB937="是")),"已有排期字段缺少机台",IF(AND(X937&lt;&gt;"",Y937="待排"),"已填机台但状态为待排",IF(AND(Y937="生产中",AB937&lt;&gt;"是"),"需确认：生产中未锁定","可导入"))))))</x:f>
      </x:c>
    </x:row>
    <x:row r="938" ht="22" customHeight="1">
      <x:c r="A938" s="186" t="str">
        <x:f>IF(B938="","",ROW()-5)</x:f>
      </x:c>
      <x:c r="B938" s="196"/>
      <x:c r="C938" s="198"/>
      <x:c r="D938" s="196"/>
      <x:c r="E938" s="188"/>
      <x:c r="F938" s="198"/>
      <x:c r="G938" s="202"/>
      <x:c r="H938" s="204"/>
      <x:c r="I938" s="206" t="str">
        <x:f>IF(G938="","",MAX(G938-H938,0))</x:f>
      </x:c>
      <x:c r="J938" s="210"/>
      <x:c r="K938" s="190"/>
      <x:c r="L938" s="208"/>
      <x:c r="M938" s="208"/>
      <x:c r="N938" s="208"/>
      <x:c r="O938" s="208"/>
      <x:c r="P938" s="190"/>
      <x:c r="Q938" s="190"/>
      <x:c r="R938" s="190"/>
      <x:c r="S938" s="190"/>
      <x:c r="T938" s="190"/>
      <x:c r="U938" s="190"/>
      <x:c r="V938" s="212"/>
      <x:c r="W938" s="212"/>
      <x:c r="X938" s="200"/>
      <x:c r="Y938" s="192"/>
      <x:c r="Z938" s="214"/>
      <x:c r="AA938" s="214"/>
      <x:c r="AB938" s="192"/>
      <x:c r="AC938" s="194"/>
      <x:c r="AD938" s="186" t="str">
        <x:f>IF(COUNTA(B938:H938)+COUNTA(J938:AC938)=0,"",IF(OR(B938="",D938="",E938="",G938="",J938=""),"缺少必填项",IF(H938&gt;G938,"完成数大于订单数",IF(AND(X938="",OR(Y938="排队",Y938="生产中",Y938="阻塞",Z938&lt;&gt;"",AA938&lt;&gt;"",AB938="是")),"已有排期字段缺少机台",IF(AND(X938&lt;&gt;"",Y938="待排"),"已填机台但状态为待排",IF(AND(Y938="生产中",AB938&lt;&gt;"是"),"需确认：生产中未锁定","可导入"))))))</x:f>
      </x:c>
    </x:row>
    <x:row r="939" ht="22" customHeight="1">
      <x:c r="A939" s="186" t="str">
        <x:f>IF(B939="","",ROW()-5)</x:f>
      </x:c>
      <x:c r="B939" s="196"/>
      <x:c r="C939" s="198"/>
      <x:c r="D939" s="196"/>
      <x:c r="E939" s="188"/>
      <x:c r="F939" s="198"/>
      <x:c r="G939" s="202"/>
      <x:c r="H939" s="204"/>
      <x:c r="I939" s="206" t="str">
        <x:f>IF(G939="","",MAX(G939-H939,0))</x:f>
      </x:c>
      <x:c r="J939" s="210"/>
      <x:c r="K939" s="190"/>
      <x:c r="L939" s="208"/>
      <x:c r="M939" s="208"/>
      <x:c r="N939" s="208"/>
      <x:c r="O939" s="208"/>
      <x:c r="P939" s="190"/>
      <x:c r="Q939" s="190"/>
      <x:c r="R939" s="190"/>
      <x:c r="S939" s="190"/>
      <x:c r="T939" s="190"/>
      <x:c r="U939" s="190"/>
      <x:c r="V939" s="212"/>
      <x:c r="W939" s="212"/>
      <x:c r="X939" s="200"/>
      <x:c r="Y939" s="192"/>
      <x:c r="Z939" s="214"/>
      <x:c r="AA939" s="214"/>
      <x:c r="AB939" s="192"/>
      <x:c r="AC939" s="194"/>
      <x:c r="AD939" s="186" t="str">
        <x:f>IF(COUNTA(B939:H939)+COUNTA(J939:AC939)=0,"",IF(OR(B939="",D939="",E939="",G939="",J939=""),"缺少必填项",IF(H939&gt;G939,"完成数大于订单数",IF(AND(X939="",OR(Y939="排队",Y939="生产中",Y939="阻塞",Z939&lt;&gt;"",AA939&lt;&gt;"",AB939="是")),"已有排期字段缺少机台",IF(AND(X939&lt;&gt;"",Y939="待排"),"已填机台但状态为待排",IF(AND(Y939="生产中",AB939&lt;&gt;"是"),"需确认：生产中未锁定","可导入"))))))</x:f>
      </x:c>
    </x:row>
    <x:row r="940" ht="22" customHeight="1">
      <x:c r="A940" s="186" t="str">
        <x:f>IF(B940="","",ROW()-5)</x:f>
      </x:c>
      <x:c r="B940" s="196"/>
      <x:c r="C940" s="198"/>
      <x:c r="D940" s="196"/>
      <x:c r="E940" s="188"/>
      <x:c r="F940" s="198"/>
      <x:c r="G940" s="202"/>
      <x:c r="H940" s="204"/>
      <x:c r="I940" s="206" t="str">
        <x:f>IF(G940="","",MAX(G940-H940,0))</x:f>
      </x:c>
      <x:c r="J940" s="210"/>
      <x:c r="K940" s="190"/>
      <x:c r="L940" s="208"/>
      <x:c r="M940" s="208"/>
      <x:c r="N940" s="208"/>
      <x:c r="O940" s="208"/>
      <x:c r="P940" s="190"/>
      <x:c r="Q940" s="190"/>
      <x:c r="R940" s="190"/>
      <x:c r="S940" s="190"/>
      <x:c r="T940" s="190"/>
      <x:c r="U940" s="190"/>
      <x:c r="V940" s="212"/>
      <x:c r="W940" s="212"/>
      <x:c r="X940" s="200"/>
      <x:c r="Y940" s="192"/>
      <x:c r="Z940" s="214"/>
      <x:c r="AA940" s="214"/>
      <x:c r="AB940" s="192"/>
      <x:c r="AC940" s="194"/>
      <x:c r="AD940" s="186" t="str">
        <x:f>IF(COUNTA(B940:H940)+COUNTA(J940:AC940)=0,"",IF(OR(B940="",D940="",E940="",G940="",J940=""),"缺少必填项",IF(H940&gt;G940,"完成数大于订单数",IF(AND(X940="",OR(Y940="排队",Y940="生产中",Y940="阻塞",Z940&lt;&gt;"",AA940&lt;&gt;"",AB940="是")),"已有排期字段缺少机台",IF(AND(X940&lt;&gt;"",Y940="待排"),"已填机台但状态为待排",IF(AND(Y940="生产中",AB940&lt;&gt;"是"),"需确认：生产中未锁定","可导入"))))))</x:f>
      </x:c>
    </x:row>
    <x:row r="941" ht="22" customHeight="1">
      <x:c r="A941" s="186" t="str">
        <x:f>IF(B941="","",ROW()-5)</x:f>
      </x:c>
      <x:c r="B941" s="196"/>
      <x:c r="C941" s="198"/>
      <x:c r="D941" s="196"/>
      <x:c r="E941" s="188"/>
      <x:c r="F941" s="198"/>
      <x:c r="G941" s="202"/>
      <x:c r="H941" s="204"/>
      <x:c r="I941" s="206" t="str">
        <x:f>IF(G941="","",MAX(G941-H941,0))</x:f>
      </x:c>
      <x:c r="J941" s="210"/>
      <x:c r="K941" s="190"/>
      <x:c r="L941" s="208"/>
      <x:c r="M941" s="208"/>
      <x:c r="N941" s="208"/>
      <x:c r="O941" s="208"/>
      <x:c r="P941" s="190"/>
      <x:c r="Q941" s="190"/>
      <x:c r="R941" s="190"/>
      <x:c r="S941" s="190"/>
      <x:c r="T941" s="190"/>
      <x:c r="U941" s="190"/>
      <x:c r="V941" s="212"/>
      <x:c r="W941" s="212"/>
      <x:c r="X941" s="200"/>
      <x:c r="Y941" s="192"/>
      <x:c r="Z941" s="214"/>
      <x:c r="AA941" s="214"/>
      <x:c r="AB941" s="192"/>
      <x:c r="AC941" s="194"/>
      <x:c r="AD941" s="186" t="str">
        <x:f>IF(COUNTA(B941:H941)+COUNTA(J941:AC941)=0,"",IF(OR(B941="",D941="",E941="",G941="",J941=""),"缺少必填项",IF(H941&gt;G941,"完成数大于订单数",IF(AND(X941="",OR(Y941="排队",Y941="生产中",Y941="阻塞",Z941&lt;&gt;"",AA941&lt;&gt;"",AB941="是")),"已有排期字段缺少机台",IF(AND(X941&lt;&gt;"",Y941="待排"),"已填机台但状态为待排",IF(AND(Y941="生产中",AB941&lt;&gt;"是"),"需确认：生产中未锁定","可导入"))))))</x:f>
      </x:c>
    </x:row>
    <x:row r="942" ht="22" customHeight="1">
      <x:c r="A942" s="186" t="str">
        <x:f>IF(B942="","",ROW()-5)</x:f>
      </x:c>
      <x:c r="B942" s="196"/>
      <x:c r="C942" s="198"/>
      <x:c r="D942" s="196"/>
      <x:c r="E942" s="188"/>
      <x:c r="F942" s="198"/>
      <x:c r="G942" s="202"/>
      <x:c r="H942" s="204"/>
      <x:c r="I942" s="206" t="str">
        <x:f>IF(G942="","",MAX(G942-H942,0))</x:f>
      </x:c>
      <x:c r="J942" s="210"/>
      <x:c r="K942" s="190"/>
      <x:c r="L942" s="208"/>
      <x:c r="M942" s="208"/>
      <x:c r="N942" s="208"/>
      <x:c r="O942" s="208"/>
      <x:c r="P942" s="190"/>
      <x:c r="Q942" s="190"/>
      <x:c r="R942" s="190"/>
      <x:c r="S942" s="190"/>
      <x:c r="T942" s="190"/>
      <x:c r="U942" s="190"/>
      <x:c r="V942" s="212"/>
      <x:c r="W942" s="212"/>
      <x:c r="X942" s="200"/>
      <x:c r="Y942" s="192"/>
      <x:c r="Z942" s="214"/>
      <x:c r="AA942" s="214"/>
      <x:c r="AB942" s="192"/>
      <x:c r="AC942" s="194"/>
      <x:c r="AD942" s="186" t="str">
        <x:f>IF(COUNTA(B942:H942)+COUNTA(J942:AC942)=0,"",IF(OR(B942="",D942="",E942="",G942="",J942=""),"缺少必填项",IF(H942&gt;G942,"完成数大于订单数",IF(AND(X942="",OR(Y942="排队",Y942="生产中",Y942="阻塞",Z942&lt;&gt;"",AA942&lt;&gt;"",AB942="是")),"已有排期字段缺少机台",IF(AND(X942&lt;&gt;"",Y942="待排"),"已填机台但状态为待排",IF(AND(Y942="生产中",AB942&lt;&gt;"是"),"需确认：生产中未锁定","可导入"))))))</x:f>
      </x:c>
    </x:row>
    <x:row r="943" ht="22" customHeight="1">
      <x:c r="A943" s="186" t="str">
        <x:f>IF(B943="","",ROW()-5)</x:f>
      </x:c>
      <x:c r="B943" s="196"/>
      <x:c r="C943" s="198"/>
      <x:c r="D943" s="196"/>
      <x:c r="E943" s="188"/>
      <x:c r="F943" s="198"/>
      <x:c r="G943" s="202"/>
      <x:c r="H943" s="204"/>
      <x:c r="I943" s="206" t="str">
        <x:f>IF(G943="","",MAX(G943-H943,0))</x:f>
      </x:c>
      <x:c r="J943" s="210"/>
      <x:c r="K943" s="190"/>
      <x:c r="L943" s="208"/>
      <x:c r="M943" s="208"/>
      <x:c r="N943" s="208"/>
      <x:c r="O943" s="208"/>
      <x:c r="P943" s="190"/>
      <x:c r="Q943" s="190"/>
      <x:c r="R943" s="190"/>
      <x:c r="S943" s="190"/>
      <x:c r="T943" s="190"/>
      <x:c r="U943" s="190"/>
      <x:c r="V943" s="212"/>
      <x:c r="W943" s="212"/>
      <x:c r="X943" s="200"/>
      <x:c r="Y943" s="192"/>
      <x:c r="Z943" s="214"/>
      <x:c r="AA943" s="214"/>
      <x:c r="AB943" s="192"/>
      <x:c r="AC943" s="194"/>
      <x:c r="AD943" s="186" t="str">
        <x:f>IF(COUNTA(B943:H943)+COUNTA(J943:AC943)=0,"",IF(OR(B943="",D943="",E943="",G943="",J943=""),"缺少必填项",IF(H943&gt;G943,"完成数大于订单数",IF(AND(X943="",OR(Y943="排队",Y943="生产中",Y943="阻塞",Z943&lt;&gt;"",AA943&lt;&gt;"",AB943="是")),"已有排期字段缺少机台",IF(AND(X943&lt;&gt;"",Y943="待排"),"已填机台但状态为待排",IF(AND(Y943="生产中",AB943&lt;&gt;"是"),"需确认：生产中未锁定","可导入"))))))</x:f>
      </x:c>
    </x:row>
    <x:row r="944" ht="22" customHeight="1">
      <x:c r="A944" s="186" t="str">
        <x:f>IF(B944="","",ROW()-5)</x:f>
      </x:c>
      <x:c r="B944" s="196"/>
      <x:c r="C944" s="198"/>
      <x:c r="D944" s="196"/>
      <x:c r="E944" s="188"/>
      <x:c r="F944" s="198"/>
      <x:c r="G944" s="202"/>
      <x:c r="H944" s="204"/>
      <x:c r="I944" s="206" t="str">
        <x:f>IF(G944="","",MAX(G944-H944,0))</x:f>
      </x:c>
      <x:c r="J944" s="210"/>
      <x:c r="K944" s="190"/>
      <x:c r="L944" s="208"/>
      <x:c r="M944" s="208"/>
      <x:c r="N944" s="208"/>
      <x:c r="O944" s="208"/>
      <x:c r="P944" s="190"/>
      <x:c r="Q944" s="190"/>
      <x:c r="R944" s="190"/>
      <x:c r="S944" s="190"/>
      <x:c r="T944" s="190"/>
      <x:c r="U944" s="190"/>
      <x:c r="V944" s="212"/>
      <x:c r="W944" s="212"/>
      <x:c r="X944" s="200"/>
      <x:c r="Y944" s="192"/>
      <x:c r="Z944" s="214"/>
      <x:c r="AA944" s="214"/>
      <x:c r="AB944" s="192"/>
      <x:c r="AC944" s="194"/>
      <x:c r="AD944" s="186" t="str">
        <x:f>IF(COUNTA(B944:H944)+COUNTA(J944:AC944)=0,"",IF(OR(B944="",D944="",E944="",G944="",J944=""),"缺少必填项",IF(H944&gt;G944,"完成数大于订单数",IF(AND(X944="",OR(Y944="排队",Y944="生产中",Y944="阻塞",Z944&lt;&gt;"",AA944&lt;&gt;"",AB944="是")),"已有排期字段缺少机台",IF(AND(X944&lt;&gt;"",Y944="待排"),"已填机台但状态为待排",IF(AND(Y944="生产中",AB944&lt;&gt;"是"),"需确认：生产中未锁定","可导入"))))))</x:f>
      </x:c>
    </x:row>
    <x:row r="945" ht="22" customHeight="1">
      <x:c r="A945" s="186" t="str">
        <x:f>IF(B945="","",ROW()-5)</x:f>
      </x:c>
      <x:c r="B945" s="196"/>
      <x:c r="C945" s="198"/>
      <x:c r="D945" s="196"/>
      <x:c r="E945" s="188"/>
      <x:c r="F945" s="198"/>
      <x:c r="G945" s="202"/>
      <x:c r="H945" s="204"/>
      <x:c r="I945" s="206" t="str">
        <x:f>IF(G945="","",MAX(G945-H945,0))</x:f>
      </x:c>
      <x:c r="J945" s="210"/>
      <x:c r="K945" s="190"/>
      <x:c r="L945" s="208"/>
      <x:c r="M945" s="208"/>
      <x:c r="N945" s="208"/>
      <x:c r="O945" s="208"/>
      <x:c r="P945" s="190"/>
      <x:c r="Q945" s="190"/>
      <x:c r="R945" s="190"/>
      <x:c r="S945" s="190"/>
      <x:c r="T945" s="190"/>
      <x:c r="U945" s="190"/>
      <x:c r="V945" s="212"/>
      <x:c r="W945" s="212"/>
      <x:c r="X945" s="200"/>
      <x:c r="Y945" s="192"/>
      <x:c r="Z945" s="214"/>
      <x:c r="AA945" s="214"/>
      <x:c r="AB945" s="192"/>
      <x:c r="AC945" s="194"/>
      <x:c r="AD945" s="186" t="str">
        <x:f>IF(COUNTA(B945:H945)+COUNTA(J945:AC945)=0,"",IF(OR(B945="",D945="",E945="",G945="",J945=""),"缺少必填项",IF(H945&gt;G945,"完成数大于订单数",IF(AND(X945="",OR(Y945="排队",Y945="生产中",Y945="阻塞",Z945&lt;&gt;"",AA945&lt;&gt;"",AB945="是")),"已有排期字段缺少机台",IF(AND(X945&lt;&gt;"",Y945="待排"),"已填机台但状态为待排",IF(AND(Y945="生产中",AB945&lt;&gt;"是"),"需确认：生产中未锁定","可导入"))))))</x:f>
      </x:c>
    </x:row>
    <x:row r="946" ht="22" customHeight="1">
      <x:c r="A946" s="186" t="str">
        <x:f>IF(B946="","",ROW()-5)</x:f>
      </x:c>
      <x:c r="B946" s="196"/>
      <x:c r="C946" s="198"/>
      <x:c r="D946" s="196"/>
      <x:c r="E946" s="188"/>
      <x:c r="F946" s="198"/>
      <x:c r="G946" s="202"/>
      <x:c r="H946" s="204"/>
      <x:c r="I946" s="206" t="str">
        <x:f>IF(G946="","",MAX(G946-H946,0))</x:f>
      </x:c>
      <x:c r="J946" s="210"/>
      <x:c r="K946" s="190"/>
      <x:c r="L946" s="208"/>
      <x:c r="M946" s="208"/>
      <x:c r="N946" s="208"/>
      <x:c r="O946" s="208"/>
      <x:c r="P946" s="190"/>
      <x:c r="Q946" s="190"/>
      <x:c r="R946" s="190"/>
      <x:c r="S946" s="190"/>
      <x:c r="T946" s="190"/>
      <x:c r="U946" s="190"/>
      <x:c r="V946" s="212"/>
      <x:c r="W946" s="212"/>
      <x:c r="X946" s="200"/>
      <x:c r="Y946" s="192"/>
      <x:c r="Z946" s="214"/>
      <x:c r="AA946" s="214"/>
      <x:c r="AB946" s="192"/>
      <x:c r="AC946" s="194"/>
      <x:c r="AD946" s="186" t="str">
        <x:f>IF(COUNTA(B946:H946)+COUNTA(J946:AC946)=0,"",IF(OR(B946="",D946="",E946="",G946="",J946=""),"缺少必填项",IF(H946&gt;G946,"完成数大于订单数",IF(AND(X946="",OR(Y946="排队",Y946="生产中",Y946="阻塞",Z946&lt;&gt;"",AA946&lt;&gt;"",AB946="是")),"已有排期字段缺少机台",IF(AND(X946&lt;&gt;"",Y946="待排"),"已填机台但状态为待排",IF(AND(Y946="生产中",AB946&lt;&gt;"是"),"需确认：生产中未锁定","可导入"))))))</x:f>
      </x:c>
    </x:row>
    <x:row r="947" ht="22" customHeight="1">
      <x:c r="A947" s="186" t="str">
        <x:f>IF(B947="","",ROW()-5)</x:f>
      </x:c>
      <x:c r="B947" s="196"/>
      <x:c r="C947" s="198"/>
      <x:c r="D947" s="196"/>
      <x:c r="E947" s="188"/>
      <x:c r="F947" s="198"/>
      <x:c r="G947" s="202"/>
      <x:c r="H947" s="204"/>
      <x:c r="I947" s="206" t="str">
        <x:f>IF(G947="","",MAX(G947-H947,0))</x:f>
      </x:c>
      <x:c r="J947" s="210"/>
      <x:c r="K947" s="190"/>
      <x:c r="L947" s="208"/>
      <x:c r="M947" s="208"/>
      <x:c r="N947" s="208"/>
      <x:c r="O947" s="208"/>
      <x:c r="P947" s="190"/>
      <x:c r="Q947" s="190"/>
      <x:c r="R947" s="190"/>
      <x:c r="S947" s="190"/>
      <x:c r="T947" s="190"/>
      <x:c r="U947" s="190"/>
      <x:c r="V947" s="212"/>
      <x:c r="W947" s="212"/>
      <x:c r="X947" s="200"/>
      <x:c r="Y947" s="192"/>
      <x:c r="Z947" s="214"/>
      <x:c r="AA947" s="214"/>
      <x:c r="AB947" s="192"/>
      <x:c r="AC947" s="194"/>
      <x:c r="AD947" s="186" t="str">
        <x:f>IF(COUNTA(B947:H947)+COUNTA(J947:AC947)=0,"",IF(OR(B947="",D947="",E947="",G947="",J947=""),"缺少必填项",IF(H947&gt;G947,"完成数大于订单数",IF(AND(X947="",OR(Y947="排队",Y947="生产中",Y947="阻塞",Z947&lt;&gt;"",AA947&lt;&gt;"",AB947="是")),"已有排期字段缺少机台",IF(AND(X947&lt;&gt;"",Y947="待排"),"已填机台但状态为待排",IF(AND(Y947="生产中",AB947&lt;&gt;"是"),"需确认：生产中未锁定","可导入"))))))</x:f>
      </x:c>
    </x:row>
    <x:row r="948" ht="22" customHeight="1">
      <x:c r="A948" s="186" t="str">
        <x:f>IF(B948="","",ROW()-5)</x:f>
      </x:c>
      <x:c r="B948" s="196"/>
      <x:c r="C948" s="198"/>
      <x:c r="D948" s="196"/>
      <x:c r="E948" s="188"/>
      <x:c r="F948" s="198"/>
      <x:c r="G948" s="202"/>
      <x:c r="H948" s="204"/>
      <x:c r="I948" s="206" t="str">
        <x:f>IF(G948="","",MAX(G948-H948,0))</x:f>
      </x:c>
      <x:c r="J948" s="210"/>
      <x:c r="K948" s="190"/>
      <x:c r="L948" s="208"/>
      <x:c r="M948" s="208"/>
      <x:c r="N948" s="208"/>
      <x:c r="O948" s="208"/>
      <x:c r="P948" s="190"/>
      <x:c r="Q948" s="190"/>
      <x:c r="R948" s="190"/>
      <x:c r="S948" s="190"/>
      <x:c r="T948" s="190"/>
      <x:c r="U948" s="190"/>
      <x:c r="V948" s="212"/>
      <x:c r="W948" s="212"/>
      <x:c r="X948" s="200"/>
      <x:c r="Y948" s="192"/>
      <x:c r="Z948" s="214"/>
      <x:c r="AA948" s="214"/>
      <x:c r="AB948" s="192"/>
      <x:c r="AC948" s="194"/>
      <x:c r="AD948" s="186" t="str">
        <x:f>IF(COUNTA(B948:H948)+COUNTA(J948:AC948)=0,"",IF(OR(B948="",D948="",E948="",G948="",J948=""),"缺少必填项",IF(H948&gt;G948,"完成数大于订单数",IF(AND(X948="",OR(Y948="排队",Y948="生产中",Y948="阻塞",Z948&lt;&gt;"",AA948&lt;&gt;"",AB948="是")),"已有排期字段缺少机台",IF(AND(X948&lt;&gt;"",Y948="待排"),"已填机台但状态为待排",IF(AND(Y948="生产中",AB948&lt;&gt;"是"),"需确认：生产中未锁定","可导入"))))))</x:f>
      </x:c>
    </x:row>
    <x:row r="949" ht="22" customHeight="1">
      <x:c r="A949" s="186" t="str">
        <x:f>IF(B949="","",ROW()-5)</x:f>
      </x:c>
      <x:c r="B949" s="196"/>
      <x:c r="C949" s="198"/>
      <x:c r="D949" s="196"/>
      <x:c r="E949" s="188"/>
      <x:c r="F949" s="198"/>
      <x:c r="G949" s="202"/>
      <x:c r="H949" s="204"/>
      <x:c r="I949" s="206" t="str">
        <x:f>IF(G949="","",MAX(G949-H949,0))</x:f>
      </x:c>
      <x:c r="J949" s="210"/>
      <x:c r="K949" s="190"/>
      <x:c r="L949" s="208"/>
      <x:c r="M949" s="208"/>
      <x:c r="N949" s="208"/>
      <x:c r="O949" s="208"/>
      <x:c r="P949" s="190"/>
      <x:c r="Q949" s="190"/>
      <x:c r="R949" s="190"/>
      <x:c r="S949" s="190"/>
      <x:c r="T949" s="190"/>
      <x:c r="U949" s="190"/>
      <x:c r="V949" s="212"/>
      <x:c r="W949" s="212"/>
      <x:c r="X949" s="200"/>
      <x:c r="Y949" s="192"/>
      <x:c r="Z949" s="214"/>
      <x:c r="AA949" s="214"/>
      <x:c r="AB949" s="192"/>
      <x:c r="AC949" s="194"/>
      <x:c r="AD949" s="186" t="str">
        <x:f>IF(COUNTA(B949:H949)+COUNTA(J949:AC949)=0,"",IF(OR(B949="",D949="",E949="",G949="",J949=""),"缺少必填项",IF(H949&gt;G949,"完成数大于订单数",IF(AND(X949="",OR(Y949="排队",Y949="生产中",Y949="阻塞",Z949&lt;&gt;"",AA949&lt;&gt;"",AB949="是")),"已有排期字段缺少机台",IF(AND(X949&lt;&gt;"",Y949="待排"),"已填机台但状态为待排",IF(AND(Y949="生产中",AB949&lt;&gt;"是"),"需确认：生产中未锁定","可导入"))))))</x:f>
      </x:c>
    </x:row>
    <x:row r="950" ht="22" customHeight="1">
      <x:c r="A950" s="186" t="str">
        <x:f>IF(B950="","",ROW()-5)</x:f>
      </x:c>
      <x:c r="B950" s="196"/>
      <x:c r="C950" s="198"/>
      <x:c r="D950" s="196"/>
      <x:c r="E950" s="188"/>
      <x:c r="F950" s="198"/>
      <x:c r="G950" s="202"/>
      <x:c r="H950" s="204"/>
      <x:c r="I950" s="206" t="str">
        <x:f>IF(G950="","",MAX(G950-H950,0))</x:f>
      </x:c>
      <x:c r="J950" s="210"/>
      <x:c r="K950" s="190"/>
      <x:c r="L950" s="208"/>
      <x:c r="M950" s="208"/>
      <x:c r="N950" s="208"/>
      <x:c r="O950" s="208"/>
      <x:c r="P950" s="190"/>
      <x:c r="Q950" s="190"/>
      <x:c r="R950" s="190"/>
      <x:c r="S950" s="190"/>
      <x:c r="T950" s="190"/>
      <x:c r="U950" s="190"/>
      <x:c r="V950" s="212"/>
      <x:c r="W950" s="212"/>
      <x:c r="X950" s="200"/>
      <x:c r="Y950" s="192"/>
      <x:c r="Z950" s="214"/>
      <x:c r="AA950" s="214"/>
      <x:c r="AB950" s="192"/>
      <x:c r="AC950" s="194"/>
      <x:c r="AD950" s="186" t="str">
        <x:f>IF(COUNTA(B950:H950)+COUNTA(J950:AC950)=0,"",IF(OR(B950="",D950="",E950="",G950="",J950=""),"缺少必填项",IF(H950&gt;G950,"完成数大于订单数",IF(AND(X950="",OR(Y950="排队",Y950="生产中",Y950="阻塞",Z950&lt;&gt;"",AA950&lt;&gt;"",AB950="是")),"已有排期字段缺少机台",IF(AND(X950&lt;&gt;"",Y950="待排"),"已填机台但状态为待排",IF(AND(Y950="生产中",AB950&lt;&gt;"是"),"需确认：生产中未锁定","可导入"))))))</x:f>
      </x:c>
    </x:row>
    <x:row r="951" ht="22" customHeight="1">
      <x:c r="A951" s="186" t="str">
        <x:f>IF(B951="","",ROW()-5)</x:f>
      </x:c>
      <x:c r="B951" s="196"/>
      <x:c r="C951" s="198"/>
      <x:c r="D951" s="196"/>
      <x:c r="E951" s="188"/>
      <x:c r="F951" s="198"/>
      <x:c r="G951" s="202"/>
      <x:c r="H951" s="204"/>
      <x:c r="I951" s="206" t="str">
        <x:f>IF(G951="","",MAX(G951-H951,0))</x:f>
      </x:c>
      <x:c r="J951" s="210"/>
      <x:c r="K951" s="190"/>
      <x:c r="L951" s="208"/>
      <x:c r="M951" s="208"/>
      <x:c r="N951" s="208"/>
      <x:c r="O951" s="208"/>
      <x:c r="P951" s="190"/>
      <x:c r="Q951" s="190"/>
      <x:c r="R951" s="190"/>
      <x:c r="S951" s="190"/>
      <x:c r="T951" s="190"/>
      <x:c r="U951" s="190"/>
      <x:c r="V951" s="212"/>
      <x:c r="W951" s="212"/>
      <x:c r="X951" s="200"/>
      <x:c r="Y951" s="192"/>
      <x:c r="Z951" s="214"/>
      <x:c r="AA951" s="214"/>
      <x:c r="AB951" s="192"/>
      <x:c r="AC951" s="194"/>
      <x:c r="AD951" s="186" t="str">
        <x:f>IF(COUNTA(B951:H951)+COUNTA(J951:AC951)=0,"",IF(OR(B951="",D951="",E951="",G951="",J951=""),"缺少必填项",IF(H951&gt;G951,"完成数大于订单数",IF(AND(X951="",OR(Y951="排队",Y951="生产中",Y951="阻塞",Z951&lt;&gt;"",AA951&lt;&gt;"",AB951="是")),"已有排期字段缺少机台",IF(AND(X951&lt;&gt;"",Y951="待排"),"已填机台但状态为待排",IF(AND(Y951="生产中",AB951&lt;&gt;"是"),"需确认：生产中未锁定","可导入"))))))</x:f>
      </x:c>
    </x:row>
    <x:row r="952" ht="22" customHeight="1">
      <x:c r="A952" s="186" t="str">
        <x:f>IF(B952="","",ROW()-5)</x:f>
      </x:c>
      <x:c r="B952" s="196"/>
      <x:c r="C952" s="198"/>
      <x:c r="D952" s="196"/>
      <x:c r="E952" s="188"/>
      <x:c r="F952" s="198"/>
      <x:c r="G952" s="202"/>
      <x:c r="H952" s="204"/>
      <x:c r="I952" s="206" t="str">
        <x:f>IF(G952="","",MAX(G952-H952,0))</x:f>
      </x:c>
      <x:c r="J952" s="210"/>
      <x:c r="K952" s="190"/>
      <x:c r="L952" s="208"/>
      <x:c r="M952" s="208"/>
      <x:c r="N952" s="208"/>
      <x:c r="O952" s="208"/>
      <x:c r="P952" s="190"/>
      <x:c r="Q952" s="190"/>
      <x:c r="R952" s="190"/>
      <x:c r="S952" s="190"/>
      <x:c r="T952" s="190"/>
      <x:c r="U952" s="190"/>
      <x:c r="V952" s="212"/>
      <x:c r="W952" s="212"/>
      <x:c r="X952" s="200"/>
      <x:c r="Y952" s="192"/>
      <x:c r="Z952" s="214"/>
      <x:c r="AA952" s="214"/>
      <x:c r="AB952" s="192"/>
      <x:c r="AC952" s="194"/>
      <x:c r="AD952" s="186" t="str">
        <x:f>IF(COUNTA(B952:H952)+COUNTA(J952:AC952)=0,"",IF(OR(B952="",D952="",E952="",G952="",J952=""),"缺少必填项",IF(H952&gt;G952,"完成数大于订单数",IF(AND(X952="",OR(Y952="排队",Y952="生产中",Y952="阻塞",Z952&lt;&gt;"",AA952&lt;&gt;"",AB952="是")),"已有排期字段缺少机台",IF(AND(X952&lt;&gt;"",Y952="待排"),"已填机台但状态为待排",IF(AND(Y952="生产中",AB952&lt;&gt;"是"),"需确认：生产中未锁定","可导入"))))))</x:f>
      </x:c>
    </x:row>
    <x:row r="953" ht="22" customHeight="1">
      <x:c r="A953" s="186" t="str">
        <x:f>IF(B953="","",ROW()-5)</x:f>
      </x:c>
      <x:c r="B953" s="196"/>
      <x:c r="C953" s="198"/>
      <x:c r="D953" s="196"/>
      <x:c r="E953" s="188"/>
      <x:c r="F953" s="198"/>
      <x:c r="G953" s="202"/>
      <x:c r="H953" s="204"/>
      <x:c r="I953" s="206" t="str">
        <x:f>IF(G953="","",MAX(G953-H953,0))</x:f>
      </x:c>
      <x:c r="J953" s="210"/>
      <x:c r="K953" s="190"/>
      <x:c r="L953" s="208"/>
      <x:c r="M953" s="208"/>
      <x:c r="N953" s="208"/>
      <x:c r="O953" s="208"/>
      <x:c r="P953" s="190"/>
      <x:c r="Q953" s="190"/>
      <x:c r="R953" s="190"/>
      <x:c r="S953" s="190"/>
      <x:c r="T953" s="190"/>
      <x:c r="U953" s="190"/>
      <x:c r="V953" s="212"/>
      <x:c r="W953" s="212"/>
      <x:c r="X953" s="200"/>
      <x:c r="Y953" s="192"/>
      <x:c r="Z953" s="214"/>
      <x:c r="AA953" s="214"/>
      <x:c r="AB953" s="192"/>
      <x:c r="AC953" s="194"/>
      <x:c r="AD953" s="186" t="str">
        <x:f>IF(COUNTA(B953:H953)+COUNTA(J953:AC953)=0,"",IF(OR(B953="",D953="",E953="",G953="",J953=""),"缺少必填项",IF(H953&gt;G953,"完成数大于订单数",IF(AND(X953="",OR(Y953="排队",Y953="生产中",Y953="阻塞",Z953&lt;&gt;"",AA953&lt;&gt;"",AB953="是")),"已有排期字段缺少机台",IF(AND(X953&lt;&gt;"",Y953="待排"),"已填机台但状态为待排",IF(AND(Y953="生产中",AB953&lt;&gt;"是"),"需确认：生产中未锁定","可导入"))))))</x:f>
      </x:c>
    </x:row>
    <x:row r="954" ht="22" customHeight="1">
      <x:c r="A954" s="186" t="str">
        <x:f>IF(B954="","",ROW()-5)</x:f>
      </x:c>
      <x:c r="B954" s="196"/>
      <x:c r="C954" s="198"/>
      <x:c r="D954" s="196"/>
      <x:c r="E954" s="188"/>
      <x:c r="F954" s="198"/>
      <x:c r="G954" s="202"/>
      <x:c r="H954" s="204"/>
      <x:c r="I954" s="206" t="str">
        <x:f>IF(G954="","",MAX(G954-H954,0))</x:f>
      </x:c>
      <x:c r="J954" s="210"/>
      <x:c r="K954" s="190"/>
      <x:c r="L954" s="208"/>
      <x:c r="M954" s="208"/>
      <x:c r="N954" s="208"/>
      <x:c r="O954" s="208"/>
      <x:c r="P954" s="190"/>
      <x:c r="Q954" s="190"/>
      <x:c r="R954" s="190"/>
      <x:c r="S954" s="190"/>
      <x:c r="T954" s="190"/>
      <x:c r="U954" s="190"/>
      <x:c r="V954" s="212"/>
      <x:c r="W954" s="212"/>
      <x:c r="X954" s="200"/>
      <x:c r="Y954" s="192"/>
      <x:c r="Z954" s="214"/>
      <x:c r="AA954" s="214"/>
      <x:c r="AB954" s="192"/>
      <x:c r="AC954" s="194"/>
      <x:c r="AD954" s="186" t="str">
        <x:f>IF(COUNTA(B954:H954)+COUNTA(J954:AC954)=0,"",IF(OR(B954="",D954="",E954="",G954="",J954=""),"缺少必填项",IF(H954&gt;G954,"完成数大于订单数",IF(AND(X954="",OR(Y954="排队",Y954="生产中",Y954="阻塞",Z954&lt;&gt;"",AA954&lt;&gt;"",AB954="是")),"已有排期字段缺少机台",IF(AND(X954&lt;&gt;"",Y954="待排"),"已填机台但状态为待排",IF(AND(Y954="生产中",AB954&lt;&gt;"是"),"需确认：生产中未锁定","可导入"))))))</x:f>
      </x:c>
    </x:row>
    <x:row r="955" ht="22" customHeight="1">
      <x:c r="A955" s="186" t="str">
        <x:f>IF(B955="","",ROW()-5)</x:f>
      </x:c>
      <x:c r="B955" s="196"/>
      <x:c r="C955" s="198"/>
      <x:c r="D955" s="196"/>
      <x:c r="E955" s="188"/>
      <x:c r="F955" s="198"/>
      <x:c r="G955" s="202"/>
      <x:c r="H955" s="204"/>
      <x:c r="I955" s="206" t="str">
        <x:f>IF(G955="","",MAX(G955-H955,0))</x:f>
      </x:c>
      <x:c r="J955" s="210"/>
      <x:c r="K955" s="190"/>
      <x:c r="L955" s="208"/>
      <x:c r="M955" s="208"/>
      <x:c r="N955" s="208"/>
      <x:c r="O955" s="208"/>
      <x:c r="P955" s="190"/>
      <x:c r="Q955" s="190"/>
      <x:c r="R955" s="190"/>
      <x:c r="S955" s="190"/>
      <x:c r="T955" s="190"/>
      <x:c r="U955" s="190"/>
      <x:c r="V955" s="212"/>
      <x:c r="W955" s="212"/>
      <x:c r="X955" s="200"/>
      <x:c r="Y955" s="192"/>
      <x:c r="Z955" s="214"/>
      <x:c r="AA955" s="214"/>
      <x:c r="AB955" s="192"/>
      <x:c r="AC955" s="194"/>
      <x:c r="AD955" s="186" t="str">
        <x:f>IF(COUNTA(B955:H955)+COUNTA(J955:AC955)=0,"",IF(OR(B955="",D955="",E955="",G955="",J955=""),"缺少必填项",IF(H955&gt;G955,"完成数大于订单数",IF(AND(X955="",OR(Y955="排队",Y955="生产中",Y955="阻塞",Z955&lt;&gt;"",AA955&lt;&gt;"",AB955="是")),"已有排期字段缺少机台",IF(AND(X955&lt;&gt;"",Y955="待排"),"已填机台但状态为待排",IF(AND(Y955="生产中",AB955&lt;&gt;"是"),"需确认：生产中未锁定","可导入"))))))</x:f>
      </x:c>
    </x:row>
    <x:row r="956" ht="22" customHeight="1">
      <x:c r="A956" s="186" t="str">
        <x:f>IF(B956="","",ROW()-5)</x:f>
      </x:c>
      <x:c r="B956" s="196"/>
      <x:c r="C956" s="198"/>
      <x:c r="D956" s="196"/>
      <x:c r="E956" s="188"/>
      <x:c r="F956" s="198"/>
      <x:c r="G956" s="202"/>
      <x:c r="H956" s="204"/>
      <x:c r="I956" s="206" t="str">
        <x:f>IF(G956="","",MAX(G956-H956,0))</x:f>
      </x:c>
      <x:c r="J956" s="210"/>
      <x:c r="K956" s="190"/>
      <x:c r="L956" s="208"/>
      <x:c r="M956" s="208"/>
      <x:c r="N956" s="208"/>
      <x:c r="O956" s="208"/>
      <x:c r="P956" s="190"/>
      <x:c r="Q956" s="190"/>
      <x:c r="R956" s="190"/>
      <x:c r="S956" s="190"/>
      <x:c r="T956" s="190"/>
      <x:c r="U956" s="190"/>
      <x:c r="V956" s="212"/>
      <x:c r="W956" s="212"/>
      <x:c r="X956" s="200"/>
      <x:c r="Y956" s="192"/>
      <x:c r="Z956" s="214"/>
      <x:c r="AA956" s="214"/>
      <x:c r="AB956" s="192"/>
      <x:c r="AC956" s="194"/>
      <x:c r="AD956" s="186" t="str">
        <x:f>IF(COUNTA(B956:H956)+COUNTA(J956:AC956)=0,"",IF(OR(B956="",D956="",E956="",G956="",J956=""),"缺少必填项",IF(H956&gt;G956,"完成数大于订单数",IF(AND(X956="",OR(Y956="排队",Y956="生产中",Y956="阻塞",Z956&lt;&gt;"",AA956&lt;&gt;"",AB956="是")),"已有排期字段缺少机台",IF(AND(X956&lt;&gt;"",Y956="待排"),"已填机台但状态为待排",IF(AND(Y956="生产中",AB956&lt;&gt;"是"),"需确认：生产中未锁定","可导入"))))))</x:f>
      </x:c>
    </x:row>
    <x:row r="957" ht="22" customHeight="1">
      <x:c r="A957" s="186" t="str">
        <x:f>IF(B957="","",ROW()-5)</x:f>
      </x:c>
      <x:c r="B957" s="196"/>
      <x:c r="C957" s="198"/>
      <x:c r="D957" s="196"/>
      <x:c r="E957" s="188"/>
      <x:c r="F957" s="198"/>
      <x:c r="G957" s="202"/>
      <x:c r="H957" s="204"/>
      <x:c r="I957" s="206" t="str">
        <x:f>IF(G957="","",MAX(G957-H957,0))</x:f>
      </x:c>
      <x:c r="J957" s="210"/>
      <x:c r="K957" s="190"/>
      <x:c r="L957" s="208"/>
      <x:c r="M957" s="208"/>
      <x:c r="N957" s="208"/>
      <x:c r="O957" s="208"/>
      <x:c r="P957" s="190"/>
      <x:c r="Q957" s="190"/>
      <x:c r="R957" s="190"/>
      <x:c r="S957" s="190"/>
      <x:c r="T957" s="190"/>
      <x:c r="U957" s="190"/>
      <x:c r="V957" s="212"/>
      <x:c r="W957" s="212"/>
      <x:c r="X957" s="200"/>
      <x:c r="Y957" s="192"/>
      <x:c r="Z957" s="214"/>
      <x:c r="AA957" s="214"/>
      <x:c r="AB957" s="192"/>
      <x:c r="AC957" s="194"/>
      <x:c r="AD957" s="186" t="str">
        <x:f>IF(COUNTA(B957:H957)+COUNTA(J957:AC957)=0,"",IF(OR(B957="",D957="",E957="",G957="",J957=""),"缺少必填项",IF(H957&gt;G957,"完成数大于订单数",IF(AND(X957="",OR(Y957="排队",Y957="生产中",Y957="阻塞",Z957&lt;&gt;"",AA957&lt;&gt;"",AB957="是")),"已有排期字段缺少机台",IF(AND(X957&lt;&gt;"",Y957="待排"),"已填机台但状态为待排",IF(AND(Y957="生产中",AB957&lt;&gt;"是"),"需确认：生产中未锁定","可导入"))))))</x:f>
      </x:c>
    </x:row>
    <x:row r="958" ht="22" customHeight="1">
      <x:c r="A958" s="186" t="str">
        <x:f>IF(B958="","",ROW()-5)</x:f>
      </x:c>
      <x:c r="B958" s="196"/>
      <x:c r="C958" s="198"/>
      <x:c r="D958" s="196"/>
      <x:c r="E958" s="188"/>
      <x:c r="F958" s="198"/>
      <x:c r="G958" s="202"/>
      <x:c r="H958" s="204"/>
      <x:c r="I958" s="206" t="str">
        <x:f>IF(G958="","",MAX(G958-H958,0))</x:f>
      </x:c>
      <x:c r="J958" s="210"/>
      <x:c r="K958" s="190"/>
      <x:c r="L958" s="208"/>
      <x:c r="M958" s="208"/>
      <x:c r="N958" s="208"/>
      <x:c r="O958" s="208"/>
      <x:c r="P958" s="190"/>
      <x:c r="Q958" s="190"/>
      <x:c r="R958" s="190"/>
      <x:c r="S958" s="190"/>
      <x:c r="T958" s="190"/>
      <x:c r="U958" s="190"/>
      <x:c r="V958" s="212"/>
      <x:c r="W958" s="212"/>
      <x:c r="X958" s="200"/>
      <x:c r="Y958" s="192"/>
      <x:c r="Z958" s="214"/>
      <x:c r="AA958" s="214"/>
      <x:c r="AB958" s="192"/>
      <x:c r="AC958" s="194"/>
      <x:c r="AD958" s="186" t="str">
        <x:f>IF(COUNTA(B958:H958)+COUNTA(J958:AC958)=0,"",IF(OR(B958="",D958="",E958="",G958="",J958=""),"缺少必填项",IF(H958&gt;G958,"完成数大于订单数",IF(AND(X958="",OR(Y958="排队",Y958="生产中",Y958="阻塞",Z958&lt;&gt;"",AA958&lt;&gt;"",AB958="是")),"已有排期字段缺少机台",IF(AND(X958&lt;&gt;"",Y958="待排"),"已填机台但状态为待排",IF(AND(Y958="生产中",AB958&lt;&gt;"是"),"需确认：生产中未锁定","可导入"))))))</x:f>
      </x:c>
    </x:row>
    <x:row r="959" ht="22" customHeight="1">
      <x:c r="A959" s="186" t="str">
        <x:f>IF(B959="","",ROW()-5)</x:f>
      </x:c>
      <x:c r="B959" s="196"/>
      <x:c r="C959" s="198"/>
      <x:c r="D959" s="196"/>
      <x:c r="E959" s="188"/>
      <x:c r="F959" s="198"/>
      <x:c r="G959" s="202"/>
      <x:c r="H959" s="204"/>
      <x:c r="I959" s="206" t="str">
        <x:f>IF(G959="","",MAX(G959-H959,0))</x:f>
      </x:c>
      <x:c r="J959" s="210"/>
      <x:c r="K959" s="190"/>
      <x:c r="L959" s="208"/>
      <x:c r="M959" s="208"/>
      <x:c r="N959" s="208"/>
      <x:c r="O959" s="208"/>
      <x:c r="P959" s="190"/>
      <x:c r="Q959" s="190"/>
      <x:c r="R959" s="190"/>
      <x:c r="S959" s="190"/>
      <x:c r="T959" s="190"/>
      <x:c r="U959" s="190"/>
      <x:c r="V959" s="212"/>
      <x:c r="W959" s="212"/>
      <x:c r="X959" s="200"/>
      <x:c r="Y959" s="192"/>
      <x:c r="Z959" s="214"/>
      <x:c r="AA959" s="214"/>
      <x:c r="AB959" s="192"/>
      <x:c r="AC959" s="194"/>
      <x:c r="AD959" s="186" t="str">
        <x:f>IF(COUNTA(B959:H959)+COUNTA(J959:AC959)=0,"",IF(OR(B959="",D959="",E959="",G959="",J959=""),"缺少必填项",IF(H959&gt;G959,"完成数大于订单数",IF(AND(X959="",OR(Y959="排队",Y959="生产中",Y959="阻塞",Z959&lt;&gt;"",AA959&lt;&gt;"",AB959="是")),"已有排期字段缺少机台",IF(AND(X959&lt;&gt;"",Y959="待排"),"已填机台但状态为待排",IF(AND(Y959="生产中",AB959&lt;&gt;"是"),"需确认：生产中未锁定","可导入"))))))</x:f>
      </x:c>
    </x:row>
    <x:row r="960" ht="22" customHeight="1">
      <x:c r="A960" s="186" t="str">
        <x:f>IF(B960="","",ROW()-5)</x:f>
      </x:c>
      <x:c r="B960" s="196"/>
      <x:c r="C960" s="198"/>
      <x:c r="D960" s="196"/>
      <x:c r="E960" s="188"/>
      <x:c r="F960" s="198"/>
      <x:c r="G960" s="202"/>
      <x:c r="H960" s="204"/>
      <x:c r="I960" s="206" t="str">
        <x:f>IF(G960="","",MAX(G960-H960,0))</x:f>
      </x:c>
      <x:c r="J960" s="210"/>
      <x:c r="K960" s="190"/>
      <x:c r="L960" s="208"/>
      <x:c r="M960" s="208"/>
      <x:c r="N960" s="208"/>
      <x:c r="O960" s="208"/>
      <x:c r="P960" s="190"/>
      <x:c r="Q960" s="190"/>
      <x:c r="R960" s="190"/>
      <x:c r="S960" s="190"/>
      <x:c r="T960" s="190"/>
      <x:c r="U960" s="190"/>
      <x:c r="V960" s="212"/>
      <x:c r="W960" s="212"/>
      <x:c r="X960" s="200"/>
      <x:c r="Y960" s="192"/>
      <x:c r="Z960" s="214"/>
      <x:c r="AA960" s="214"/>
      <x:c r="AB960" s="192"/>
      <x:c r="AC960" s="194"/>
      <x:c r="AD960" s="186" t="str">
        <x:f>IF(COUNTA(B960:H960)+COUNTA(J960:AC960)=0,"",IF(OR(B960="",D960="",E960="",G960="",J960=""),"缺少必填项",IF(H960&gt;G960,"完成数大于订单数",IF(AND(X960="",OR(Y960="排队",Y960="生产中",Y960="阻塞",Z960&lt;&gt;"",AA960&lt;&gt;"",AB960="是")),"已有排期字段缺少机台",IF(AND(X960&lt;&gt;"",Y960="待排"),"已填机台但状态为待排",IF(AND(Y960="生产中",AB960&lt;&gt;"是"),"需确认：生产中未锁定","可导入"))))))</x:f>
      </x:c>
    </x:row>
    <x:row r="961" ht="22" customHeight="1">
      <x:c r="A961" s="186" t="str">
        <x:f>IF(B961="","",ROW()-5)</x:f>
      </x:c>
      <x:c r="B961" s="196"/>
      <x:c r="C961" s="198"/>
      <x:c r="D961" s="196"/>
      <x:c r="E961" s="188"/>
      <x:c r="F961" s="198"/>
      <x:c r="G961" s="202"/>
      <x:c r="H961" s="204"/>
      <x:c r="I961" s="206" t="str">
        <x:f>IF(G961="","",MAX(G961-H961,0))</x:f>
      </x:c>
      <x:c r="J961" s="210"/>
      <x:c r="K961" s="190"/>
      <x:c r="L961" s="208"/>
      <x:c r="M961" s="208"/>
      <x:c r="N961" s="208"/>
      <x:c r="O961" s="208"/>
      <x:c r="P961" s="190"/>
      <x:c r="Q961" s="190"/>
      <x:c r="R961" s="190"/>
      <x:c r="S961" s="190"/>
      <x:c r="T961" s="190"/>
      <x:c r="U961" s="190"/>
      <x:c r="V961" s="212"/>
      <x:c r="W961" s="212"/>
      <x:c r="X961" s="200"/>
      <x:c r="Y961" s="192"/>
      <x:c r="Z961" s="214"/>
      <x:c r="AA961" s="214"/>
      <x:c r="AB961" s="192"/>
      <x:c r="AC961" s="194"/>
      <x:c r="AD961" s="186" t="str">
        <x:f>IF(COUNTA(B961:H961)+COUNTA(J961:AC961)=0,"",IF(OR(B961="",D961="",E961="",G961="",J961=""),"缺少必填项",IF(H961&gt;G961,"完成数大于订单数",IF(AND(X961="",OR(Y961="排队",Y961="生产中",Y961="阻塞",Z961&lt;&gt;"",AA961&lt;&gt;"",AB961="是")),"已有排期字段缺少机台",IF(AND(X961&lt;&gt;"",Y961="待排"),"已填机台但状态为待排",IF(AND(Y961="生产中",AB961&lt;&gt;"是"),"需确认：生产中未锁定","可导入"))))))</x:f>
      </x:c>
    </x:row>
    <x:row r="962" ht="22" customHeight="1">
      <x:c r="A962" s="186" t="str">
        <x:f>IF(B962="","",ROW()-5)</x:f>
      </x:c>
      <x:c r="B962" s="196"/>
      <x:c r="C962" s="198"/>
      <x:c r="D962" s="196"/>
      <x:c r="E962" s="188"/>
      <x:c r="F962" s="198"/>
      <x:c r="G962" s="202"/>
      <x:c r="H962" s="204"/>
      <x:c r="I962" s="206" t="str">
        <x:f>IF(G962="","",MAX(G962-H962,0))</x:f>
      </x:c>
      <x:c r="J962" s="210"/>
      <x:c r="K962" s="190"/>
      <x:c r="L962" s="208"/>
      <x:c r="M962" s="208"/>
      <x:c r="N962" s="208"/>
      <x:c r="O962" s="208"/>
      <x:c r="P962" s="190"/>
      <x:c r="Q962" s="190"/>
      <x:c r="R962" s="190"/>
      <x:c r="S962" s="190"/>
      <x:c r="T962" s="190"/>
      <x:c r="U962" s="190"/>
      <x:c r="V962" s="212"/>
      <x:c r="W962" s="212"/>
      <x:c r="X962" s="200"/>
      <x:c r="Y962" s="192"/>
      <x:c r="Z962" s="214"/>
      <x:c r="AA962" s="214"/>
      <x:c r="AB962" s="192"/>
      <x:c r="AC962" s="194"/>
      <x:c r="AD962" s="186" t="str">
        <x:f>IF(COUNTA(B962:H962)+COUNTA(J962:AC962)=0,"",IF(OR(B962="",D962="",E962="",G962="",J962=""),"缺少必填项",IF(H962&gt;G962,"完成数大于订单数",IF(AND(X962="",OR(Y962="排队",Y962="生产中",Y962="阻塞",Z962&lt;&gt;"",AA962&lt;&gt;"",AB962="是")),"已有排期字段缺少机台",IF(AND(X962&lt;&gt;"",Y962="待排"),"已填机台但状态为待排",IF(AND(Y962="生产中",AB962&lt;&gt;"是"),"需确认：生产中未锁定","可导入"))))))</x:f>
      </x:c>
    </x:row>
    <x:row r="963" ht="22" customHeight="1">
      <x:c r="A963" s="186" t="str">
        <x:f>IF(B963="","",ROW()-5)</x:f>
      </x:c>
      <x:c r="B963" s="196"/>
      <x:c r="C963" s="198"/>
      <x:c r="D963" s="196"/>
      <x:c r="E963" s="188"/>
      <x:c r="F963" s="198"/>
      <x:c r="G963" s="202"/>
      <x:c r="H963" s="204"/>
      <x:c r="I963" s="206" t="str">
        <x:f>IF(G963="","",MAX(G963-H963,0))</x:f>
      </x:c>
      <x:c r="J963" s="210"/>
      <x:c r="K963" s="190"/>
      <x:c r="L963" s="208"/>
      <x:c r="M963" s="208"/>
      <x:c r="N963" s="208"/>
      <x:c r="O963" s="208"/>
      <x:c r="P963" s="190"/>
      <x:c r="Q963" s="190"/>
      <x:c r="R963" s="190"/>
      <x:c r="S963" s="190"/>
      <x:c r="T963" s="190"/>
      <x:c r="U963" s="190"/>
      <x:c r="V963" s="212"/>
      <x:c r="W963" s="212"/>
      <x:c r="X963" s="200"/>
      <x:c r="Y963" s="192"/>
      <x:c r="Z963" s="214"/>
      <x:c r="AA963" s="214"/>
      <x:c r="AB963" s="192"/>
      <x:c r="AC963" s="194"/>
      <x:c r="AD963" s="186" t="str">
        <x:f>IF(COUNTA(B963:H963)+COUNTA(J963:AC963)=0,"",IF(OR(B963="",D963="",E963="",G963="",J963=""),"缺少必填项",IF(H963&gt;G963,"完成数大于订单数",IF(AND(X963="",OR(Y963="排队",Y963="生产中",Y963="阻塞",Z963&lt;&gt;"",AA963&lt;&gt;"",AB963="是")),"已有排期字段缺少机台",IF(AND(X963&lt;&gt;"",Y963="待排"),"已填机台但状态为待排",IF(AND(Y963="生产中",AB963&lt;&gt;"是"),"需确认：生产中未锁定","可导入"))))))</x:f>
      </x:c>
    </x:row>
    <x:row r="964" ht="22" customHeight="1">
      <x:c r="A964" s="186" t="str">
        <x:f>IF(B964="","",ROW()-5)</x:f>
      </x:c>
      <x:c r="B964" s="196"/>
      <x:c r="C964" s="198"/>
      <x:c r="D964" s="196"/>
      <x:c r="E964" s="188"/>
      <x:c r="F964" s="198"/>
      <x:c r="G964" s="202"/>
      <x:c r="H964" s="204"/>
      <x:c r="I964" s="206" t="str">
        <x:f>IF(G964="","",MAX(G964-H964,0))</x:f>
      </x:c>
      <x:c r="J964" s="210"/>
      <x:c r="K964" s="190"/>
      <x:c r="L964" s="208"/>
      <x:c r="M964" s="208"/>
      <x:c r="N964" s="208"/>
      <x:c r="O964" s="208"/>
      <x:c r="P964" s="190"/>
      <x:c r="Q964" s="190"/>
      <x:c r="R964" s="190"/>
      <x:c r="S964" s="190"/>
      <x:c r="T964" s="190"/>
      <x:c r="U964" s="190"/>
      <x:c r="V964" s="212"/>
      <x:c r="W964" s="212"/>
      <x:c r="X964" s="200"/>
      <x:c r="Y964" s="192"/>
      <x:c r="Z964" s="214"/>
      <x:c r="AA964" s="214"/>
      <x:c r="AB964" s="192"/>
      <x:c r="AC964" s="194"/>
      <x:c r="AD964" s="186" t="str">
        <x:f>IF(COUNTA(B964:H964)+COUNTA(J964:AC964)=0,"",IF(OR(B964="",D964="",E964="",G964="",J964=""),"缺少必填项",IF(H964&gt;G964,"完成数大于订单数",IF(AND(X964="",OR(Y964="排队",Y964="生产中",Y964="阻塞",Z964&lt;&gt;"",AA964&lt;&gt;"",AB964="是")),"已有排期字段缺少机台",IF(AND(X964&lt;&gt;"",Y964="待排"),"已填机台但状态为待排",IF(AND(Y964="生产中",AB964&lt;&gt;"是"),"需确认：生产中未锁定","可导入"))))))</x:f>
      </x:c>
    </x:row>
    <x:row r="965" ht="22" customHeight="1">
      <x:c r="A965" s="186" t="str">
        <x:f>IF(B965="","",ROW()-5)</x:f>
      </x:c>
      <x:c r="B965" s="196"/>
      <x:c r="C965" s="198"/>
      <x:c r="D965" s="196"/>
      <x:c r="E965" s="188"/>
      <x:c r="F965" s="198"/>
      <x:c r="G965" s="202"/>
      <x:c r="H965" s="204"/>
      <x:c r="I965" s="206" t="str">
        <x:f>IF(G965="","",MAX(G965-H965,0))</x:f>
      </x:c>
      <x:c r="J965" s="210"/>
      <x:c r="K965" s="190"/>
      <x:c r="L965" s="208"/>
      <x:c r="M965" s="208"/>
      <x:c r="N965" s="208"/>
      <x:c r="O965" s="208"/>
      <x:c r="P965" s="190"/>
      <x:c r="Q965" s="190"/>
      <x:c r="R965" s="190"/>
      <x:c r="S965" s="190"/>
      <x:c r="T965" s="190"/>
      <x:c r="U965" s="190"/>
      <x:c r="V965" s="212"/>
      <x:c r="W965" s="212"/>
      <x:c r="X965" s="200"/>
      <x:c r="Y965" s="192"/>
      <x:c r="Z965" s="214"/>
      <x:c r="AA965" s="214"/>
      <x:c r="AB965" s="192"/>
      <x:c r="AC965" s="194"/>
      <x:c r="AD965" s="186" t="str">
        <x:f>IF(COUNTA(B965:H965)+COUNTA(J965:AC965)=0,"",IF(OR(B965="",D965="",E965="",G965="",J965=""),"缺少必填项",IF(H965&gt;G965,"完成数大于订单数",IF(AND(X965="",OR(Y965="排队",Y965="生产中",Y965="阻塞",Z965&lt;&gt;"",AA965&lt;&gt;"",AB965="是")),"已有排期字段缺少机台",IF(AND(X965&lt;&gt;"",Y965="待排"),"已填机台但状态为待排",IF(AND(Y965="生产中",AB965&lt;&gt;"是"),"需确认：生产中未锁定","可导入"))))))</x:f>
      </x:c>
    </x:row>
    <x:row r="966" ht="22" customHeight="1">
      <x:c r="A966" s="186" t="str">
        <x:f>IF(B966="","",ROW()-5)</x:f>
      </x:c>
      <x:c r="B966" s="196"/>
      <x:c r="C966" s="198"/>
      <x:c r="D966" s="196"/>
      <x:c r="E966" s="188"/>
      <x:c r="F966" s="198"/>
      <x:c r="G966" s="202"/>
      <x:c r="H966" s="204"/>
      <x:c r="I966" s="206" t="str">
        <x:f>IF(G966="","",MAX(G966-H966,0))</x:f>
      </x:c>
      <x:c r="J966" s="210"/>
      <x:c r="K966" s="190"/>
      <x:c r="L966" s="208"/>
      <x:c r="M966" s="208"/>
      <x:c r="N966" s="208"/>
      <x:c r="O966" s="208"/>
      <x:c r="P966" s="190"/>
      <x:c r="Q966" s="190"/>
      <x:c r="R966" s="190"/>
      <x:c r="S966" s="190"/>
      <x:c r="T966" s="190"/>
      <x:c r="U966" s="190"/>
      <x:c r="V966" s="212"/>
      <x:c r="W966" s="212"/>
      <x:c r="X966" s="200"/>
      <x:c r="Y966" s="192"/>
      <x:c r="Z966" s="214"/>
      <x:c r="AA966" s="214"/>
      <x:c r="AB966" s="192"/>
      <x:c r="AC966" s="194"/>
      <x:c r="AD966" s="186" t="str">
        <x:f>IF(COUNTA(B966:H966)+COUNTA(J966:AC966)=0,"",IF(OR(B966="",D966="",E966="",G966="",J966=""),"缺少必填项",IF(H966&gt;G966,"完成数大于订单数",IF(AND(X966="",OR(Y966="排队",Y966="生产中",Y966="阻塞",Z966&lt;&gt;"",AA966&lt;&gt;"",AB966="是")),"已有排期字段缺少机台",IF(AND(X966&lt;&gt;"",Y966="待排"),"已填机台但状态为待排",IF(AND(Y966="生产中",AB966&lt;&gt;"是"),"需确认：生产中未锁定","可导入"))))))</x:f>
      </x:c>
    </x:row>
    <x:row r="967" ht="22" customHeight="1">
      <x:c r="A967" s="186" t="str">
        <x:f>IF(B967="","",ROW()-5)</x:f>
      </x:c>
      <x:c r="B967" s="196"/>
      <x:c r="C967" s="198"/>
      <x:c r="D967" s="196"/>
      <x:c r="E967" s="188"/>
      <x:c r="F967" s="198"/>
      <x:c r="G967" s="202"/>
      <x:c r="H967" s="204"/>
      <x:c r="I967" s="206" t="str">
        <x:f>IF(G967="","",MAX(G967-H967,0))</x:f>
      </x:c>
      <x:c r="J967" s="210"/>
      <x:c r="K967" s="190"/>
      <x:c r="L967" s="208"/>
      <x:c r="M967" s="208"/>
      <x:c r="N967" s="208"/>
      <x:c r="O967" s="208"/>
      <x:c r="P967" s="190"/>
      <x:c r="Q967" s="190"/>
      <x:c r="R967" s="190"/>
      <x:c r="S967" s="190"/>
      <x:c r="T967" s="190"/>
      <x:c r="U967" s="190"/>
      <x:c r="V967" s="212"/>
      <x:c r="W967" s="212"/>
      <x:c r="X967" s="200"/>
      <x:c r="Y967" s="192"/>
      <x:c r="Z967" s="214"/>
      <x:c r="AA967" s="214"/>
      <x:c r="AB967" s="192"/>
      <x:c r="AC967" s="194"/>
      <x:c r="AD967" s="186" t="str">
        <x:f>IF(COUNTA(B967:H967)+COUNTA(J967:AC967)=0,"",IF(OR(B967="",D967="",E967="",G967="",J967=""),"缺少必填项",IF(H967&gt;G967,"完成数大于订单数",IF(AND(X967="",OR(Y967="排队",Y967="生产中",Y967="阻塞",Z967&lt;&gt;"",AA967&lt;&gt;"",AB967="是")),"已有排期字段缺少机台",IF(AND(X967&lt;&gt;"",Y967="待排"),"已填机台但状态为待排",IF(AND(Y967="生产中",AB967&lt;&gt;"是"),"需确认：生产中未锁定","可导入"))))))</x:f>
      </x:c>
    </x:row>
    <x:row r="968" ht="22" customHeight="1">
      <x:c r="A968" s="186" t="str">
        <x:f>IF(B968="","",ROW()-5)</x:f>
      </x:c>
      <x:c r="B968" s="196"/>
      <x:c r="C968" s="198"/>
      <x:c r="D968" s="196"/>
      <x:c r="E968" s="188"/>
      <x:c r="F968" s="198"/>
      <x:c r="G968" s="202"/>
      <x:c r="H968" s="204"/>
      <x:c r="I968" s="206" t="str">
        <x:f>IF(G968="","",MAX(G968-H968,0))</x:f>
      </x:c>
      <x:c r="J968" s="210"/>
      <x:c r="K968" s="190"/>
      <x:c r="L968" s="208"/>
      <x:c r="M968" s="208"/>
      <x:c r="N968" s="208"/>
      <x:c r="O968" s="208"/>
      <x:c r="P968" s="190"/>
      <x:c r="Q968" s="190"/>
      <x:c r="R968" s="190"/>
      <x:c r="S968" s="190"/>
      <x:c r="T968" s="190"/>
      <x:c r="U968" s="190"/>
      <x:c r="V968" s="212"/>
      <x:c r="W968" s="212"/>
      <x:c r="X968" s="200"/>
      <x:c r="Y968" s="192"/>
      <x:c r="Z968" s="214"/>
      <x:c r="AA968" s="214"/>
      <x:c r="AB968" s="192"/>
      <x:c r="AC968" s="194"/>
      <x:c r="AD968" s="186" t="str">
        <x:f>IF(COUNTA(B968:H968)+COUNTA(J968:AC968)=0,"",IF(OR(B968="",D968="",E968="",G968="",J968=""),"缺少必填项",IF(H968&gt;G968,"完成数大于订单数",IF(AND(X968="",OR(Y968="排队",Y968="生产中",Y968="阻塞",Z968&lt;&gt;"",AA968&lt;&gt;"",AB968="是")),"已有排期字段缺少机台",IF(AND(X968&lt;&gt;"",Y968="待排"),"已填机台但状态为待排",IF(AND(Y968="生产中",AB968&lt;&gt;"是"),"需确认：生产中未锁定","可导入"))))))</x:f>
      </x:c>
    </x:row>
    <x:row r="969" ht="22" customHeight="1">
      <x:c r="A969" s="186" t="str">
        <x:f>IF(B969="","",ROW()-5)</x:f>
      </x:c>
      <x:c r="B969" s="196"/>
      <x:c r="C969" s="198"/>
      <x:c r="D969" s="196"/>
      <x:c r="E969" s="188"/>
      <x:c r="F969" s="198"/>
      <x:c r="G969" s="202"/>
      <x:c r="H969" s="204"/>
      <x:c r="I969" s="206" t="str">
        <x:f>IF(G969="","",MAX(G969-H969,0))</x:f>
      </x:c>
      <x:c r="J969" s="210"/>
      <x:c r="K969" s="190"/>
      <x:c r="L969" s="208"/>
      <x:c r="M969" s="208"/>
      <x:c r="N969" s="208"/>
      <x:c r="O969" s="208"/>
      <x:c r="P969" s="190"/>
      <x:c r="Q969" s="190"/>
      <x:c r="R969" s="190"/>
      <x:c r="S969" s="190"/>
      <x:c r="T969" s="190"/>
      <x:c r="U969" s="190"/>
      <x:c r="V969" s="212"/>
      <x:c r="W969" s="212"/>
      <x:c r="X969" s="200"/>
      <x:c r="Y969" s="192"/>
      <x:c r="Z969" s="214"/>
      <x:c r="AA969" s="214"/>
      <x:c r="AB969" s="192"/>
      <x:c r="AC969" s="194"/>
      <x:c r="AD969" s="186" t="str">
        <x:f>IF(COUNTA(B969:H969)+COUNTA(J969:AC969)=0,"",IF(OR(B969="",D969="",E969="",G969="",J969=""),"缺少必填项",IF(H969&gt;G969,"完成数大于订单数",IF(AND(X969="",OR(Y969="排队",Y969="生产中",Y969="阻塞",Z969&lt;&gt;"",AA969&lt;&gt;"",AB969="是")),"已有排期字段缺少机台",IF(AND(X969&lt;&gt;"",Y969="待排"),"已填机台但状态为待排",IF(AND(Y969="生产中",AB969&lt;&gt;"是"),"需确认：生产中未锁定","可导入"))))))</x:f>
      </x:c>
    </x:row>
    <x:row r="970" ht="22" customHeight="1">
      <x:c r="A970" s="186" t="str">
        <x:f>IF(B970="","",ROW()-5)</x:f>
      </x:c>
      <x:c r="B970" s="196"/>
      <x:c r="C970" s="198"/>
      <x:c r="D970" s="196"/>
      <x:c r="E970" s="188"/>
      <x:c r="F970" s="198"/>
      <x:c r="G970" s="202"/>
      <x:c r="H970" s="204"/>
      <x:c r="I970" s="206" t="str">
        <x:f>IF(G970="","",MAX(G970-H970,0))</x:f>
      </x:c>
      <x:c r="J970" s="210"/>
      <x:c r="K970" s="190"/>
      <x:c r="L970" s="208"/>
      <x:c r="M970" s="208"/>
      <x:c r="N970" s="208"/>
      <x:c r="O970" s="208"/>
      <x:c r="P970" s="190"/>
      <x:c r="Q970" s="190"/>
      <x:c r="R970" s="190"/>
      <x:c r="S970" s="190"/>
      <x:c r="T970" s="190"/>
      <x:c r="U970" s="190"/>
      <x:c r="V970" s="212"/>
      <x:c r="W970" s="212"/>
      <x:c r="X970" s="200"/>
      <x:c r="Y970" s="192"/>
      <x:c r="Z970" s="214"/>
      <x:c r="AA970" s="214"/>
      <x:c r="AB970" s="192"/>
      <x:c r="AC970" s="194"/>
      <x:c r="AD970" s="186" t="str">
        <x:f>IF(COUNTA(B970:H970)+COUNTA(J970:AC970)=0,"",IF(OR(B970="",D970="",E970="",G970="",J970=""),"缺少必填项",IF(H970&gt;G970,"完成数大于订单数",IF(AND(X970="",OR(Y970="排队",Y970="生产中",Y970="阻塞",Z970&lt;&gt;"",AA970&lt;&gt;"",AB970="是")),"已有排期字段缺少机台",IF(AND(X970&lt;&gt;"",Y970="待排"),"已填机台但状态为待排",IF(AND(Y970="生产中",AB970&lt;&gt;"是"),"需确认：生产中未锁定","可导入"))))))</x:f>
      </x:c>
    </x:row>
    <x:row r="971" ht="22" customHeight="1">
      <x:c r="A971" s="186" t="str">
        <x:f>IF(B971="","",ROW()-5)</x:f>
      </x:c>
      <x:c r="B971" s="196"/>
      <x:c r="C971" s="198"/>
      <x:c r="D971" s="196"/>
      <x:c r="E971" s="188"/>
      <x:c r="F971" s="198"/>
      <x:c r="G971" s="202"/>
      <x:c r="H971" s="204"/>
      <x:c r="I971" s="206" t="str">
        <x:f>IF(G971="","",MAX(G971-H971,0))</x:f>
      </x:c>
      <x:c r="J971" s="210"/>
      <x:c r="K971" s="190"/>
      <x:c r="L971" s="208"/>
      <x:c r="M971" s="208"/>
      <x:c r="N971" s="208"/>
      <x:c r="O971" s="208"/>
      <x:c r="P971" s="190"/>
      <x:c r="Q971" s="190"/>
      <x:c r="R971" s="190"/>
      <x:c r="S971" s="190"/>
      <x:c r="T971" s="190"/>
      <x:c r="U971" s="190"/>
      <x:c r="V971" s="212"/>
      <x:c r="W971" s="212"/>
      <x:c r="X971" s="200"/>
      <x:c r="Y971" s="192"/>
      <x:c r="Z971" s="214"/>
      <x:c r="AA971" s="214"/>
      <x:c r="AB971" s="192"/>
      <x:c r="AC971" s="194"/>
      <x:c r="AD971" s="186" t="str">
        <x:f>IF(COUNTA(B971:H971)+COUNTA(J971:AC971)=0,"",IF(OR(B971="",D971="",E971="",G971="",J971=""),"缺少必填项",IF(H971&gt;G971,"完成数大于订单数",IF(AND(X971="",OR(Y971="排队",Y971="生产中",Y971="阻塞",Z971&lt;&gt;"",AA971&lt;&gt;"",AB971="是")),"已有排期字段缺少机台",IF(AND(X971&lt;&gt;"",Y971="待排"),"已填机台但状态为待排",IF(AND(Y971="生产中",AB971&lt;&gt;"是"),"需确认：生产中未锁定","可导入"))))))</x:f>
      </x:c>
    </x:row>
    <x:row r="972" ht="22" customHeight="1">
      <x:c r="A972" s="186" t="str">
        <x:f>IF(B972="","",ROW()-5)</x:f>
      </x:c>
      <x:c r="B972" s="196"/>
      <x:c r="C972" s="198"/>
      <x:c r="D972" s="196"/>
      <x:c r="E972" s="188"/>
      <x:c r="F972" s="198"/>
      <x:c r="G972" s="202"/>
      <x:c r="H972" s="204"/>
      <x:c r="I972" s="206" t="str">
        <x:f>IF(G972="","",MAX(G972-H972,0))</x:f>
      </x:c>
      <x:c r="J972" s="210"/>
      <x:c r="K972" s="190"/>
      <x:c r="L972" s="208"/>
      <x:c r="M972" s="208"/>
      <x:c r="N972" s="208"/>
      <x:c r="O972" s="208"/>
      <x:c r="P972" s="190"/>
      <x:c r="Q972" s="190"/>
      <x:c r="R972" s="190"/>
      <x:c r="S972" s="190"/>
      <x:c r="T972" s="190"/>
      <x:c r="U972" s="190"/>
      <x:c r="V972" s="212"/>
      <x:c r="W972" s="212"/>
      <x:c r="X972" s="200"/>
      <x:c r="Y972" s="192"/>
      <x:c r="Z972" s="214"/>
      <x:c r="AA972" s="214"/>
      <x:c r="AB972" s="192"/>
      <x:c r="AC972" s="194"/>
      <x:c r="AD972" s="186" t="str">
        <x:f>IF(COUNTA(B972:H972)+COUNTA(J972:AC972)=0,"",IF(OR(B972="",D972="",E972="",G972="",J972=""),"缺少必填项",IF(H972&gt;G972,"完成数大于订单数",IF(AND(X972="",OR(Y972="排队",Y972="生产中",Y972="阻塞",Z972&lt;&gt;"",AA972&lt;&gt;"",AB972="是")),"已有排期字段缺少机台",IF(AND(X972&lt;&gt;"",Y972="待排"),"已填机台但状态为待排",IF(AND(Y972="生产中",AB972&lt;&gt;"是"),"需确认：生产中未锁定","可导入"))))))</x:f>
      </x:c>
    </x:row>
    <x:row r="973" ht="22" customHeight="1">
      <x:c r="A973" s="186" t="str">
        <x:f>IF(B973="","",ROW()-5)</x:f>
      </x:c>
      <x:c r="B973" s="196"/>
      <x:c r="C973" s="198"/>
      <x:c r="D973" s="196"/>
      <x:c r="E973" s="188"/>
      <x:c r="F973" s="198"/>
      <x:c r="G973" s="202"/>
      <x:c r="H973" s="204"/>
      <x:c r="I973" s="206" t="str">
        <x:f>IF(G973="","",MAX(G973-H973,0))</x:f>
      </x:c>
      <x:c r="J973" s="210"/>
      <x:c r="K973" s="190"/>
      <x:c r="L973" s="208"/>
      <x:c r="M973" s="208"/>
      <x:c r="N973" s="208"/>
      <x:c r="O973" s="208"/>
      <x:c r="P973" s="190"/>
      <x:c r="Q973" s="190"/>
      <x:c r="R973" s="190"/>
      <x:c r="S973" s="190"/>
      <x:c r="T973" s="190"/>
      <x:c r="U973" s="190"/>
      <x:c r="V973" s="212"/>
      <x:c r="W973" s="212"/>
      <x:c r="X973" s="200"/>
      <x:c r="Y973" s="192"/>
      <x:c r="Z973" s="214"/>
      <x:c r="AA973" s="214"/>
      <x:c r="AB973" s="192"/>
      <x:c r="AC973" s="194"/>
      <x:c r="AD973" s="186" t="str">
        <x:f>IF(COUNTA(B973:H973)+COUNTA(J973:AC973)=0,"",IF(OR(B973="",D973="",E973="",G973="",J973=""),"缺少必填项",IF(H973&gt;G973,"完成数大于订单数",IF(AND(X973="",OR(Y973="排队",Y973="生产中",Y973="阻塞",Z973&lt;&gt;"",AA973&lt;&gt;"",AB973="是")),"已有排期字段缺少机台",IF(AND(X973&lt;&gt;"",Y973="待排"),"已填机台但状态为待排",IF(AND(Y973="生产中",AB973&lt;&gt;"是"),"需确认：生产中未锁定","可导入"))))))</x:f>
      </x:c>
    </x:row>
    <x:row r="974" ht="22" customHeight="1">
      <x:c r="A974" s="186" t="str">
        <x:f>IF(B974="","",ROW()-5)</x:f>
      </x:c>
      <x:c r="B974" s="196"/>
      <x:c r="C974" s="198"/>
      <x:c r="D974" s="196"/>
      <x:c r="E974" s="188"/>
      <x:c r="F974" s="198"/>
      <x:c r="G974" s="202"/>
      <x:c r="H974" s="204"/>
      <x:c r="I974" s="206" t="str">
        <x:f>IF(G974="","",MAX(G974-H974,0))</x:f>
      </x:c>
      <x:c r="J974" s="210"/>
      <x:c r="K974" s="190"/>
      <x:c r="L974" s="208"/>
      <x:c r="M974" s="208"/>
      <x:c r="N974" s="208"/>
      <x:c r="O974" s="208"/>
      <x:c r="P974" s="190"/>
      <x:c r="Q974" s="190"/>
      <x:c r="R974" s="190"/>
      <x:c r="S974" s="190"/>
      <x:c r="T974" s="190"/>
      <x:c r="U974" s="190"/>
      <x:c r="V974" s="212"/>
      <x:c r="W974" s="212"/>
      <x:c r="X974" s="200"/>
      <x:c r="Y974" s="192"/>
      <x:c r="Z974" s="214"/>
      <x:c r="AA974" s="214"/>
      <x:c r="AB974" s="192"/>
      <x:c r="AC974" s="194"/>
      <x:c r="AD974" s="186" t="str">
        <x:f>IF(COUNTA(B974:H974)+COUNTA(J974:AC974)=0,"",IF(OR(B974="",D974="",E974="",G974="",J974=""),"缺少必填项",IF(H974&gt;G974,"完成数大于订单数",IF(AND(X974="",OR(Y974="排队",Y974="生产中",Y974="阻塞",Z974&lt;&gt;"",AA974&lt;&gt;"",AB974="是")),"已有排期字段缺少机台",IF(AND(X974&lt;&gt;"",Y974="待排"),"已填机台但状态为待排",IF(AND(Y974="生产中",AB974&lt;&gt;"是"),"需确认：生产中未锁定","可导入"))))))</x:f>
      </x:c>
    </x:row>
    <x:row r="975" ht="22" customHeight="1">
      <x:c r="A975" s="186" t="str">
        <x:f>IF(B975="","",ROW()-5)</x:f>
      </x:c>
      <x:c r="B975" s="196"/>
      <x:c r="C975" s="198"/>
      <x:c r="D975" s="196"/>
      <x:c r="E975" s="188"/>
      <x:c r="F975" s="198"/>
      <x:c r="G975" s="202"/>
      <x:c r="H975" s="204"/>
      <x:c r="I975" s="206" t="str">
        <x:f>IF(G975="","",MAX(G975-H975,0))</x:f>
      </x:c>
      <x:c r="J975" s="210"/>
      <x:c r="K975" s="190"/>
      <x:c r="L975" s="208"/>
      <x:c r="M975" s="208"/>
      <x:c r="N975" s="208"/>
      <x:c r="O975" s="208"/>
      <x:c r="P975" s="190"/>
      <x:c r="Q975" s="190"/>
      <x:c r="R975" s="190"/>
      <x:c r="S975" s="190"/>
      <x:c r="T975" s="190"/>
      <x:c r="U975" s="190"/>
      <x:c r="V975" s="212"/>
      <x:c r="W975" s="212"/>
      <x:c r="X975" s="200"/>
      <x:c r="Y975" s="192"/>
      <x:c r="Z975" s="214"/>
      <x:c r="AA975" s="214"/>
      <x:c r="AB975" s="192"/>
      <x:c r="AC975" s="194"/>
      <x:c r="AD975" s="186" t="str">
        <x:f>IF(COUNTA(B975:H975)+COUNTA(J975:AC975)=0,"",IF(OR(B975="",D975="",E975="",G975="",J975=""),"缺少必填项",IF(H975&gt;G975,"完成数大于订单数",IF(AND(X975="",OR(Y975="排队",Y975="生产中",Y975="阻塞",Z975&lt;&gt;"",AA975&lt;&gt;"",AB975="是")),"已有排期字段缺少机台",IF(AND(X975&lt;&gt;"",Y975="待排"),"已填机台但状态为待排",IF(AND(Y975="生产中",AB975&lt;&gt;"是"),"需确认：生产中未锁定","可导入"))))))</x:f>
      </x:c>
    </x:row>
    <x:row r="976" ht="22" customHeight="1">
      <x:c r="A976" s="186" t="str">
        <x:f>IF(B976="","",ROW()-5)</x:f>
      </x:c>
      <x:c r="B976" s="196"/>
      <x:c r="C976" s="198"/>
      <x:c r="D976" s="196"/>
      <x:c r="E976" s="188"/>
      <x:c r="F976" s="198"/>
      <x:c r="G976" s="202"/>
      <x:c r="H976" s="204"/>
      <x:c r="I976" s="206" t="str">
        <x:f>IF(G976="","",MAX(G976-H976,0))</x:f>
      </x:c>
      <x:c r="J976" s="210"/>
      <x:c r="K976" s="190"/>
      <x:c r="L976" s="208"/>
      <x:c r="M976" s="208"/>
      <x:c r="N976" s="208"/>
      <x:c r="O976" s="208"/>
      <x:c r="P976" s="190"/>
      <x:c r="Q976" s="190"/>
      <x:c r="R976" s="190"/>
      <x:c r="S976" s="190"/>
      <x:c r="T976" s="190"/>
      <x:c r="U976" s="190"/>
      <x:c r="V976" s="212"/>
      <x:c r="W976" s="212"/>
      <x:c r="X976" s="200"/>
      <x:c r="Y976" s="192"/>
      <x:c r="Z976" s="214"/>
      <x:c r="AA976" s="214"/>
      <x:c r="AB976" s="192"/>
      <x:c r="AC976" s="194"/>
      <x:c r="AD976" s="186" t="str">
        <x:f>IF(COUNTA(B976:H976)+COUNTA(J976:AC976)=0,"",IF(OR(B976="",D976="",E976="",G976="",J976=""),"缺少必填项",IF(H976&gt;G976,"完成数大于订单数",IF(AND(X976="",OR(Y976="排队",Y976="生产中",Y976="阻塞",Z976&lt;&gt;"",AA976&lt;&gt;"",AB976="是")),"已有排期字段缺少机台",IF(AND(X976&lt;&gt;"",Y976="待排"),"已填机台但状态为待排",IF(AND(Y976="生产中",AB976&lt;&gt;"是"),"需确认：生产中未锁定","可导入"))))))</x:f>
      </x:c>
    </x:row>
    <x:row r="977" ht="22" customHeight="1">
      <x:c r="A977" s="186" t="str">
        <x:f>IF(B977="","",ROW()-5)</x:f>
      </x:c>
      <x:c r="B977" s="196"/>
      <x:c r="C977" s="198"/>
      <x:c r="D977" s="196"/>
      <x:c r="E977" s="188"/>
      <x:c r="F977" s="198"/>
      <x:c r="G977" s="202"/>
      <x:c r="H977" s="204"/>
      <x:c r="I977" s="206" t="str">
        <x:f>IF(G977="","",MAX(G977-H977,0))</x:f>
      </x:c>
      <x:c r="J977" s="210"/>
      <x:c r="K977" s="190"/>
      <x:c r="L977" s="208"/>
      <x:c r="M977" s="208"/>
      <x:c r="N977" s="208"/>
      <x:c r="O977" s="208"/>
      <x:c r="P977" s="190"/>
      <x:c r="Q977" s="190"/>
      <x:c r="R977" s="190"/>
      <x:c r="S977" s="190"/>
      <x:c r="T977" s="190"/>
      <x:c r="U977" s="190"/>
      <x:c r="V977" s="212"/>
      <x:c r="W977" s="212"/>
      <x:c r="X977" s="200"/>
      <x:c r="Y977" s="192"/>
      <x:c r="Z977" s="214"/>
      <x:c r="AA977" s="214"/>
      <x:c r="AB977" s="192"/>
      <x:c r="AC977" s="194"/>
      <x:c r="AD977" s="186" t="str">
        <x:f>IF(COUNTA(B977:H977)+COUNTA(J977:AC977)=0,"",IF(OR(B977="",D977="",E977="",G977="",J977=""),"缺少必填项",IF(H977&gt;G977,"完成数大于订单数",IF(AND(X977="",OR(Y977="排队",Y977="生产中",Y977="阻塞",Z977&lt;&gt;"",AA977&lt;&gt;"",AB977="是")),"已有排期字段缺少机台",IF(AND(X977&lt;&gt;"",Y977="待排"),"已填机台但状态为待排",IF(AND(Y977="生产中",AB977&lt;&gt;"是"),"需确认：生产中未锁定","可导入"))))))</x:f>
      </x:c>
    </x:row>
    <x:row r="978" ht="22" customHeight="1">
      <x:c r="A978" s="186" t="str">
        <x:f>IF(B978="","",ROW()-5)</x:f>
      </x:c>
      <x:c r="B978" s="196"/>
      <x:c r="C978" s="198"/>
      <x:c r="D978" s="196"/>
      <x:c r="E978" s="188"/>
      <x:c r="F978" s="198"/>
      <x:c r="G978" s="202"/>
      <x:c r="H978" s="204"/>
      <x:c r="I978" s="206" t="str">
        <x:f>IF(G978="","",MAX(G978-H978,0))</x:f>
      </x:c>
      <x:c r="J978" s="210"/>
      <x:c r="K978" s="190"/>
      <x:c r="L978" s="208"/>
      <x:c r="M978" s="208"/>
      <x:c r="N978" s="208"/>
      <x:c r="O978" s="208"/>
      <x:c r="P978" s="190"/>
      <x:c r="Q978" s="190"/>
      <x:c r="R978" s="190"/>
      <x:c r="S978" s="190"/>
      <x:c r="T978" s="190"/>
      <x:c r="U978" s="190"/>
      <x:c r="V978" s="212"/>
      <x:c r="W978" s="212"/>
      <x:c r="X978" s="200"/>
      <x:c r="Y978" s="192"/>
      <x:c r="Z978" s="214"/>
      <x:c r="AA978" s="214"/>
      <x:c r="AB978" s="192"/>
      <x:c r="AC978" s="194"/>
      <x:c r="AD978" s="186" t="str">
        <x:f>IF(COUNTA(B978:H978)+COUNTA(J978:AC978)=0,"",IF(OR(B978="",D978="",E978="",G978="",J978=""),"缺少必填项",IF(H978&gt;G978,"完成数大于订单数",IF(AND(X978="",OR(Y978="排队",Y978="生产中",Y978="阻塞",Z978&lt;&gt;"",AA978&lt;&gt;"",AB978="是")),"已有排期字段缺少机台",IF(AND(X978&lt;&gt;"",Y978="待排"),"已填机台但状态为待排",IF(AND(Y978="生产中",AB978&lt;&gt;"是"),"需确认：生产中未锁定","可导入"))))))</x:f>
      </x:c>
    </x:row>
    <x:row r="979" ht="22" customHeight="1">
      <x:c r="A979" s="186" t="str">
        <x:f>IF(B979="","",ROW()-5)</x:f>
      </x:c>
      <x:c r="B979" s="196"/>
      <x:c r="C979" s="198"/>
      <x:c r="D979" s="196"/>
      <x:c r="E979" s="188"/>
      <x:c r="F979" s="198"/>
      <x:c r="G979" s="202"/>
      <x:c r="H979" s="204"/>
      <x:c r="I979" s="206" t="str">
        <x:f>IF(G979="","",MAX(G979-H979,0))</x:f>
      </x:c>
      <x:c r="J979" s="210"/>
      <x:c r="K979" s="190"/>
      <x:c r="L979" s="208"/>
      <x:c r="M979" s="208"/>
      <x:c r="N979" s="208"/>
      <x:c r="O979" s="208"/>
      <x:c r="P979" s="190"/>
      <x:c r="Q979" s="190"/>
      <x:c r="R979" s="190"/>
      <x:c r="S979" s="190"/>
      <x:c r="T979" s="190"/>
      <x:c r="U979" s="190"/>
      <x:c r="V979" s="212"/>
      <x:c r="W979" s="212"/>
      <x:c r="X979" s="200"/>
      <x:c r="Y979" s="192"/>
      <x:c r="Z979" s="214"/>
      <x:c r="AA979" s="214"/>
      <x:c r="AB979" s="192"/>
      <x:c r="AC979" s="194"/>
      <x:c r="AD979" s="186" t="str">
        <x:f>IF(COUNTA(B979:H979)+COUNTA(J979:AC979)=0,"",IF(OR(B979="",D979="",E979="",G979="",J979=""),"缺少必填项",IF(H979&gt;G979,"完成数大于订单数",IF(AND(X979="",OR(Y979="排队",Y979="生产中",Y979="阻塞",Z979&lt;&gt;"",AA979&lt;&gt;"",AB979="是")),"已有排期字段缺少机台",IF(AND(X979&lt;&gt;"",Y979="待排"),"已填机台但状态为待排",IF(AND(Y979="生产中",AB979&lt;&gt;"是"),"需确认：生产中未锁定","可导入"))))))</x:f>
      </x:c>
    </x:row>
    <x:row r="980" ht="22" customHeight="1">
      <x:c r="A980" s="186" t="str">
        <x:f>IF(B980="","",ROW()-5)</x:f>
      </x:c>
      <x:c r="B980" s="196"/>
      <x:c r="C980" s="198"/>
      <x:c r="D980" s="196"/>
      <x:c r="E980" s="188"/>
      <x:c r="F980" s="198"/>
      <x:c r="G980" s="202"/>
      <x:c r="H980" s="204"/>
      <x:c r="I980" s="206" t="str">
        <x:f>IF(G980="","",MAX(G980-H980,0))</x:f>
      </x:c>
      <x:c r="J980" s="210"/>
      <x:c r="K980" s="190"/>
      <x:c r="L980" s="208"/>
      <x:c r="M980" s="208"/>
      <x:c r="N980" s="208"/>
      <x:c r="O980" s="208"/>
      <x:c r="P980" s="190"/>
      <x:c r="Q980" s="190"/>
      <x:c r="R980" s="190"/>
      <x:c r="S980" s="190"/>
      <x:c r="T980" s="190"/>
      <x:c r="U980" s="190"/>
      <x:c r="V980" s="212"/>
      <x:c r="W980" s="212"/>
      <x:c r="X980" s="200"/>
      <x:c r="Y980" s="192"/>
      <x:c r="Z980" s="214"/>
      <x:c r="AA980" s="214"/>
      <x:c r="AB980" s="192"/>
      <x:c r="AC980" s="194"/>
      <x:c r="AD980" s="186" t="str">
        <x:f>IF(COUNTA(B980:H980)+COUNTA(J980:AC980)=0,"",IF(OR(B980="",D980="",E980="",G980="",J980=""),"缺少必填项",IF(H980&gt;G980,"完成数大于订单数",IF(AND(X980="",OR(Y980="排队",Y980="生产中",Y980="阻塞",Z980&lt;&gt;"",AA980&lt;&gt;"",AB980="是")),"已有排期字段缺少机台",IF(AND(X980&lt;&gt;"",Y980="待排"),"已填机台但状态为待排",IF(AND(Y980="生产中",AB980&lt;&gt;"是"),"需确认：生产中未锁定","可导入"))))))</x:f>
      </x:c>
    </x:row>
    <x:row r="981" ht="22" customHeight="1">
      <x:c r="A981" s="186" t="str">
        <x:f>IF(B981="","",ROW()-5)</x:f>
      </x:c>
      <x:c r="B981" s="196"/>
      <x:c r="C981" s="198"/>
      <x:c r="D981" s="196"/>
      <x:c r="E981" s="188"/>
      <x:c r="F981" s="198"/>
      <x:c r="G981" s="202"/>
      <x:c r="H981" s="204"/>
      <x:c r="I981" s="206" t="str">
        <x:f>IF(G981="","",MAX(G981-H981,0))</x:f>
      </x:c>
      <x:c r="J981" s="210"/>
      <x:c r="K981" s="190"/>
      <x:c r="L981" s="208"/>
      <x:c r="M981" s="208"/>
      <x:c r="N981" s="208"/>
      <x:c r="O981" s="208"/>
      <x:c r="P981" s="190"/>
      <x:c r="Q981" s="190"/>
      <x:c r="R981" s="190"/>
      <x:c r="S981" s="190"/>
      <x:c r="T981" s="190"/>
      <x:c r="U981" s="190"/>
      <x:c r="V981" s="212"/>
      <x:c r="W981" s="212"/>
      <x:c r="X981" s="200"/>
      <x:c r="Y981" s="192"/>
      <x:c r="Z981" s="214"/>
      <x:c r="AA981" s="214"/>
      <x:c r="AB981" s="192"/>
      <x:c r="AC981" s="194"/>
      <x:c r="AD981" s="186" t="str">
        <x:f>IF(COUNTA(B981:H981)+COUNTA(J981:AC981)=0,"",IF(OR(B981="",D981="",E981="",G981="",J981=""),"缺少必填项",IF(H981&gt;G981,"完成数大于订单数",IF(AND(X981="",OR(Y981="排队",Y981="生产中",Y981="阻塞",Z981&lt;&gt;"",AA981&lt;&gt;"",AB981="是")),"已有排期字段缺少机台",IF(AND(X981&lt;&gt;"",Y981="待排"),"已填机台但状态为待排",IF(AND(Y981="生产中",AB981&lt;&gt;"是"),"需确认：生产中未锁定","可导入"))))))</x:f>
      </x:c>
    </x:row>
    <x:row r="982" ht="22" customHeight="1">
      <x:c r="A982" s="186" t="str">
        <x:f>IF(B982="","",ROW()-5)</x:f>
      </x:c>
      <x:c r="B982" s="196"/>
      <x:c r="C982" s="198"/>
      <x:c r="D982" s="196"/>
      <x:c r="E982" s="188"/>
      <x:c r="F982" s="198"/>
      <x:c r="G982" s="202"/>
      <x:c r="H982" s="204"/>
      <x:c r="I982" s="206" t="str">
        <x:f>IF(G982="","",MAX(G982-H982,0))</x:f>
      </x:c>
      <x:c r="J982" s="210"/>
      <x:c r="K982" s="190"/>
      <x:c r="L982" s="208"/>
      <x:c r="M982" s="208"/>
      <x:c r="N982" s="208"/>
      <x:c r="O982" s="208"/>
      <x:c r="P982" s="190"/>
      <x:c r="Q982" s="190"/>
      <x:c r="R982" s="190"/>
      <x:c r="S982" s="190"/>
      <x:c r="T982" s="190"/>
      <x:c r="U982" s="190"/>
      <x:c r="V982" s="212"/>
      <x:c r="W982" s="212"/>
      <x:c r="X982" s="200"/>
      <x:c r="Y982" s="192"/>
      <x:c r="Z982" s="214"/>
      <x:c r="AA982" s="214"/>
      <x:c r="AB982" s="192"/>
      <x:c r="AC982" s="194"/>
      <x:c r="AD982" s="186" t="str">
        <x:f>IF(COUNTA(B982:H982)+COUNTA(J982:AC982)=0,"",IF(OR(B982="",D982="",E982="",G982="",J982=""),"缺少必填项",IF(H982&gt;G982,"完成数大于订单数",IF(AND(X982="",OR(Y982="排队",Y982="生产中",Y982="阻塞",Z982&lt;&gt;"",AA982&lt;&gt;"",AB982="是")),"已有排期字段缺少机台",IF(AND(X982&lt;&gt;"",Y982="待排"),"已填机台但状态为待排",IF(AND(Y982="生产中",AB982&lt;&gt;"是"),"需确认：生产中未锁定","可导入"))))))</x:f>
      </x:c>
    </x:row>
    <x:row r="983" ht="22" customHeight="1">
      <x:c r="A983" s="186" t="str">
        <x:f>IF(B983="","",ROW()-5)</x:f>
      </x:c>
      <x:c r="B983" s="196"/>
      <x:c r="C983" s="198"/>
      <x:c r="D983" s="196"/>
      <x:c r="E983" s="188"/>
      <x:c r="F983" s="198"/>
      <x:c r="G983" s="202"/>
      <x:c r="H983" s="204"/>
      <x:c r="I983" s="206" t="str">
        <x:f>IF(G983="","",MAX(G983-H983,0))</x:f>
      </x:c>
      <x:c r="J983" s="210"/>
      <x:c r="K983" s="190"/>
      <x:c r="L983" s="208"/>
      <x:c r="M983" s="208"/>
      <x:c r="N983" s="208"/>
      <x:c r="O983" s="208"/>
      <x:c r="P983" s="190"/>
      <x:c r="Q983" s="190"/>
      <x:c r="R983" s="190"/>
      <x:c r="S983" s="190"/>
      <x:c r="T983" s="190"/>
      <x:c r="U983" s="190"/>
      <x:c r="V983" s="212"/>
      <x:c r="W983" s="212"/>
      <x:c r="X983" s="200"/>
      <x:c r="Y983" s="192"/>
      <x:c r="Z983" s="214"/>
      <x:c r="AA983" s="214"/>
      <x:c r="AB983" s="192"/>
      <x:c r="AC983" s="194"/>
      <x:c r="AD983" s="186" t="str">
        <x:f>IF(COUNTA(B983:H983)+COUNTA(J983:AC983)=0,"",IF(OR(B983="",D983="",E983="",G983="",J983=""),"缺少必填项",IF(H983&gt;G983,"完成数大于订单数",IF(AND(X983="",OR(Y983="排队",Y983="生产中",Y983="阻塞",Z983&lt;&gt;"",AA983&lt;&gt;"",AB983="是")),"已有排期字段缺少机台",IF(AND(X983&lt;&gt;"",Y983="待排"),"已填机台但状态为待排",IF(AND(Y983="生产中",AB983&lt;&gt;"是"),"需确认：生产中未锁定","可导入"))))))</x:f>
      </x:c>
    </x:row>
    <x:row r="984" ht="22" customHeight="1">
      <x:c r="A984" s="186" t="str">
        <x:f>IF(B984="","",ROW()-5)</x:f>
      </x:c>
      <x:c r="B984" s="196"/>
      <x:c r="C984" s="198"/>
      <x:c r="D984" s="196"/>
      <x:c r="E984" s="188"/>
      <x:c r="F984" s="198"/>
      <x:c r="G984" s="202"/>
      <x:c r="H984" s="204"/>
      <x:c r="I984" s="206" t="str">
        <x:f>IF(G984="","",MAX(G984-H984,0))</x:f>
      </x:c>
      <x:c r="J984" s="210"/>
      <x:c r="K984" s="190"/>
      <x:c r="L984" s="208"/>
      <x:c r="M984" s="208"/>
      <x:c r="N984" s="208"/>
      <x:c r="O984" s="208"/>
      <x:c r="P984" s="190"/>
      <x:c r="Q984" s="190"/>
      <x:c r="R984" s="190"/>
      <x:c r="S984" s="190"/>
      <x:c r="T984" s="190"/>
      <x:c r="U984" s="190"/>
      <x:c r="V984" s="212"/>
      <x:c r="W984" s="212"/>
      <x:c r="X984" s="200"/>
      <x:c r="Y984" s="192"/>
      <x:c r="Z984" s="214"/>
      <x:c r="AA984" s="214"/>
      <x:c r="AB984" s="192"/>
      <x:c r="AC984" s="194"/>
      <x:c r="AD984" s="186" t="str">
        <x:f>IF(COUNTA(B984:H984)+COUNTA(J984:AC984)=0,"",IF(OR(B984="",D984="",E984="",G984="",J984=""),"缺少必填项",IF(H984&gt;G984,"完成数大于订单数",IF(AND(X984="",OR(Y984="排队",Y984="生产中",Y984="阻塞",Z984&lt;&gt;"",AA984&lt;&gt;"",AB984="是")),"已有排期字段缺少机台",IF(AND(X984&lt;&gt;"",Y984="待排"),"已填机台但状态为待排",IF(AND(Y984="生产中",AB984&lt;&gt;"是"),"需确认：生产中未锁定","可导入"))))))</x:f>
      </x:c>
    </x:row>
    <x:row r="985" ht="22" customHeight="1">
      <x:c r="A985" s="186" t="str">
        <x:f>IF(B985="","",ROW()-5)</x:f>
      </x:c>
      <x:c r="B985" s="196"/>
      <x:c r="C985" s="198"/>
      <x:c r="D985" s="196"/>
      <x:c r="E985" s="188"/>
      <x:c r="F985" s="198"/>
      <x:c r="G985" s="202"/>
      <x:c r="H985" s="204"/>
      <x:c r="I985" s="206" t="str">
        <x:f>IF(G985="","",MAX(G985-H985,0))</x:f>
      </x:c>
      <x:c r="J985" s="210"/>
      <x:c r="K985" s="190"/>
      <x:c r="L985" s="208"/>
      <x:c r="M985" s="208"/>
      <x:c r="N985" s="208"/>
      <x:c r="O985" s="208"/>
      <x:c r="P985" s="190"/>
      <x:c r="Q985" s="190"/>
      <x:c r="R985" s="190"/>
      <x:c r="S985" s="190"/>
      <x:c r="T985" s="190"/>
      <x:c r="U985" s="190"/>
      <x:c r="V985" s="212"/>
      <x:c r="W985" s="212"/>
      <x:c r="X985" s="200"/>
      <x:c r="Y985" s="192"/>
      <x:c r="Z985" s="214"/>
      <x:c r="AA985" s="214"/>
      <x:c r="AB985" s="192"/>
      <x:c r="AC985" s="194"/>
      <x:c r="AD985" s="186" t="str">
        <x:f>IF(COUNTA(B985:H985)+COUNTA(J985:AC985)=0,"",IF(OR(B985="",D985="",E985="",G985="",J985=""),"缺少必填项",IF(H985&gt;G985,"完成数大于订单数",IF(AND(X985="",OR(Y985="排队",Y985="生产中",Y985="阻塞",Z985&lt;&gt;"",AA985&lt;&gt;"",AB985="是")),"已有排期字段缺少机台",IF(AND(X985&lt;&gt;"",Y985="待排"),"已填机台但状态为待排",IF(AND(Y985="生产中",AB985&lt;&gt;"是"),"需确认：生产中未锁定","可导入"))))))</x:f>
      </x:c>
    </x:row>
    <x:row r="986" ht="22" customHeight="1">
      <x:c r="A986" s="186" t="str">
        <x:f>IF(B986="","",ROW()-5)</x:f>
      </x:c>
      <x:c r="B986" s="196"/>
      <x:c r="C986" s="198"/>
      <x:c r="D986" s="196"/>
      <x:c r="E986" s="188"/>
      <x:c r="F986" s="198"/>
      <x:c r="G986" s="202"/>
      <x:c r="H986" s="204"/>
      <x:c r="I986" s="206" t="str">
        <x:f>IF(G986="","",MAX(G986-H986,0))</x:f>
      </x:c>
      <x:c r="J986" s="210"/>
      <x:c r="K986" s="190"/>
      <x:c r="L986" s="208"/>
      <x:c r="M986" s="208"/>
      <x:c r="N986" s="208"/>
      <x:c r="O986" s="208"/>
      <x:c r="P986" s="190"/>
      <x:c r="Q986" s="190"/>
      <x:c r="R986" s="190"/>
      <x:c r="S986" s="190"/>
      <x:c r="T986" s="190"/>
      <x:c r="U986" s="190"/>
      <x:c r="V986" s="212"/>
      <x:c r="W986" s="212"/>
      <x:c r="X986" s="200"/>
      <x:c r="Y986" s="192"/>
      <x:c r="Z986" s="214"/>
      <x:c r="AA986" s="214"/>
      <x:c r="AB986" s="192"/>
      <x:c r="AC986" s="194"/>
      <x:c r="AD986" s="186" t="str">
        <x:f>IF(COUNTA(B986:H986)+COUNTA(J986:AC986)=0,"",IF(OR(B986="",D986="",E986="",G986="",J986=""),"缺少必填项",IF(H986&gt;G986,"完成数大于订单数",IF(AND(X986="",OR(Y986="排队",Y986="生产中",Y986="阻塞",Z986&lt;&gt;"",AA986&lt;&gt;"",AB986="是")),"已有排期字段缺少机台",IF(AND(X986&lt;&gt;"",Y986="待排"),"已填机台但状态为待排",IF(AND(Y986="生产中",AB986&lt;&gt;"是"),"需确认：生产中未锁定","可导入"))))))</x:f>
      </x:c>
    </x:row>
    <x:row r="987" ht="22" customHeight="1">
      <x:c r="A987" s="186" t="str">
        <x:f>IF(B987="","",ROW()-5)</x:f>
      </x:c>
      <x:c r="B987" s="196"/>
      <x:c r="C987" s="198"/>
      <x:c r="D987" s="196"/>
      <x:c r="E987" s="188"/>
      <x:c r="F987" s="198"/>
      <x:c r="G987" s="202"/>
      <x:c r="H987" s="204"/>
      <x:c r="I987" s="206" t="str">
        <x:f>IF(G987="","",MAX(G987-H987,0))</x:f>
      </x:c>
      <x:c r="J987" s="210"/>
      <x:c r="K987" s="190"/>
      <x:c r="L987" s="208"/>
      <x:c r="M987" s="208"/>
      <x:c r="N987" s="208"/>
      <x:c r="O987" s="208"/>
      <x:c r="P987" s="190"/>
      <x:c r="Q987" s="190"/>
      <x:c r="R987" s="190"/>
      <x:c r="S987" s="190"/>
      <x:c r="T987" s="190"/>
      <x:c r="U987" s="190"/>
      <x:c r="V987" s="212"/>
      <x:c r="W987" s="212"/>
      <x:c r="X987" s="200"/>
      <x:c r="Y987" s="192"/>
      <x:c r="Z987" s="214"/>
      <x:c r="AA987" s="214"/>
      <x:c r="AB987" s="192"/>
      <x:c r="AC987" s="194"/>
      <x:c r="AD987" s="186" t="str">
        <x:f>IF(COUNTA(B987:H987)+COUNTA(J987:AC987)=0,"",IF(OR(B987="",D987="",E987="",G987="",J987=""),"缺少必填项",IF(H987&gt;G987,"完成数大于订单数",IF(AND(X987="",OR(Y987="排队",Y987="生产中",Y987="阻塞",Z987&lt;&gt;"",AA987&lt;&gt;"",AB987="是")),"已有排期字段缺少机台",IF(AND(X987&lt;&gt;"",Y987="待排"),"已填机台但状态为待排",IF(AND(Y987="生产中",AB987&lt;&gt;"是"),"需确认：生产中未锁定","可导入"))))))</x:f>
      </x:c>
    </x:row>
    <x:row r="988" ht="22" customHeight="1">
      <x:c r="A988" s="186" t="str">
        <x:f>IF(B988="","",ROW()-5)</x:f>
      </x:c>
      <x:c r="B988" s="196"/>
      <x:c r="C988" s="198"/>
      <x:c r="D988" s="196"/>
      <x:c r="E988" s="188"/>
      <x:c r="F988" s="198"/>
      <x:c r="G988" s="202"/>
      <x:c r="H988" s="204"/>
      <x:c r="I988" s="206" t="str">
        <x:f>IF(G988="","",MAX(G988-H988,0))</x:f>
      </x:c>
      <x:c r="J988" s="210"/>
      <x:c r="K988" s="190"/>
      <x:c r="L988" s="208"/>
      <x:c r="M988" s="208"/>
      <x:c r="N988" s="208"/>
      <x:c r="O988" s="208"/>
      <x:c r="P988" s="190"/>
      <x:c r="Q988" s="190"/>
      <x:c r="R988" s="190"/>
      <x:c r="S988" s="190"/>
      <x:c r="T988" s="190"/>
      <x:c r="U988" s="190"/>
      <x:c r="V988" s="212"/>
      <x:c r="W988" s="212"/>
      <x:c r="X988" s="200"/>
      <x:c r="Y988" s="192"/>
      <x:c r="Z988" s="214"/>
      <x:c r="AA988" s="214"/>
      <x:c r="AB988" s="192"/>
      <x:c r="AC988" s="194"/>
      <x:c r="AD988" s="186" t="str">
        <x:f>IF(COUNTA(B988:H988)+COUNTA(J988:AC988)=0,"",IF(OR(B988="",D988="",E988="",G988="",J988=""),"缺少必填项",IF(H988&gt;G988,"完成数大于订单数",IF(AND(X988="",OR(Y988="排队",Y988="生产中",Y988="阻塞",Z988&lt;&gt;"",AA988&lt;&gt;"",AB988="是")),"已有排期字段缺少机台",IF(AND(X988&lt;&gt;"",Y988="待排"),"已填机台但状态为待排",IF(AND(Y988="生产中",AB988&lt;&gt;"是"),"需确认：生产中未锁定","可导入"))))))</x:f>
      </x:c>
    </x:row>
    <x:row r="989" ht="22" customHeight="1">
      <x:c r="A989" s="186" t="str">
        <x:f>IF(B989="","",ROW()-5)</x:f>
      </x:c>
      <x:c r="B989" s="196"/>
      <x:c r="C989" s="198"/>
      <x:c r="D989" s="196"/>
      <x:c r="E989" s="188"/>
      <x:c r="F989" s="198"/>
      <x:c r="G989" s="202"/>
      <x:c r="H989" s="204"/>
      <x:c r="I989" s="206" t="str">
        <x:f>IF(G989="","",MAX(G989-H989,0))</x:f>
      </x:c>
      <x:c r="J989" s="210"/>
      <x:c r="K989" s="190"/>
      <x:c r="L989" s="208"/>
      <x:c r="M989" s="208"/>
      <x:c r="N989" s="208"/>
      <x:c r="O989" s="208"/>
      <x:c r="P989" s="190"/>
      <x:c r="Q989" s="190"/>
      <x:c r="R989" s="190"/>
      <x:c r="S989" s="190"/>
      <x:c r="T989" s="190"/>
      <x:c r="U989" s="190"/>
      <x:c r="V989" s="212"/>
      <x:c r="W989" s="212"/>
      <x:c r="X989" s="200"/>
      <x:c r="Y989" s="192"/>
      <x:c r="Z989" s="214"/>
      <x:c r="AA989" s="214"/>
      <x:c r="AB989" s="192"/>
      <x:c r="AC989" s="194"/>
      <x:c r="AD989" s="186" t="str">
        <x:f>IF(COUNTA(B989:H989)+COUNTA(J989:AC989)=0,"",IF(OR(B989="",D989="",E989="",G989="",J989=""),"缺少必填项",IF(H989&gt;G989,"完成数大于订单数",IF(AND(X989="",OR(Y989="排队",Y989="生产中",Y989="阻塞",Z989&lt;&gt;"",AA989&lt;&gt;"",AB989="是")),"已有排期字段缺少机台",IF(AND(X989&lt;&gt;"",Y989="待排"),"已填机台但状态为待排",IF(AND(Y989="生产中",AB989&lt;&gt;"是"),"需确认：生产中未锁定","可导入"))))))</x:f>
      </x:c>
    </x:row>
    <x:row r="990" ht="22" customHeight="1">
      <x:c r="A990" s="186" t="str">
        <x:f>IF(B990="","",ROW()-5)</x:f>
      </x:c>
      <x:c r="B990" s="196"/>
      <x:c r="C990" s="198"/>
      <x:c r="D990" s="196"/>
      <x:c r="E990" s="188"/>
      <x:c r="F990" s="198"/>
      <x:c r="G990" s="202"/>
      <x:c r="H990" s="204"/>
      <x:c r="I990" s="206" t="str">
        <x:f>IF(G990="","",MAX(G990-H990,0))</x:f>
      </x:c>
      <x:c r="J990" s="210"/>
      <x:c r="K990" s="190"/>
      <x:c r="L990" s="208"/>
      <x:c r="M990" s="208"/>
      <x:c r="N990" s="208"/>
      <x:c r="O990" s="208"/>
      <x:c r="P990" s="190"/>
      <x:c r="Q990" s="190"/>
      <x:c r="R990" s="190"/>
      <x:c r="S990" s="190"/>
      <x:c r="T990" s="190"/>
      <x:c r="U990" s="190"/>
      <x:c r="V990" s="212"/>
      <x:c r="W990" s="212"/>
      <x:c r="X990" s="200"/>
      <x:c r="Y990" s="192"/>
      <x:c r="Z990" s="214"/>
      <x:c r="AA990" s="214"/>
      <x:c r="AB990" s="192"/>
      <x:c r="AC990" s="194"/>
      <x:c r="AD990" s="186" t="str">
        <x:f>IF(COUNTA(B990:H990)+COUNTA(J990:AC990)=0,"",IF(OR(B990="",D990="",E990="",G990="",J990=""),"缺少必填项",IF(H990&gt;G990,"完成数大于订单数",IF(AND(X990="",OR(Y990="排队",Y990="生产中",Y990="阻塞",Z990&lt;&gt;"",AA990&lt;&gt;"",AB990="是")),"已有排期字段缺少机台",IF(AND(X990&lt;&gt;"",Y990="待排"),"已填机台但状态为待排",IF(AND(Y990="生产中",AB990&lt;&gt;"是"),"需确认：生产中未锁定","可导入"))))))</x:f>
      </x:c>
    </x:row>
    <x:row r="991" ht="22" customHeight="1">
      <x:c r="A991" s="186" t="str">
        <x:f>IF(B991="","",ROW()-5)</x:f>
      </x:c>
      <x:c r="B991" s="196"/>
      <x:c r="C991" s="198"/>
      <x:c r="D991" s="196"/>
      <x:c r="E991" s="188"/>
      <x:c r="F991" s="198"/>
      <x:c r="G991" s="202"/>
      <x:c r="H991" s="204"/>
      <x:c r="I991" s="206" t="str">
        <x:f>IF(G991="","",MAX(G991-H991,0))</x:f>
      </x:c>
      <x:c r="J991" s="210"/>
      <x:c r="K991" s="190"/>
      <x:c r="L991" s="208"/>
      <x:c r="M991" s="208"/>
      <x:c r="N991" s="208"/>
      <x:c r="O991" s="208"/>
      <x:c r="P991" s="190"/>
      <x:c r="Q991" s="190"/>
      <x:c r="R991" s="190"/>
      <x:c r="S991" s="190"/>
      <x:c r="T991" s="190"/>
      <x:c r="U991" s="190"/>
      <x:c r="V991" s="212"/>
      <x:c r="W991" s="212"/>
      <x:c r="X991" s="200"/>
      <x:c r="Y991" s="192"/>
      <x:c r="Z991" s="214"/>
      <x:c r="AA991" s="214"/>
      <x:c r="AB991" s="192"/>
      <x:c r="AC991" s="194"/>
      <x:c r="AD991" s="186" t="str">
        <x:f>IF(COUNTA(B991:H991)+COUNTA(J991:AC991)=0,"",IF(OR(B991="",D991="",E991="",G991="",J991=""),"缺少必填项",IF(H991&gt;G991,"完成数大于订单数",IF(AND(X991="",OR(Y991="排队",Y991="生产中",Y991="阻塞",Z991&lt;&gt;"",AA991&lt;&gt;"",AB991="是")),"已有排期字段缺少机台",IF(AND(X991&lt;&gt;"",Y991="待排"),"已填机台但状态为待排",IF(AND(Y991="生产中",AB991&lt;&gt;"是"),"需确认：生产中未锁定","可导入"))))))</x:f>
      </x:c>
    </x:row>
    <x:row r="992" ht="22" customHeight="1">
      <x:c r="A992" s="186" t="str">
        <x:f>IF(B992="","",ROW()-5)</x:f>
      </x:c>
      <x:c r="B992" s="196"/>
      <x:c r="C992" s="198"/>
      <x:c r="D992" s="196"/>
      <x:c r="E992" s="188"/>
      <x:c r="F992" s="198"/>
      <x:c r="G992" s="202"/>
      <x:c r="H992" s="204"/>
      <x:c r="I992" s="206" t="str">
        <x:f>IF(G992="","",MAX(G992-H992,0))</x:f>
      </x:c>
      <x:c r="J992" s="210"/>
      <x:c r="K992" s="190"/>
      <x:c r="L992" s="208"/>
      <x:c r="M992" s="208"/>
      <x:c r="N992" s="208"/>
      <x:c r="O992" s="208"/>
      <x:c r="P992" s="190"/>
      <x:c r="Q992" s="190"/>
      <x:c r="R992" s="190"/>
      <x:c r="S992" s="190"/>
      <x:c r="T992" s="190"/>
      <x:c r="U992" s="190"/>
      <x:c r="V992" s="212"/>
      <x:c r="W992" s="212"/>
      <x:c r="X992" s="200"/>
      <x:c r="Y992" s="192"/>
      <x:c r="Z992" s="214"/>
      <x:c r="AA992" s="214"/>
      <x:c r="AB992" s="192"/>
      <x:c r="AC992" s="194"/>
      <x:c r="AD992" s="186" t="str">
        <x:f>IF(COUNTA(B992:H992)+COUNTA(J992:AC992)=0,"",IF(OR(B992="",D992="",E992="",G992="",J992=""),"缺少必填项",IF(H992&gt;G992,"完成数大于订单数",IF(AND(X992="",OR(Y992="排队",Y992="生产中",Y992="阻塞",Z992&lt;&gt;"",AA992&lt;&gt;"",AB992="是")),"已有排期字段缺少机台",IF(AND(X992&lt;&gt;"",Y992="待排"),"已填机台但状态为待排",IF(AND(Y992="生产中",AB992&lt;&gt;"是"),"需确认：生产中未锁定","可导入"))))))</x:f>
      </x:c>
    </x:row>
    <x:row r="993" ht="22" customHeight="1">
      <x:c r="A993" s="186" t="str">
        <x:f>IF(B993="","",ROW()-5)</x:f>
      </x:c>
      <x:c r="B993" s="196"/>
      <x:c r="C993" s="198"/>
      <x:c r="D993" s="196"/>
      <x:c r="E993" s="188"/>
      <x:c r="F993" s="198"/>
      <x:c r="G993" s="202"/>
      <x:c r="H993" s="204"/>
      <x:c r="I993" s="206" t="str">
        <x:f>IF(G993="","",MAX(G993-H993,0))</x:f>
      </x:c>
      <x:c r="J993" s="210"/>
      <x:c r="K993" s="190"/>
      <x:c r="L993" s="208"/>
      <x:c r="M993" s="208"/>
      <x:c r="N993" s="208"/>
      <x:c r="O993" s="208"/>
      <x:c r="P993" s="190"/>
      <x:c r="Q993" s="190"/>
      <x:c r="R993" s="190"/>
      <x:c r="S993" s="190"/>
      <x:c r="T993" s="190"/>
      <x:c r="U993" s="190"/>
      <x:c r="V993" s="212"/>
      <x:c r="W993" s="212"/>
      <x:c r="X993" s="200"/>
      <x:c r="Y993" s="192"/>
      <x:c r="Z993" s="214"/>
      <x:c r="AA993" s="214"/>
      <x:c r="AB993" s="192"/>
      <x:c r="AC993" s="194"/>
      <x:c r="AD993" s="186" t="str">
        <x:f>IF(COUNTA(B993:H993)+COUNTA(J993:AC993)=0,"",IF(OR(B993="",D993="",E993="",G993="",J993=""),"缺少必填项",IF(H993&gt;G993,"完成数大于订单数",IF(AND(X993="",OR(Y993="排队",Y993="生产中",Y993="阻塞",Z993&lt;&gt;"",AA993&lt;&gt;"",AB993="是")),"已有排期字段缺少机台",IF(AND(X993&lt;&gt;"",Y993="待排"),"已填机台但状态为待排",IF(AND(Y993="生产中",AB993&lt;&gt;"是"),"需确认：生产中未锁定","可导入"))))))</x:f>
      </x:c>
    </x:row>
    <x:row r="994" ht="22" customHeight="1">
      <x:c r="A994" s="186" t="str">
        <x:f>IF(B994="","",ROW()-5)</x:f>
      </x:c>
      <x:c r="B994" s="196"/>
      <x:c r="C994" s="198"/>
      <x:c r="D994" s="196"/>
      <x:c r="E994" s="188"/>
      <x:c r="F994" s="198"/>
      <x:c r="G994" s="202"/>
      <x:c r="H994" s="204"/>
      <x:c r="I994" s="206" t="str">
        <x:f>IF(G994="","",MAX(G994-H994,0))</x:f>
      </x:c>
      <x:c r="J994" s="210"/>
      <x:c r="K994" s="190"/>
      <x:c r="L994" s="208"/>
      <x:c r="M994" s="208"/>
      <x:c r="N994" s="208"/>
      <x:c r="O994" s="208"/>
      <x:c r="P994" s="190"/>
      <x:c r="Q994" s="190"/>
      <x:c r="R994" s="190"/>
      <x:c r="S994" s="190"/>
      <x:c r="T994" s="190"/>
      <x:c r="U994" s="190"/>
      <x:c r="V994" s="212"/>
      <x:c r="W994" s="212"/>
      <x:c r="X994" s="200"/>
      <x:c r="Y994" s="192"/>
      <x:c r="Z994" s="214"/>
      <x:c r="AA994" s="214"/>
      <x:c r="AB994" s="192"/>
      <x:c r="AC994" s="194"/>
      <x:c r="AD994" s="186" t="str">
        <x:f>IF(COUNTA(B994:H994)+COUNTA(J994:AC994)=0,"",IF(OR(B994="",D994="",E994="",G994="",J994=""),"缺少必填项",IF(H994&gt;G994,"完成数大于订单数",IF(AND(X994="",OR(Y994="排队",Y994="生产中",Y994="阻塞",Z994&lt;&gt;"",AA994&lt;&gt;"",AB994="是")),"已有排期字段缺少机台",IF(AND(X994&lt;&gt;"",Y994="待排"),"已填机台但状态为待排",IF(AND(Y994="生产中",AB994&lt;&gt;"是"),"需确认：生产中未锁定","可导入"))))))</x:f>
      </x:c>
    </x:row>
    <x:row r="995" ht="22" customHeight="1">
      <x:c r="A995" s="186" t="str">
        <x:f>IF(B995="","",ROW()-5)</x:f>
      </x:c>
      <x:c r="B995" s="196"/>
      <x:c r="C995" s="198"/>
      <x:c r="D995" s="196"/>
      <x:c r="E995" s="188"/>
      <x:c r="F995" s="198"/>
      <x:c r="G995" s="202"/>
      <x:c r="H995" s="204"/>
      <x:c r="I995" s="206" t="str">
        <x:f>IF(G995="","",MAX(G995-H995,0))</x:f>
      </x:c>
      <x:c r="J995" s="210"/>
      <x:c r="K995" s="190"/>
      <x:c r="L995" s="208"/>
      <x:c r="M995" s="208"/>
      <x:c r="N995" s="208"/>
      <x:c r="O995" s="208"/>
      <x:c r="P995" s="190"/>
      <x:c r="Q995" s="190"/>
      <x:c r="R995" s="190"/>
      <x:c r="S995" s="190"/>
      <x:c r="T995" s="190"/>
      <x:c r="U995" s="190"/>
      <x:c r="V995" s="212"/>
      <x:c r="W995" s="212"/>
      <x:c r="X995" s="200"/>
      <x:c r="Y995" s="192"/>
      <x:c r="Z995" s="214"/>
      <x:c r="AA995" s="214"/>
      <x:c r="AB995" s="192"/>
      <x:c r="AC995" s="194"/>
      <x:c r="AD995" s="186" t="str">
        <x:f>IF(COUNTA(B995:H995)+COUNTA(J995:AC995)=0,"",IF(OR(B995="",D995="",E995="",G995="",J995=""),"缺少必填项",IF(H995&gt;G995,"完成数大于订单数",IF(AND(X995="",OR(Y995="排队",Y995="生产中",Y995="阻塞",Z995&lt;&gt;"",AA995&lt;&gt;"",AB995="是")),"已有排期字段缺少机台",IF(AND(X995&lt;&gt;"",Y995="待排"),"已填机台但状态为待排",IF(AND(Y995="生产中",AB995&lt;&gt;"是"),"需确认：生产中未锁定","可导入"))))))</x:f>
      </x:c>
    </x:row>
    <x:row r="996" ht="22" customHeight="1">
      <x:c r="A996" s="186" t="str">
        <x:f>IF(B996="","",ROW()-5)</x:f>
      </x:c>
      <x:c r="B996" s="196"/>
      <x:c r="C996" s="198"/>
      <x:c r="D996" s="196"/>
      <x:c r="E996" s="188"/>
      <x:c r="F996" s="198"/>
      <x:c r="G996" s="202"/>
      <x:c r="H996" s="204"/>
      <x:c r="I996" s="206" t="str">
        <x:f>IF(G996="","",MAX(G996-H996,0))</x:f>
      </x:c>
      <x:c r="J996" s="210"/>
      <x:c r="K996" s="190"/>
      <x:c r="L996" s="208"/>
      <x:c r="M996" s="208"/>
      <x:c r="N996" s="208"/>
      <x:c r="O996" s="208"/>
      <x:c r="P996" s="190"/>
      <x:c r="Q996" s="190"/>
      <x:c r="R996" s="190"/>
      <x:c r="S996" s="190"/>
      <x:c r="T996" s="190"/>
      <x:c r="U996" s="190"/>
      <x:c r="V996" s="212"/>
      <x:c r="W996" s="212"/>
      <x:c r="X996" s="200"/>
      <x:c r="Y996" s="192"/>
      <x:c r="Z996" s="214"/>
      <x:c r="AA996" s="214"/>
      <x:c r="AB996" s="192"/>
      <x:c r="AC996" s="194"/>
      <x:c r="AD996" s="186" t="str">
        <x:f>IF(COUNTA(B996:H996)+COUNTA(J996:AC996)=0,"",IF(OR(B996="",D996="",E996="",G996="",J996=""),"缺少必填项",IF(H996&gt;G996,"完成数大于订单数",IF(AND(X996="",OR(Y996="排队",Y996="生产中",Y996="阻塞",Z996&lt;&gt;"",AA996&lt;&gt;"",AB996="是")),"已有排期字段缺少机台",IF(AND(X996&lt;&gt;"",Y996="待排"),"已填机台但状态为待排",IF(AND(Y996="生产中",AB996&lt;&gt;"是"),"需确认：生产中未锁定","可导入"))))))</x:f>
      </x:c>
    </x:row>
    <x:row r="997" ht="22" customHeight="1">
      <x:c r="A997" s="186" t="str">
        <x:f>IF(B997="","",ROW()-5)</x:f>
      </x:c>
      <x:c r="B997" s="196"/>
      <x:c r="C997" s="198"/>
      <x:c r="D997" s="196"/>
      <x:c r="E997" s="188"/>
      <x:c r="F997" s="198"/>
      <x:c r="G997" s="202"/>
      <x:c r="H997" s="204"/>
      <x:c r="I997" s="206" t="str">
        <x:f>IF(G997="","",MAX(G997-H997,0))</x:f>
      </x:c>
      <x:c r="J997" s="210"/>
      <x:c r="K997" s="190"/>
      <x:c r="L997" s="208"/>
      <x:c r="M997" s="208"/>
      <x:c r="N997" s="208"/>
      <x:c r="O997" s="208"/>
      <x:c r="P997" s="190"/>
      <x:c r="Q997" s="190"/>
      <x:c r="R997" s="190"/>
      <x:c r="S997" s="190"/>
      <x:c r="T997" s="190"/>
      <x:c r="U997" s="190"/>
      <x:c r="V997" s="212"/>
      <x:c r="W997" s="212"/>
      <x:c r="X997" s="200"/>
      <x:c r="Y997" s="192"/>
      <x:c r="Z997" s="214"/>
      <x:c r="AA997" s="214"/>
      <x:c r="AB997" s="192"/>
      <x:c r="AC997" s="194"/>
      <x:c r="AD997" s="186" t="str">
        <x:f>IF(COUNTA(B997:H997)+COUNTA(J997:AC997)=0,"",IF(OR(B997="",D997="",E997="",G997="",J997=""),"缺少必填项",IF(H997&gt;G997,"完成数大于订单数",IF(AND(X997="",OR(Y997="排队",Y997="生产中",Y997="阻塞",Z997&lt;&gt;"",AA997&lt;&gt;"",AB997="是")),"已有排期字段缺少机台",IF(AND(X997&lt;&gt;"",Y997="待排"),"已填机台但状态为待排",IF(AND(Y997="生产中",AB997&lt;&gt;"是"),"需确认：生产中未锁定","可导入"))))))</x:f>
      </x:c>
    </x:row>
    <x:row r="998" ht="22" customHeight="1">
      <x:c r="A998" s="186" t="str">
        <x:f>IF(B998="","",ROW()-5)</x:f>
      </x:c>
      <x:c r="B998" s="196"/>
      <x:c r="C998" s="198"/>
      <x:c r="D998" s="196"/>
      <x:c r="E998" s="188"/>
      <x:c r="F998" s="198"/>
      <x:c r="G998" s="202"/>
      <x:c r="H998" s="204"/>
      <x:c r="I998" s="206" t="str">
        <x:f>IF(G998="","",MAX(G998-H998,0))</x:f>
      </x:c>
      <x:c r="J998" s="210"/>
      <x:c r="K998" s="190"/>
      <x:c r="L998" s="208"/>
      <x:c r="M998" s="208"/>
      <x:c r="N998" s="208"/>
      <x:c r="O998" s="208"/>
      <x:c r="P998" s="190"/>
      <x:c r="Q998" s="190"/>
      <x:c r="R998" s="190"/>
      <x:c r="S998" s="190"/>
      <x:c r="T998" s="190"/>
      <x:c r="U998" s="190"/>
      <x:c r="V998" s="212"/>
      <x:c r="W998" s="212"/>
      <x:c r="X998" s="200"/>
      <x:c r="Y998" s="192"/>
      <x:c r="Z998" s="214"/>
      <x:c r="AA998" s="214"/>
      <x:c r="AB998" s="192"/>
      <x:c r="AC998" s="194"/>
      <x:c r="AD998" s="186" t="str">
        <x:f>IF(COUNTA(B998:H998)+COUNTA(J998:AC998)=0,"",IF(OR(B998="",D998="",E998="",G998="",J998=""),"缺少必填项",IF(H998&gt;G998,"完成数大于订单数",IF(AND(X998="",OR(Y998="排队",Y998="生产中",Y998="阻塞",Z998&lt;&gt;"",AA998&lt;&gt;"",AB998="是")),"已有排期字段缺少机台",IF(AND(X998&lt;&gt;"",Y998="待排"),"已填机台但状态为待排",IF(AND(Y998="生产中",AB998&lt;&gt;"是"),"需确认：生产中未锁定","可导入"))))))</x:f>
      </x:c>
    </x:row>
    <x:row r="999" ht="22" customHeight="1">
      <x:c r="A999" s="186" t="str">
        <x:f>IF(B999="","",ROW()-5)</x:f>
      </x:c>
      <x:c r="B999" s="196"/>
      <x:c r="C999" s="198"/>
      <x:c r="D999" s="196"/>
      <x:c r="E999" s="188"/>
      <x:c r="F999" s="198"/>
      <x:c r="G999" s="202"/>
      <x:c r="H999" s="204"/>
      <x:c r="I999" s="206" t="str">
        <x:f>IF(G999="","",MAX(G999-H999,0))</x:f>
      </x:c>
      <x:c r="J999" s="210"/>
      <x:c r="K999" s="190"/>
      <x:c r="L999" s="208"/>
      <x:c r="M999" s="208"/>
      <x:c r="N999" s="208"/>
      <x:c r="O999" s="208"/>
      <x:c r="P999" s="190"/>
      <x:c r="Q999" s="190"/>
      <x:c r="R999" s="190"/>
      <x:c r="S999" s="190"/>
      <x:c r="T999" s="190"/>
      <x:c r="U999" s="190"/>
      <x:c r="V999" s="212"/>
      <x:c r="W999" s="212"/>
      <x:c r="X999" s="200"/>
      <x:c r="Y999" s="192"/>
      <x:c r="Z999" s="214"/>
      <x:c r="AA999" s="214"/>
      <x:c r="AB999" s="192"/>
      <x:c r="AC999" s="194"/>
      <x:c r="AD999" s="186" t="str">
        <x:f>IF(COUNTA(B999:H999)+COUNTA(J999:AC999)=0,"",IF(OR(B999="",D999="",E999="",G999="",J999=""),"缺少必填项",IF(H999&gt;G999,"完成数大于订单数",IF(AND(X999="",OR(Y999="排队",Y999="生产中",Y999="阻塞",Z999&lt;&gt;"",AA999&lt;&gt;"",AB999="是")),"已有排期字段缺少机台",IF(AND(X999&lt;&gt;"",Y999="待排"),"已填机台但状态为待排",IF(AND(Y999="生产中",AB999&lt;&gt;"是"),"需确认：生产中未锁定","可导入"))))))</x:f>
      </x:c>
    </x:row>
    <x:row r="1000" ht="22" customHeight="1">
      <x:c r="A1000" s="186" t="str">
        <x:f>IF(B1000="","",ROW()-5)</x:f>
      </x:c>
      <x:c r="B1000" s="196"/>
      <x:c r="C1000" s="198"/>
      <x:c r="D1000" s="196"/>
      <x:c r="E1000" s="188"/>
      <x:c r="F1000" s="198"/>
      <x:c r="G1000" s="202"/>
      <x:c r="H1000" s="204"/>
      <x:c r="I1000" s="206" t="str">
        <x:f>IF(G1000="","",MAX(G1000-H1000,0))</x:f>
      </x:c>
      <x:c r="J1000" s="210"/>
      <x:c r="K1000" s="190"/>
      <x:c r="L1000" s="208"/>
      <x:c r="M1000" s="208"/>
      <x:c r="N1000" s="208"/>
      <x:c r="O1000" s="208"/>
      <x:c r="P1000" s="190"/>
      <x:c r="Q1000" s="190"/>
      <x:c r="R1000" s="190"/>
      <x:c r="S1000" s="190"/>
      <x:c r="T1000" s="190"/>
      <x:c r="U1000" s="190"/>
      <x:c r="V1000" s="212"/>
      <x:c r="W1000" s="212"/>
      <x:c r="X1000" s="200"/>
      <x:c r="Y1000" s="192"/>
      <x:c r="Z1000" s="214"/>
      <x:c r="AA1000" s="214"/>
      <x:c r="AB1000" s="192"/>
      <x:c r="AC1000" s="194"/>
      <x:c r="AD1000" s="186" t="str">
        <x:f>IF(COUNTA(B1000:H1000)+COUNTA(J1000:AC1000)=0,"",IF(OR(B1000="",D1000="",E1000="",G1000="",J1000=""),"缺少必填项",IF(H1000&gt;G1000,"完成数大于订单数",IF(AND(X1000="",OR(Y1000="排队",Y1000="生产中",Y1000="阻塞",Z1000&lt;&gt;"",AA1000&lt;&gt;"",AB1000="是")),"已有排期字段缺少机台",IF(AND(X1000&lt;&gt;"",Y1000="待排"),"已填机台但状态为待排",IF(AND(Y1000="生产中",AB1000&lt;&gt;"是"),"需确认：生产中未锁定","可导入"))))))</x:f>
      </x:c>
    </x:row>
    <x:row r="1001" ht="22" customHeight="1">
      <x:c r="A1001" s="186" t="str">
        <x:f>IF(B1001="","",ROW()-5)</x:f>
      </x:c>
      <x:c r="B1001" s="196"/>
      <x:c r="C1001" s="198"/>
      <x:c r="D1001" s="196"/>
      <x:c r="E1001" s="188"/>
      <x:c r="F1001" s="198"/>
      <x:c r="G1001" s="202"/>
      <x:c r="H1001" s="204"/>
      <x:c r="I1001" s="206" t="str">
        <x:f>IF(G1001="","",MAX(G1001-H1001,0))</x:f>
      </x:c>
      <x:c r="J1001" s="210"/>
      <x:c r="K1001" s="190"/>
      <x:c r="L1001" s="208"/>
      <x:c r="M1001" s="208"/>
      <x:c r="N1001" s="208"/>
      <x:c r="O1001" s="208"/>
      <x:c r="P1001" s="190"/>
      <x:c r="Q1001" s="190"/>
      <x:c r="R1001" s="190"/>
      <x:c r="S1001" s="190"/>
      <x:c r="T1001" s="190"/>
      <x:c r="U1001" s="190"/>
      <x:c r="V1001" s="212"/>
      <x:c r="W1001" s="212"/>
      <x:c r="X1001" s="200"/>
      <x:c r="Y1001" s="192"/>
      <x:c r="Z1001" s="214"/>
      <x:c r="AA1001" s="214"/>
      <x:c r="AB1001" s="192"/>
      <x:c r="AC1001" s="194"/>
      <x:c r="AD1001" s="186" t="str">
        <x:f>IF(COUNTA(B1001:H1001)+COUNTA(J1001:AC1001)=0,"",IF(OR(B1001="",D1001="",E1001="",G1001="",J1001=""),"缺少必填项",IF(H1001&gt;G1001,"完成数大于订单数",IF(AND(X1001="",OR(Y1001="排队",Y1001="生产中",Y1001="阻塞",Z1001&lt;&gt;"",AA1001&lt;&gt;"",AB1001="是")),"已有排期字段缺少机台",IF(AND(X1001&lt;&gt;"",Y1001="待排"),"已填机台但状态为待排",IF(AND(Y1001="生产中",AB1001&lt;&gt;"是"),"需确认：生产中未锁定","可导入"))))))</x:f>
      </x:c>
    </x:row>
    <x:row r="1002" ht="22" customHeight="1">
      <x:c r="A1002" s="186" t="str">
        <x:f>IF(B1002="","",ROW()-5)</x:f>
      </x:c>
      <x:c r="B1002" s="196"/>
      <x:c r="C1002" s="198"/>
      <x:c r="D1002" s="196"/>
      <x:c r="E1002" s="188"/>
      <x:c r="F1002" s="198"/>
      <x:c r="G1002" s="202"/>
      <x:c r="H1002" s="204"/>
      <x:c r="I1002" s="206" t="str">
        <x:f>IF(G1002="","",MAX(G1002-H1002,0))</x:f>
      </x:c>
      <x:c r="J1002" s="210"/>
      <x:c r="K1002" s="190"/>
      <x:c r="L1002" s="208"/>
      <x:c r="M1002" s="208"/>
      <x:c r="N1002" s="208"/>
      <x:c r="O1002" s="208"/>
      <x:c r="P1002" s="190"/>
      <x:c r="Q1002" s="190"/>
      <x:c r="R1002" s="190"/>
      <x:c r="S1002" s="190"/>
      <x:c r="T1002" s="190"/>
      <x:c r="U1002" s="190"/>
      <x:c r="V1002" s="212"/>
      <x:c r="W1002" s="212"/>
      <x:c r="X1002" s="200"/>
      <x:c r="Y1002" s="192"/>
      <x:c r="Z1002" s="214"/>
      <x:c r="AA1002" s="214"/>
      <x:c r="AB1002" s="192"/>
      <x:c r="AC1002" s="194"/>
      <x:c r="AD1002" s="186" t="str">
        <x:f>IF(COUNTA(B1002:H1002)+COUNTA(J1002:AC1002)=0,"",IF(OR(B1002="",D1002="",E1002="",G1002="",J1002=""),"缺少必填项",IF(H1002&gt;G1002,"完成数大于订单数",IF(AND(X1002="",OR(Y1002="排队",Y1002="生产中",Y1002="阻塞",Z1002&lt;&gt;"",AA1002&lt;&gt;"",AB1002="是")),"已有排期字段缺少机台",IF(AND(X1002&lt;&gt;"",Y1002="待排"),"已填机台但状态为待排",IF(AND(Y1002="生产中",AB1002&lt;&gt;"是"),"需确认：生产中未锁定","可导入"))))))</x:f>
      </x:c>
    </x:row>
    <x:row r="1003" ht="22" customHeight="1">
      <x:c r="A1003" s="186" t="str">
        <x:f>IF(B1003="","",ROW()-5)</x:f>
      </x:c>
      <x:c r="B1003" s="196"/>
      <x:c r="C1003" s="198"/>
      <x:c r="D1003" s="196"/>
      <x:c r="E1003" s="188"/>
      <x:c r="F1003" s="198"/>
      <x:c r="G1003" s="202"/>
      <x:c r="H1003" s="204"/>
      <x:c r="I1003" s="206" t="str">
        <x:f>IF(G1003="","",MAX(G1003-H1003,0))</x:f>
      </x:c>
      <x:c r="J1003" s="210"/>
      <x:c r="K1003" s="190"/>
      <x:c r="L1003" s="208"/>
      <x:c r="M1003" s="208"/>
      <x:c r="N1003" s="208"/>
      <x:c r="O1003" s="208"/>
      <x:c r="P1003" s="190"/>
      <x:c r="Q1003" s="190"/>
      <x:c r="R1003" s="190"/>
      <x:c r="S1003" s="190"/>
      <x:c r="T1003" s="190"/>
      <x:c r="U1003" s="190"/>
      <x:c r="V1003" s="212"/>
      <x:c r="W1003" s="212"/>
      <x:c r="X1003" s="200"/>
      <x:c r="Y1003" s="192"/>
      <x:c r="Z1003" s="214"/>
      <x:c r="AA1003" s="214"/>
      <x:c r="AB1003" s="192"/>
      <x:c r="AC1003" s="194"/>
      <x:c r="AD1003" s="186" t="str">
        <x:f>IF(COUNTA(B1003:H1003)+COUNTA(J1003:AC1003)=0,"",IF(OR(B1003="",D1003="",E1003="",G1003="",J1003=""),"缺少必填项",IF(H1003&gt;G1003,"完成数大于订单数",IF(AND(X1003="",OR(Y1003="排队",Y1003="生产中",Y1003="阻塞",Z1003&lt;&gt;"",AA1003&lt;&gt;"",AB1003="是")),"已有排期字段缺少机台",IF(AND(X1003&lt;&gt;"",Y1003="待排"),"已填机台但状态为待排",IF(AND(Y1003="生产中",AB1003&lt;&gt;"是"),"需确认：生产中未锁定","可导入"))))))</x:f>
      </x:c>
    </x:row>
    <x:row r="1004" ht="22" customHeight="1">
      <x:c r="A1004" s="186" t="str">
        <x:f>IF(B1004="","",ROW()-5)</x:f>
      </x:c>
      <x:c r="B1004" s="196"/>
      <x:c r="C1004" s="198"/>
      <x:c r="D1004" s="196"/>
      <x:c r="E1004" s="188"/>
      <x:c r="F1004" s="198"/>
      <x:c r="G1004" s="202"/>
      <x:c r="H1004" s="204"/>
      <x:c r="I1004" s="206" t="str">
        <x:f>IF(G1004="","",MAX(G1004-H1004,0))</x:f>
      </x:c>
      <x:c r="J1004" s="210"/>
      <x:c r="K1004" s="190"/>
      <x:c r="L1004" s="208"/>
      <x:c r="M1004" s="208"/>
      <x:c r="N1004" s="208"/>
      <x:c r="O1004" s="208"/>
      <x:c r="P1004" s="190"/>
      <x:c r="Q1004" s="190"/>
      <x:c r="R1004" s="190"/>
      <x:c r="S1004" s="190"/>
      <x:c r="T1004" s="190"/>
      <x:c r="U1004" s="190"/>
      <x:c r="V1004" s="212"/>
      <x:c r="W1004" s="212"/>
      <x:c r="X1004" s="200"/>
      <x:c r="Y1004" s="192"/>
      <x:c r="Z1004" s="214"/>
      <x:c r="AA1004" s="214"/>
      <x:c r="AB1004" s="192"/>
      <x:c r="AC1004" s="194"/>
      <x:c r="AD1004" s="186" t="str">
        <x:f>IF(COUNTA(B1004:H1004)+COUNTA(J1004:AC1004)=0,"",IF(OR(B1004="",D1004="",E1004="",G1004="",J1004=""),"缺少必填项",IF(H1004&gt;G1004,"完成数大于订单数",IF(AND(X1004="",OR(Y1004="排队",Y1004="生产中",Y1004="阻塞",Z1004&lt;&gt;"",AA1004&lt;&gt;"",AB1004="是")),"已有排期字段缺少机台",IF(AND(X1004&lt;&gt;"",Y1004="待排"),"已填机台但状态为待排",IF(AND(Y1004="生产中",AB1004&lt;&gt;"是"),"需确认：生产中未锁定","可导入"))))))</x:f>
      </x:c>
    </x:row>
    <x:row r="1005" ht="22" customHeight="1">
      <x:c r="A1005" s="186" t="str">
        <x:f>IF(B1005="","",ROW()-5)</x:f>
      </x:c>
      <x:c r="B1005" s="196"/>
      <x:c r="C1005" s="198"/>
      <x:c r="D1005" s="196"/>
      <x:c r="E1005" s="188"/>
      <x:c r="F1005" s="198"/>
      <x:c r="G1005" s="202"/>
      <x:c r="H1005" s="204"/>
      <x:c r="I1005" s="206" t="str">
        <x:f>IF(G1005="","",MAX(G1005-H1005,0))</x:f>
      </x:c>
      <x:c r="J1005" s="210"/>
      <x:c r="K1005" s="190"/>
      <x:c r="L1005" s="208"/>
      <x:c r="M1005" s="208"/>
      <x:c r="N1005" s="208"/>
      <x:c r="O1005" s="208"/>
      <x:c r="P1005" s="190"/>
      <x:c r="Q1005" s="190"/>
      <x:c r="R1005" s="190"/>
      <x:c r="S1005" s="190"/>
      <x:c r="T1005" s="190"/>
      <x:c r="U1005" s="190"/>
      <x:c r="V1005" s="212"/>
      <x:c r="W1005" s="212"/>
      <x:c r="X1005" s="200"/>
      <x:c r="Y1005" s="192"/>
      <x:c r="Z1005" s="214"/>
      <x:c r="AA1005" s="214"/>
      <x:c r="AB1005" s="192"/>
      <x:c r="AC1005" s="194"/>
      <x:c r="AD1005" s="186" t="str">
        <x:f>IF(COUNTA(B1005:H1005)+COUNTA(J1005:AC1005)=0,"",IF(OR(B1005="",D1005="",E1005="",G1005="",J1005=""),"缺少必填项",IF(H1005&gt;G1005,"完成数大于订单数",IF(AND(X1005="",OR(Y1005="排队",Y1005="生产中",Y1005="阻塞",Z1005&lt;&gt;"",AA1005&lt;&gt;"",AB1005="是")),"已有排期字段缺少机台",IF(AND(X1005&lt;&gt;"",Y1005="待排"),"已填机台但状态为待排",IF(AND(Y1005="生产中",AB1005&lt;&gt;"是"),"需确认：生产中未锁定","可导入"))))))</x:f>
      </x:c>
    </x:row>
  </x:sheetData>
  <x:mergeCells>
    <x:mergeCell ref="A1:AD1"/>
    <x:mergeCell ref="H2:I2"/>
    <x:mergeCell ref="K2:AD2"/>
    <x:mergeCell ref="A3:AD3"/>
    <x:mergeCell ref="A4:E4"/>
    <x:mergeCell ref="F4:I4"/>
    <x:mergeCell ref="J4:W4"/>
    <x:mergeCell ref="X4:AB4"/>
    <x:mergeCell ref="AC4:AD4"/>
  </x:mergeCells>
  <x:conditionalFormatting sqref="K6:K1005">
    <x:cfRule type="expression" dxfId="5" priority="6">
      <x:formula>$K6="特急"</x:formula>
    </x:cfRule>
    <x:cfRule type="expression" dxfId="6" priority="7">
      <x:formula>$K6="急单"</x:formula>
    </x:cfRule>
  </x:conditionalFormatting>
  <x:conditionalFormatting sqref="AD6:AD1005">
    <x:cfRule type="expression" dxfId="8" priority="9">
      <x:formula>$AD6="可导入"</x:formula>
    </x:cfRule>
    <x:cfRule type="expression" dxfId="9" priority="10">
      <x:formula>$AD6="缺少必填项"</x:formula>
    </x:cfRule>
    <x:cfRule type="expression" dxfId="10" priority="11">
      <x:formula>$AD6="完成数大于订单数"</x:formula>
    </x:cfRule>
    <x:cfRule type="expression" dxfId="11" priority="12">
      <x:formula>$AD6="已有排期字段缺少机台"</x:formula>
    </x:cfRule>
    <x:cfRule type="expression" dxfId="12" priority="13">
      <x:formula>$AD6="已填机台但状态为待排"</x:formula>
    </x:cfRule>
    <x:cfRule type="expression" dxfId="13" priority="14">
      <x:formula>$AD6="需确认：生产中未锁定"</x:formula>
    </x:cfRule>
  </x:conditionalFormatting>
  <x:conditionalFormatting sqref="B6:B1005">
    <x:cfRule type="expression" dxfId="14" priority="15">
      <x:formula>AND((COUNTA($B6:$H6)+COUNTA($J6:$AC6))&gt;0,$B6="")</x:formula>
    </x:cfRule>
  </x:conditionalFormatting>
  <x:conditionalFormatting sqref="D6:D1005">
    <x:cfRule type="expression" dxfId="15" priority="16">
      <x:formula>AND((COUNTA($B6:$H6)+COUNTA($J6:$AC6))&gt;0,$D6="")</x:formula>
    </x:cfRule>
  </x:conditionalFormatting>
  <x:conditionalFormatting sqref="E6:E1005">
    <x:cfRule type="expression" dxfId="16" priority="17">
      <x:formula>AND((COUNTA($B6:$H6)+COUNTA($J6:$AC6))&gt;0,$E6="")</x:formula>
    </x:cfRule>
  </x:conditionalFormatting>
  <x:conditionalFormatting sqref="G6:G1005">
    <x:cfRule type="expression" dxfId="17" priority="18">
      <x:formula>AND((COUNTA($B6:$H6)+COUNTA($J6:$AC6))&gt;0,$G6="")</x:formula>
    </x:cfRule>
  </x:conditionalFormatting>
  <x:conditionalFormatting sqref="J6:J1005">
    <x:cfRule type="expression" dxfId="18" priority="19">
      <x:formula>AND((COUNTA($B6:$H6)+COUNTA($J6:$AC6))&gt;0,$J6="")</x:formula>
    </x:cfRule>
  </x:conditionalFormatting>
  <x:dataValidations count="9">
    <x:dataValidation type="list" allowBlank="1" showDropDown="0" sqref="K6:K1005">
      <x:formula1>"普通,急单,特急"</x:formula1>
    </x:dataValidation>
    <x:dataValidation type="list" allowBlank="1" showDropDown="0" sqref="R6:R1005">
      <x:formula1>"浅,中,深"</x:formula1>
    </x:dataValidation>
    <x:dataValidation type="list" allowBlank="1" showDropDown="0" sqref="S6:S1005">
      <x:formula1>"无要求,单臂,双臂,多臂"</x:formula1>
    </x:dataValidation>
    <x:dataValidation type="list" allowBlank="1" showDropDown="0" sqref="T6:T1005">
      <x:formula1>"无要求,气剪,夹子,吸盘,斗盘,其他"</x:formula1>
    </x:dataValidation>
    <x:dataValidation type="list" allowBlank="1" showDropDown="0" sqref="Y6:Y1005">
      <x:formula1>"待排,排队,生产中,阻塞"</x:formula1>
    </x:dataValidation>
    <x:dataValidation type="list" allowBlank="1" showDropDown="0" sqref="AB6:AB1005">
      <x:formula1>"否,是"</x:formula1>
    </x:dataValidation>
    <x:dataValidation type="decimal" errorStyle="stop" allowBlank="1" showErrorMessage="1" errorTitle="数量无效" error="数量必须大于或等于 0。" sqref="G6:H1005">
      <x:formula1>0</x:formula1>
    </x:dataValidation>
    <x:dataValidation type="decimal" errorStyle="stop" operator="greaterThan" allowBlank="1" showErrorMessage="1" errorTitle="订单数量无效" error="订单数量必须大于 0。" sqref="G6:G1005">
      <x:formula1>0</x:formula1>
    </x:dataValidation>
    <x:dataValidation type="decimal" errorStyle="stop" allowBlank="1" showErrorMessage="1" errorTitle="已完成数量无效" error="已完成数量必须大于或等于 0。" sqref="H6:H100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3873501e894c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2" hidden="0" customWidth="1"/>
    <x:col min="5" max="5" width="14" hidden="0" customWidth="1"/>
    <x:col min="6" max="6" width="22" hidden="0" customWidth="1"/>
    <x:col min="7" max="7" width="14" hidden="0" customWidth="1"/>
    <x:col min="8" max="8" width="22" hidden="0" customWidth="1"/>
  </x:cols>
  <x:sheetData>
    <x:row r="1" ht="34" customHeight="1">
      <x:c r="A1" s="5" t="str">
        <x:v>集团统一注塑排产模板｜填写说明</x:v>
      </x:c>
      <x:c r="B1" s="5"/>
      <x:c r="C1" s="5"/>
      <x:c r="D1" s="5"/>
      <x:c r="E1" s="5"/>
      <x:c r="F1" s="5"/>
      <x:c r="G1" s="5"/>
      <x:c r="H1" s="5"/>
    </x:row>
    <x:row r="2" ht="30" customHeight="1">
      <x:c r="A2" s="217" t="str">
        <x:v>设计基线：华康 A、华康 B、华兴现行计划表。新模板只保留排期所需事实，不复制旧表的价格、公式链、机台标题行和无限横向白班/夜班列。</x:v>
      </x:c>
      <x:c r="B2" s="217"/>
      <x:c r="C2" s="217"/>
      <x:c r="D2" s="217"/>
      <x:c r="E2" s="217"/>
      <x:c r="F2" s="217"/>
      <x:c r="G2" s="217"/>
      <x:c r="H2" s="217"/>
    </x:row>
    <x:row r="4">
      <x:c r="A4" s="240" t="str">
        <x:v>5
必填字段</x:v>
      </x:c>
      <x:c r="B4" s="241"/>
      <x:c r="C4" s="292" t="str">
        <x:v>13
推荐排机字段</x:v>
      </x:c>
      <x:c r="D4" s="293"/>
      <x:c r="E4" s="344" t="str">
        <x:v>5
已有排期可选字段</x:v>
      </x:c>
      <x:c r="F4" s="345"/>
      <x:c r="G4" s="396" t="str">
        <x:v>3
自动计算列</x:v>
      </x:c>
      <x:c r="H4" s="397"/>
    </x:row>
    <x:row r="5">
      <x:c r="A5" s="242"/>
      <x:c r="B5" s="243"/>
      <x:c r="C5" s="294"/>
      <x:c r="D5" s="295"/>
      <x:c r="E5" s="346"/>
      <x:c r="F5" s="347"/>
      <x:c r="G5" s="398"/>
      <x:c r="H5" s="399"/>
    </x:row>
    <x:row r="6">
      <x:c r="A6" s="244"/>
      <x:c r="B6" s="245"/>
      <x:c r="C6" s="296"/>
      <x:c r="D6" s="297"/>
      <x:c r="E6" s="348"/>
      <x:c r="F6" s="349"/>
      <x:c r="G6" s="400"/>
      <x:c r="H6" s="401"/>
    </x:row>
    <x:row r="8">
      <x:c r="A8" s="428" t="str">
        <x:v>一、日常使用流程</x:v>
      </x:c>
      <x:c r="B8" s="428"/>
      <x:c r="C8" s="428"/>
      <x:c r="D8" s="428"/>
      <x:c r="E8" s="428"/>
      <x:c r="F8" s="428"/>
      <x:c r="G8" s="428"/>
      <x:c r="H8" s="428"/>
    </x:row>
    <x:row r="9" ht="28" customHeight="1">
      <x:c r="A9" s="439" t="str">
        <x:v>步骤</x:v>
      </x:c>
      <x:c r="B9" s="439" t="str">
        <x:v>操作</x:v>
      </x:c>
      <x:c r="C9" s="439" t="str">
        <x:v>说明</x:v>
      </x:c>
      <x:c r="D9" s="439" t="str"/>
      <x:c r="E9" s="439" t="str"/>
      <x:c r="F9" s="439" t="str"/>
      <x:c r="G9" s="439" t="str"/>
      <x:c r="H9" s="439" t="str"/>
    </x:row>
    <x:row r="10" ht="28" customHeight="1">
      <x:c r="A10" s="444" t="str">
        <x:v>1</x:v>
      </x:c>
      <x:c r="B10" s="446" t="str">
        <x:v>在系统选择厂区</x:v>
      </x:c>
      <x:c r="C10" s="432" t="str">
        <x:v>厂区由登录上下文和页面选择确定，Excel 不填写 factory_id。</x:v>
      </x:c>
      <x:c r="D10" s="432" t="str"/>
      <x:c r="E10" s="432" t="str"/>
      <x:c r="F10" s="432" t="str"/>
      <x:c r="G10" s="432" t="str"/>
      <x:c r="H10" s="432" t="str"/>
    </x:row>
    <x:row r="11" ht="28" customHeight="1">
      <x:c r="A11" s="444" t="str">
        <x:v>2</x:v>
      </x:c>
      <x:c r="B11" s="446" t="str">
        <x:v>下载最新模板</x:v>
      </x:c>
      <x:c r="C11" s="432" t="str">
        <x:v>始终使用系统提供的 RR-ISP-1.0 模板，不复用旧厂区计划表。</x:v>
      </x:c>
      <x:c r="D11" s="432" t="str"/>
      <x:c r="E11" s="432" t="str"/>
      <x:c r="F11" s="432" t="str"/>
      <x:c r="G11" s="432" t="str"/>
      <x:c r="H11" s="432" t="str"/>
    </x:row>
    <x:row r="12" ht="28" customHeight="1">
      <x:c r="A12" s="444" t="str">
        <x:v>3</x:v>
      </x:c>
      <x:c r="B12" s="446" t="str">
        <x:v>填写“计划导入”</x:v>
      </x:c>
      <x:c r="C12" s="432" t="str">
        <x:v>一行一任务；必须填写单号、工模、产品、订单数量和交期。</x:v>
      </x:c>
      <x:c r="D12" s="432" t="str"/>
      <x:c r="E12" s="432" t="str"/>
      <x:c r="F12" s="432" t="str"/>
      <x:c r="G12" s="432" t="str"/>
      <x:c r="H12" s="432" t="str"/>
    </x:row>
    <x:row r="13" ht="28" customHeight="1">
      <x:c r="A13" s="444" t="str">
        <x:v>4</x:v>
      </x:c>
      <x:c r="B13" s="446" t="str">
        <x:v>导入并预览</x:v>
      </x:c>
      <x:c r="C13" s="432" t="str">
        <x:v>系统校验模板版本、表头、数量、交期、机台和执行状态。</x:v>
      </x:c>
      <x:c r="D13" s="432" t="str"/>
      <x:c r="E13" s="432" t="str"/>
      <x:c r="F13" s="432" t="str"/>
      <x:c r="G13" s="432" t="str"/>
      <x:c r="H13" s="432" t="str"/>
    </x:row>
    <x:row r="14" ht="28" customHeight="1">
      <x:c r="A14" s="444" t="str">
        <x:v>5</x:v>
      </x:c>
      <x:c r="B14" s="446" t="str">
        <x:v>确认导入</x:v>
      </x:c>
      <x:c r="C14" s="432" t="str">
        <x:v>机台留空的任务进入待排池；填写机台的任务作为当前队列接管基线。</x:v>
      </x:c>
      <x:c r="D14" s="432" t="str"/>
      <x:c r="E14" s="432" t="str"/>
      <x:c r="F14" s="432" t="str"/>
      <x:c r="G14" s="432" t="str"/>
      <x:c r="H14" s="432" t="str"/>
    </x:row>
    <x:row r="15" ht="28" customHeight="1">
      <x:c r="A15" s="444" t="str">
        <x:v>6</x:v>
      </x:c>
      <x:c r="B15" s="446" t="str">
        <x:v>在系统完成排期</x:v>
      </x:c>
      <x:c r="C15" s="432" t="str">
        <x:v>系统筛选候选机台、生成建议，文员确认或拖动调整。</x:v>
      </x:c>
      <x:c r="D15" s="432" t="str"/>
      <x:c r="E15" s="432" t="str"/>
      <x:c r="F15" s="432" t="str"/>
      <x:c r="G15" s="432" t="str"/>
      <x:c r="H15" s="432" t="str"/>
    </x:row>
    <x:row r="17">
      <x:c r="A17" s="448" t="str">
        <x:v>二、旧表问题与新模板处理</x:v>
      </x:c>
      <x:c r="B17" s="448"/>
      <x:c r="C17" s="448"/>
      <x:c r="D17" s="448"/>
      <x:c r="E17" s="448"/>
      <x:c r="F17" s="448"/>
      <x:c r="G17" s="448"/>
      <x:c r="H17" s="448"/>
    </x:row>
    <x:row r="18" ht="30" customHeight="1">
      <x:c r="A18" s="439" t="str">
        <x:v>旧表做法</x:v>
      </x:c>
      <x:c r="B18" s="439" t="str"/>
      <x:c r="C18" s="439" t="str"/>
      <x:c r="D18" s="439" t="str">
        <x:v>新模板做法</x:v>
      </x:c>
      <x:c r="E18" s="439" t="str"/>
      <x:c r="F18" s="439" t="str"/>
      <x:c r="G18" s="439" t="str"/>
      <x:c r="H18" s="439" t="str"/>
    </x:row>
    <x:row r="19" ht="30" customHeight="1">
      <x:c r="A19" s="450" t="str">
        <x:v>机台标题行 + 任务行混排</x:v>
      </x:c>
      <x:c r="B19" s="450" t="str"/>
      <x:c r="C19" s="450" t="str"/>
      <x:c r="D19" s="452" t="str">
        <x:v>所有业务行都是任务；机台只是可选字段。</x:v>
      </x:c>
      <x:c r="E19" s="452" t="str"/>
      <x:c r="F19" s="452" t="str"/>
      <x:c r="G19" s="452" t="str"/>
      <x:c r="H19" s="452" t="str"/>
    </x:row>
    <x:row r="20" ht="30" customHeight="1">
      <x:c r="A20" s="450" t="str">
        <x:v>各厂区列号、Sheet 名不同</x:v>
      </x:c>
      <x:c r="B20" s="450" t="str"/>
      <x:c r="C20" s="450" t="str"/>
      <x:c r="D20" s="452" t="str">
        <x:v>固定 Sheet“计划导入”、固定表头、固定版本。</x:v>
      </x:c>
      <x:c r="E20" s="452" t="str"/>
      <x:c r="F20" s="452" t="str"/>
      <x:c r="G20" s="452" t="str"/>
      <x:c r="H20" s="452" t="str"/>
    </x:row>
    <x:row r="21" ht="30" customHeight="1">
      <x:c r="A21" s="450" t="str">
        <x:v>每天向右增加白班/夜班列</x:v>
      </x:c>
      <x:c r="B21" s="450" t="str"/>
      <x:c r="C21" s="450" t="str"/>
      <x:c r="D21" s="452" t="str">
        <x:v>实际产量在系统班次报工，不进入导入模板。</x:v>
      </x:c>
      <x:c r="E21" s="452" t="str"/>
      <x:c r="F21" s="452" t="str"/>
      <x:c r="G21" s="452" t="str"/>
      <x:c r="H21" s="452" t="str"/>
    </x:row>
    <x:row r="22" ht="30" customHeight="1">
      <x:c r="A22" s="450" t="str">
        <x:v>价格、外发、比例混入排产表</x:v>
      </x:c>
      <x:c r="B22" s="450" t="str"/>
      <x:c r="C22" s="450" t="str"/>
      <x:c r="D22" s="452" t="str">
        <x:v>报价和成本不属于排产导入，移出主表。</x:v>
      </x:c>
      <x:c r="E22" s="452" t="str"/>
      <x:c r="F22" s="452" t="str"/>
      <x:c r="G22" s="452" t="str"/>
      <x:c r="H22" s="452" t="str"/>
    </x:row>
    <x:row r="23" ht="30" customHeight="1">
      <x:c r="A23" s="450" t="str">
        <x:v>欠数、计划时间、入库期靠 Excel 公式串联</x:v>
      </x:c>
      <x:c r="B23" s="450" t="str"/>
      <x:c r="C23" s="450" t="str"/>
      <x:c r="D23" s="452" t="str">
        <x:v>系统统一重算，Excel 自动列只作填表提示。</x:v>
      </x:c>
      <x:c r="E23" s="452" t="str"/>
      <x:c r="F23" s="452" t="str"/>
      <x:c r="G23" s="452" t="str"/>
      <x:c r="H23" s="452" t="str"/>
    </x:row>
    <x:row r="24" ht="30" customHeight="1">
      <x:c r="A24" s="450" t="str">
        <x:v>机器资料夹在计划行里</x:v>
      </x:c>
      <x:c r="B24" s="450" t="str"/>
      <x:c r="C24" s="450" t="str"/>
      <x:c r="D24" s="452" t="str">
        <x:v>机台、模具能力由系统主数据维护。</x:v>
      </x:c>
      <x:c r="E24" s="452" t="str"/>
      <x:c r="F24" s="452" t="str"/>
      <x:c r="G24" s="452" t="str"/>
      <x:c r="H24" s="452" t="str"/>
    </x:row>
    <x:row r="26">
      <x:c r="A26" s="454" t="str">
        <x:v>三、系统自动计算，不要在 Excel 手算</x:v>
      </x:c>
      <x:c r="B26" s="454"/>
      <x:c r="C26" s="454"/>
      <x:c r="D26" s="454"/>
      <x:c r="E26" s="454"/>
      <x:c r="F26" s="454"/>
      <x:c r="G26" s="454"/>
      <x:c r="H26" s="454"/>
    </x:row>
    <x:row r="27" ht="30" customHeight="1">
      <x:c r="A27" s="439" t="str">
        <x:v>项目</x:v>
      </x:c>
      <x:c r="B27" s="439" t="str">
        <x:v>系统处理</x:v>
      </x:c>
      <x:c r="C27" s="439" t="str"/>
      <x:c r="D27" s="439" t="str"/>
      <x:c r="E27" s="439" t="str"/>
      <x:c r="F27" s="439" t="str"/>
      <x:c r="G27" s="439" t="str"/>
      <x:c r="H27" s="439" t="str"/>
    </x:row>
    <x:row r="28" ht="30" customHeight="1">
      <x:c r="A28" s="456" t="str">
        <x:v>欠数</x:v>
      </x:c>
      <x:c r="B28" s="432" t="str">
        <x:v>MAX(订单数量－累计完成数量, 0)</x:v>
      </x:c>
      <x:c r="C28" s="432" t="str"/>
      <x:c r="D28" s="432" t="str"/>
      <x:c r="E28" s="432" t="str"/>
      <x:c r="F28" s="432" t="str"/>
      <x:c r="G28" s="432" t="str"/>
      <x:c r="H28" s="432" t="str"/>
    </x:row>
    <x:row r="29" ht="30" customHeight="1">
      <x:c r="A29" s="456" t="str">
        <x:v>候选机台</x:v>
      </x:c>
      <x:c r="B29" s="432" t="str">
        <x:v>先按模具安数、射胶量、单双臂、夹具、工艺和可用状态过滤。</x:v>
      </x:c>
      <x:c r="C29" s="432" t="str"/>
      <x:c r="D29" s="432" t="str"/>
      <x:c r="E29" s="432" t="str"/>
      <x:c r="F29" s="432" t="str"/>
      <x:c r="G29" s="432" t="str"/>
      <x:c r="H29" s="432" t="str"/>
    </x:row>
    <x:row r="30" ht="30" customHeight="1">
      <x:c r="A30" s="456" t="str">
        <x:v>计划顺序</x:v>
      </x:c>
      <x:c r="B30" s="432" t="str">
        <x:v>交期/超期/特急优先，再考虑同模、同料同色、浅到深、换模换色和负荷。</x:v>
      </x:c>
      <x:c r="C30" s="432" t="str"/>
      <x:c r="D30" s="432" t="str"/>
      <x:c r="E30" s="432" t="str"/>
      <x:c r="F30" s="432" t="str"/>
      <x:c r="G30" s="432" t="str"/>
      <x:c r="H30" s="432" t="str"/>
    </x:row>
    <x:row r="31" ht="30" customHeight="1">
      <x:c r="A31" s="456" t="str">
        <x:v>计划开始/完成</x:v>
      </x:c>
      <x:c r="B31" s="432" t="str">
        <x:v>根据机台接续点、剩余数量、日产量、切换时间和日历动态计算。</x:v>
      </x:c>
      <x:c r="C31" s="432" t="str"/>
      <x:c r="D31" s="432" t="str"/>
      <x:c r="E31" s="432" t="str"/>
      <x:c r="F31" s="432" t="str"/>
      <x:c r="G31" s="432" t="str"/>
      <x:c r="H31" s="432" t="str"/>
    </x:row>
    <x:row r="32" ht="30" customHeight="1">
      <x:c r="A32" s="456" t="str">
        <x:v>入库期/交期差</x:v>
      </x:c>
      <x:c r="B32" s="432" t="str">
        <x:v>由系统按统一缓冲规则计算；不读取旧表公式结果作为权威。</x:v>
      </x:c>
      <x:c r="C32" s="432" t="str"/>
      <x:c r="D32" s="432" t="str"/>
      <x:c r="E32" s="432" t="str"/>
      <x:c r="F32" s="432" t="str"/>
      <x:c r="G32" s="432" t="str"/>
      <x:c r="H32" s="432" t="str"/>
    </x:row>
    <x:row r="33" ht="30" customHeight="1">
      <x:c r="A33" s="456" t="str">
        <x:v>班次实际产量</x:v>
      </x:c>
      <x:c r="B33" s="432" t="str">
        <x:v>生产执行后在系统按白班/夜班报工并滚动更新。</x:v>
      </x:c>
      <x:c r="C33" s="432" t="str"/>
      <x:c r="D33" s="432" t="str"/>
      <x:c r="E33" s="432" t="str"/>
      <x:c r="F33" s="432" t="str"/>
      <x:c r="G33" s="432" t="str"/>
      <x:c r="H33" s="432" t="str"/>
    </x:row>
    <x:row r="35">
      <x:c r="A35" s="459" t="str">
        <x:v>四、统一排期规则</x:v>
      </x:c>
      <x:c r="B35" s="459"/>
      <x:c r="C35" s="459"/>
      <x:c r="D35" s="459"/>
      <x:c r="E35" s="459"/>
      <x:c r="F35" s="459"/>
      <x:c r="G35" s="459"/>
      <x:c r="H35" s="459"/>
    </x:row>
    <x:row r="36" ht="30" customHeight="1">
      <x:c r="A36" s="439" t="str">
        <x:v>类型</x:v>
      </x:c>
      <x:c r="B36" s="439" t="str">
        <x:v>规则</x:v>
      </x:c>
      <x:c r="C36" s="439" t="str"/>
      <x:c r="D36" s="439" t="str"/>
      <x:c r="E36" s="439" t="str"/>
      <x:c r="F36" s="439" t="str"/>
      <x:c r="G36" s="439" t="str"/>
      <x:c r="H36" s="439" t="str"/>
    </x:row>
    <x:row r="37" ht="30" customHeight="1">
      <x:c r="A37" s="464" t="str">
        <x:v>硬约束</x:v>
      </x:c>
      <x:c r="B37" s="432" t="str">
        <x:v>模具安数 ≤ 机台安数；整啤重量不得超过机台射胶量；单双臂、夹具和特殊工艺必须匹配。</x:v>
      </x:c>
      <x:c r="C37" s="432" t="str"/>
      <x:c r="D37" s="432" t="str"/>
      <x:c r="E37" s="432" t="str"/>
      <x:c r="F37" s="432" t="str"/>
      <x:c r="G37" s="432" t="str"/>
      <x:c r="H37" s="432" t="str"/>
    </x:row>
    <x:row r="38" ht="30" customHeight="1">
      <x:c r="A38" s="464" t="str">
        <x:v>硬约束</x:v>
      </x:c>
      <x:c r="B38" s="432" t="str">
        <x:v>机台、模具、材料必须可用；同一实体模具不能同时占用两台机，除非系统主数据存在多个副本。</x:v>
      </x:c>
      <x:c r="C38" s="432" t="str"/>
      <x:c r="D38" s="432" t="str"/>
      <x:c r="E38" s="432" t="str"/>
      <x:c r="F38" s="432" t="str"/>
      <x:c r="G38" s="432" t="str"/>
      <x:c r="H38" s="432" t="str"/>
    </x:row>
    <x:row r="39" ht="30" customHeight="1">
      <x:c r="A39" s="464" t="str">
        <x:v>硬约束</x:v>
      </x:c>
      <x:c r="B39" s="432" t="str">
        <x:v>正在生产和已锁定任务不能被自动移动。</x:v>
      </x:c>
      <x:c r="C39" s="432" t="str"/>
      <x:c r="D39" s="432" t="str"/>
      <x:c r="E39" s="432" t="str"/>
      <x:c r="F39" s="432" t="str"/>
      <x:c r="G39" s="432" t="str"/>
      <x:c r="H39" s="432" t="str"/>
    </x:row>
    <x:row r="40" ht="30" customHeight="1">
      <x:c r="A40" s="468" t="str">
        <x:v>软规则</x:v>
      </x:c>
      <x:c r="B40" s="432" t="str">
        <x:v>货期越近越优先；超期和特急单最高优先。</x:v>
      </x:c>
      <x:c r="C40" s="432" t="str"/>
      <x:c r="D40" s="432" t="str"/>
      <x:c r="E40" s="432" t="str"/>
      <x:c r="F40" s="432" t="str"/>
      <x:c r="G40" s="432" t="str"/>
      <x:c r="H40" s="432" t="str"/>
    </x:row>
    <x:row r="41" ht="30" customHeight="1">
      <x:c r="A41" s="468" t="str">
        <x:v>软规则</x:v>
      </x:c>
      <x:c r="B41" s="432" t="str">
        <x:v>同款同模、同材料同颜色尽量连续，减少换模、换色和清机。</x:v>
      </x:c>
      <x:c r="C41" s="432" t="str"/>
      <x:c r="D41" s="432" t="str"/>
      <x:c r="E41" s="432" t="str"/>
      <x:c r="F41" s="432" t="str"/>
      <x:c r="G41" s="432" t="str"/>
      <x:c r="H41" s="432" t="str"/>
    </x:row>
    <x:row r="42" ht="30" customHeight="1">
      <x:c r="A42" s="468" t="str">
        <x:v>软规则</x:v>
      </x:c>
      <x:c r="B42" s="432" t="str">
        <x:v>同一材料下优先浅色到深色；深色转浅色增加清机成本。</x:v>
      </x:c>
      <x:c r="C42" s="432" t="str"/>
      <x:c r="D42" s="432" t="str"/>
      <x:c r="E42" s="432" t="str"/>
      <x:c r="F42" s="432" t="str"/>
      <x:c r="G42" s="432" t="str"/>
      <x:c r="H42" s="432" t="str"/>
    </x:row>
    <x:row r="43" ht="30" customHeight="1">
      <x:c r="A43" s="468" t="str">
        <x:v>软规则</x:v>
      </x:c>
      <x:c r="B43" s="432" t="str">
        <x:v>大单优先高效机，小单避免长期占用过大机台，并兼顾负荷平衡。</x:v>
      </x:c>
      <x:c r="C43" s="432" t="str"/>
      <x:c r="D43" s="432" t="str"/>
      <x:c r="E43" s="432" t="str"/>
      <x:c r="F43" s="432" t="str"/>
      <x:c r="G43" s="432" t="str"/>
      <x:c r="H43" s="432" t="str"/>
    </x:row>
    <x:row r="45">
      <x:c r="A45" s="497" t="str">
        <x:v>重要：本模板是唯一日常导入格式。旧厂区计划表不再直接导入，也不再做 AI/模糊字段映射。需要迁移旧数据时，先整理到本模板，再导入系统。</x:v>
      </x:c>
      <x:c r="B45" s="498"/>
      <x:c r="C45" s="498"/>
      <x:c r="D45" s="498"/>
      <x:c r="E45" s="498"/>
      <x:c r="F45" s="498"/>
      <x:c r="G45" s="498"/>
      <x:c r="H45" s="499"/>
    </x:row>
    <x:row r="46">
      <x:c r="A46" s="500"/>
      <x:c r="B46" s="501"/>
      <x:c r="C46" s="501"/>
      <x:c r="D46" s="501"/>
      <x:c r="E46" s="501"/>
      <x:c r="F46" s="501"/>
      <x:c r="G46" s="501"/>
      <x:c r="H46" s="502"/>
    </x:row>
    <x:row r="47">
      <x:c r="A47" s="503"/>
      <x:c r="B47" s="504"/>
      <x:c r="C47" s="504"/>
      <x:c r="D47" s="504"/>
      <x:c r="E47" s="504"/>
      <x:c r="F47" s="504"/>
      <x:c r="G47" s="504"/>
      <x:c r="H47" s="505"/>
    </x:row>
  </x:sheetData>
  <x:mergeCells>
    <x:mergeCell ref="A1:H1"/>
    <x:mergeCell ref="A2:H2"/>
    <x:mergeCell ref="A4:B6"/>
    <x:mergeCell ref="C4:D6"/>
    <x:mergeCell ref="E4:F6"/>
    <x:mergeCell ref="G4:H6"/>
    <x:mergeCell ref="A8:H8"/>
    <x:mergeCell ref="C9:H9"/>
    <x:mergeCell ref="C10:H10"/>
    <x:mergeCell ref="C11:H11"/>
    <x:mergeCell ref="C12:H12"/>
    <x:mergeCell ref="C13:H13"/>
    <x:mergeCell ref="C14:H14"/>
    <x:mergeCell ref="C15:H15"/>
    <x:mergeCell ref="A17:H17"/>
    <x:mergeCell ref="A18:C18"/>
    <x:mergeCell ref="D18:H18"/>
    <x:mergeCell ref="A19:C19"/>
    <x:mergeCell ref="D19:H19"/>
    <x:mergeCell ref="A20:C20"/>
    <x:mergeCell ref="D20:H20"/>
    <x:mergeCell ref="A21:C21"/>
    <x:mergeCell ref="D21:H21"/>
    <x:mergeCell ref="A22:C22"/>
    <x:mergeCell ref="D22:H22"/>
    <x:mergeCell ref="A23:C23"/>
    <x:mergeCell ref="D23:H23"/>
    <x:mergeCell ref="A24:C24"/>
    <x:mergeCell ref="D24:H24"/>
    <x:mergeCell ref="A26:H26"/>
    <x:mergeCell ref="B27:H27"/>
    <x:mergeCell ref="B28:H28"/>
    <x:mergeCell ref="B29:H29"/>
    <x:mergeCell ref="B30:H30"/>
    <x:mergeCell ref="B31:H31"/>
    <x:mergeCell ref="B32:H32"/>
    <x:mergeCell ref="B33:H33"/>
    <x:mergeCell ref="A35:H35"/>
    <x:mergeCell ref="B36:H36"/>
    <x:mergeCell ref="B37:H37"/>
    <x:mergeCell ref="B38:H38"/>
    <x:mergeCell ref="B39:H39"/>
    <x:mergeCell ref="B40:H40"/>
    <x:mergeCell ref="B41:H41"/>
    <x:mergeCell ref="B42:H42"/>
    <x:mergeCell ref="B43:H43"/>
    <x:mergeCell ref="A45:H4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8" hidden="0" customWidth="1"/>
    <x:col min="4" max="4" width="10" hidden="0" customWidth="1"/>
    <x:col min="5" max="5" width="18" hidden="0" customWidth="1"/>
    <x:col min="6" max="6" width="24" hidden="0" customWidth="1"/>
    <x:col min="7" max="7" width="38" hidden="0" customWidth="1"/>
    <x:col min="8" max="8" width="26" hidden="0" customWidth="1"/>
  </x:cols>
  <x:sheetData>
    <x:row r="1" ht="32" customHeight="1">
      <x:c r="A1" s="544" t="str">
        <x:v>字段说明与系统映射｜RR-ISP-1.0</x:v>
      </x:c>
      <x:c r="B1" s="544"/>
      <x:c r="C1" s="544"/>
      <x:c r="D1" s="544"/>
      <x:c r="E1" s="544"/>
      <x:c r="F1" s="544"/>
      <x:c r="G1" s="544"/>
      <x:c r="H1" s="544"/>
    </x:row>
    <x:row r="3" ht="34" customHeight="1">
      <x:c r="A3" s="551" t="str">
        <x:v>序号</x:v>
      </x:c>
      <x:c r="B3" s="551" t="str">
        <x:v>表头</x:v>
      </x:c>
      <x:c r="C3" s="551" t="str">
        <x:v>系统字段 / 处理</x:v>
      </x:c>
      <x:c r="D3" s="551" t="str">
        <x:v>级别</x:v>
      </x:c>
      <x:c r="E3" s="551" t="str">
        <x:v>类型 / 格式</x:v>
      </x:c>
      <x:c r="F3" s="551" t="str">
        <x:v>旧表字段来源</x:v>
      </x:c>
      <x:c r="G3" s="551" t="str">
        <x:v>填写规则</x:v>
      </x:c>
      <x:c r="H3" s="551" t="str">
        <x:v>系统用途</x:v>
      </x:c>
    </x:row>
    <x:row r="4" ht="38" customHeight="1">
      <x:c r="A4" s="559" t="n">
        <x:v>1</x:v>
      </x:c>
      <x:c r="B4" s="559" t="str">
        <x:v>行号（自动）</x:v>
      </x:c>
      <x:c r="C4" s="559" t="str">
        <x:v>忽略输入；Excel 自动生成</x:v>
      </x:c>
      <x:c r="D4" s="565" t="str">
        <x:v>自动</x:v>
      </x:c>
      <x:c r="E4" s="559" t="str">
        <x:v>整数</x:v>
      </x:c>
      <x:c r="F4" s="559" t="str">
        <x:v>无统一字段</x:v>
      </x:c>
      <x:c r="G4" s="559" t="str">
        <x:v>不要手填</x:v>
      </x:c>
      <x:c r="H4" s="559" t="str">
        <x:v>定位与人工核对</x:v>
      </x:c>
    </x:row>
    <x:row r="5" ht="38" customHeight="1">
      <x:c r="A5" s="559" t="n">
        <x:v>2</x:v>
      </x:c>
      <x:c r="B5" s="559" t="str">
        <x:v>单号*</x:v>
      </x:c>
      <x:c r="C5" s="559" t="str">
        <x:v>order_no</x:v>
      </x:c>
      <x:c r="D5" s="569" t="str">
        <x:v>必填</x:v>
      </x:c>
      <x:c r="E5" s="559" t="str">
        <x:v>文本</x:v>
      </x:c>
      <x:c r="F5" s="559" t="str">
        <x:v>单号 / 订单号</x:v>
      </x:c>
      <x:c r="G5" s="559" t="str">
        <x:v>保持文本，不去除前导零</x:v>
      </x:c>
      <x:c r="H5" s="559" t="str">
        <x:v>订单身份与去重</x:v>
      </x:c>
    </x:row>
    <x:row r="6" ht="38" customHeight="1">
      <x:c r="A6" s="559" t="n">
        <x:v>3</x:v>
      </x:c>
      <x:c r="B6" s="559" t="str">
        <x:v>货号</x:v>
      </x:c>
      <x:c r="C6" s="559" t="str">
        <x:v>item_no</x:v>
      </x:c>
      <x:c r="D6" s="573" t="str">
        <x:v>可选</x:v>
      </x:c>
      <x:c r="E6" s="559" t="str">
        <x:v>文本</x:v>
      </x:c>
      <x:c r="F6" s="559" t="str">
        <x:v>货号</x:v>
      </x:c>
      <x:c r="G6" s="559" t="str">
        <x:v>同一单号多货号时建议填写</x:v>
      </x:c>
      <x:c r="H6" s="559" t="str">
        <x:v>搜索与订单身份</x:v>
      </x:c>
    </x:row>
    <x:row r="7" ht="38" customHeight="1">
      <x:c r="A7" s="559" t="n">
        <x:v>4</x:v>
      </x:c>
      <x:c r="B7" s="559" t="str">
        <x:v>工模编号*</x:v>
      </x:c>
      <x:c r="C7" s="559" t="str">
        <x:v>mold_no</x:v>
      </x:c>
      <x:c r="D7" s="569" t="str">
        <x:v>必填</x:v>
      </x:c>
      <x:c r="E7" s="559" t="str">
        <x:v>文本</x:v>
      </x:c>
      <x:c r="F7" s="559" t="str">
        <x:v>工模 / 模号</x:v>
      </x:c>
      <x:c r="G7" s="559" t="str">
        <x:v>必须与模具主数据编号一致或可追溯</x:v>
      </x:c>
      <x:c r="H7" s="559" t="str">
        <x:v>模具匹配</x:v>
      </x:c>
    </x:row>
    <x:row r="8" ht="38" customHeight="1">
      <x:c r="A8" s="559" t="n">
        <x:v>5</x:v>
      </x:c>
      <x:c r="B8" s="559" t="str">
        <x:v>产品名称*</x:v>
      </x:c>
      <x:c r="C8" s="559" t="str">
        <x:v>product_name</x:v>
      </x:c>
      <x:c r="D8" s="569" t="str">
        <x:v>必填</x:v>
      </x:c>
      <x:c r="E8" s="559" t="str">
        <x:v>文本</x:v>
      </x:c>
      <x:c r="F8" s="559" t="str">
        <x:v>名称 / 产品名称</x:v>
      </x:c>
      <x:c r="G8" s="559" t="str">
        <x:v>填写业务可识别名称</x:v>
      </x:c>
      <x:c r="H8" s="559" t="str">
        <x:v>展示与核对</x:v>
      </x:c>
    </x:row>
    <x:row r="9" ht="38" customHeight="1">
      <x:c r="A9" s="559" t="n">
        <x:v>6</x:v>
      </x:c>
      <x:c r="B9" s="559" t="str">
        <x:v>仓库</x:v>
      </x:c>
      <x:c r="C9" s="559" t="str">
        <x:v>warehouse_text</x:v>
      </x:c>
      <x:c r="D9" s="573" t="str">
        <x:v>可选</x:v>
      </x:c>
      <x:c r="E9" s="559" t="str">
        <x:v>文本</x:v>
      </x:c>
      <x:c r="F9" s="559" t="str">
        <x:v>仓库</x:v>
      </x:c>
      <x:c r="G9" s="559" t="str">
        <x:v>按厂区现有仓库口径填写</x:v>
      </x:c>
      <x:c r="H9" s="559" t="str">
        <x:v>路由与筛选</x:v>
      </x:c>
    </x:row>
    <x:row r="10" ht="38" customHeight="1">
      <x:c r="A10" s="559" t="n">
        <x:v>7</x:v>
      </x:c>
      <x:c r="B10" s="559" t="str">
        <x:v>订单数量*</x:v>
      </x:c>
      <x:c r="C10" s="559" t="str">
        <x:v>order_quantity</x:v>
      </x:c>
      <x:c r="D10" s="569" t="str">
        <x:v>必填</x:v>
      </x:c>
      <x:c r="E10" s="559" t="str">
        <x:v>数字 ≥ 0</x:v>
      </x:c>
      <x:c r="F10" s="559" t="str">
        <x:v>订单数 / 订单数量</x:v>
      </x:c>
      <x:c r="G10" s="559" t="str">
        <x:v>统一使用系统排产数量单位</x:v>
      </x:c>
      <x:c r="H10" s="559" t="str">
        <x:v>排产需求</x:v>
      </x:c>
    </x:row>
    <x:row r="11" ht="38" customHeight="1">
      <x:c r="A11" s="559" t="n">
        <x:v>8</x:v>
      </x:c>
      <x:c r="B11" s="559" t="str">
        <x:v>已完成数量</x:v>
      </x:c>
      <x:c r="C11" s="559" t="str">
        <x:v>completed_quantity</x:v>
      </x:c>
      <x:c r="D11" s="573" t="str">
        <x:v>可选</x:v>
      </x:c>
      <x:c r="E11" s="559" t="str">
        <x:v>数字 ≥ 0</x:v>
      </x:c>
      <x:c r="F11" s="559" t="str">
        <x:v>已啤数 / 已完成</x:v>
      </x:c>
      <x:c r="G11" s="559" t="str">
        <x:v>新单填 0；接管旧计划时填累计完成</x:v>
      </x:c>
      <x:c r="H11" s="559" t="str">
        <x:v>剩余量水位</x:v>
      </x:c>
    </x:row>
    <x:row r="12" ht="38" customHeight="1">
      <x:c r="A12" s="559" t="n">
        <x:v>9</x:v>
      </x:c>
      <x:c r="B12" s="559" t="str">
        <x:v>欠数（自动）</x:v>
      </x:c>
      <x:c r="C12" s="559" t="str">
        <x:v>max(order_quantity-completed_quantity,0)</x:v>
      </x:c>
      <x:c r="D12" s="565" t="str">
        <x:v>自动</x:v>
      </x:c>
      <x:c r="E12" s="559" t="str">
        <x:v>数字</x:v>
      </x:c>
      <x:c r="F12" s="559" t="str">
        <x:v>欠数</x:v>
      </x:c>
      <x:c r="G12" s="559" t="str">
        <x:v>不要手填</x:v>
      </x:c>
      <x:c r="H12" s="559" t="str">
        <x:v>排期剩余量</x:v>
      </x:c>
    </x:row>
    <x:row r="13" ht="38" customHeight="1">
      <x:c r="A13" s="559" t="n">
        <x:v>10</x:v>
      </x:c>
      <x:c r="B13" s="559" t="str">
        <x:v>交货完成期*</x:v>
      </x:c>
      <x:c r="C13" s="559" t="str">
        <x:v>delivery_due_date</x:v>
      </x:c>
      <x:c r="D13" s="569" t="str">
        <x:v>必填</x:v>
      </x:c>
      <x:c r="E13" s="559" t="str">
        <x:v>yyyy-mm-dd</x:v>
      </x:c>
      <x:c r="F13" s="559" t="str">
        <x:v>交货完成期 / 交货期限</x:v>
      </x:c>
      <x:c r="G13" s="559" t="str">
        <x:v>填写最终要求完成日期</x:v>
      </x:c>
      <x:c r="H13" s="559" t="str">
        <x:v>交期优先与风险</x:v>
      </x:c>
    </x:row>
    <x:row r="14" ht="38" customHeight="1">
      <x:c r="A14" s="559" t="n">
        <x:v>11</x:v>
      </x:c>
      <x:c r="B14" s="559" t="str">
        <x:v>优先级</x:v>
      </x:c>
      <x:c r="C14" s="559" t="str">
        <x:v>priority_code</x:v>
      </x:c>
      <x:c r="D14" s="577" t="str">
        <x:v>推荐</x:v>
      </x:c>
      <x:c r="E14" s="559" t="str">
        <x:v>普通/急单/特急</x:v>
      </x:c>
      <x:c r="F14" s="559" t="str">
        <x:v>备注/急单标记</x:v>
      </x:c>
      <x:c r="G14" s="559" t="str">
        <x:v>空白按普通</x:v>
      </x:c>
      <x:c r="H14" s="559" t="str">
        <x:v>插单与排序</x:v>
      </x:c>
    </x:row>
    <x:row r="15" ht="38" customHeight="1">
      <x:c r="A15" s="559" t="n">
        <x:v>12</x:v>
      </x:c>
      <x:c r="B15" s="559" t="str">
        <x:v>模具安数</x:v>
      </x:c>
      <x:c r="C15" s="559" t="str">
        <x:v>required_machine_a_class_evidence</x:v>
      </x:c>
      <x:c r="D15" s="577" t="str">
        <x:v>推荐</x:v>
      </x:c>
      <x:c r="E15" s="559" t="str">
        <x:v>正数</x:v>
      </x:c>
      <x:c r="F15" s="559" t="str">
        <x:v>安机 / 机型 / A级</x:v>
      </x:c>
      <x:c r="G15" s="559" t="str">
        <x:v>系统主数据已有时可留空；不静默覆盖主档</x:v>
      </x:c>
      <x:c r="H15" s="559" t="str">
        <x:v>候选机台硬约束</x:v>
      </x:c>
    </x:row>
    <x:row r="16" ht="38" customHeight="1">
      <x:c r="A16" s="559" t="n">
        <x:v>13</x:v>
      </x:c>
      <x:c r="B16" s="559" t="str">
        <x:v>整啤净重(g)</x:v>
      </x:c>
      <x:c r="C16" s="559" t="str">
        <x:v>whole_shot_net_weight_g</x:v>
      </x:c>
      <x:c r="D16" s="577" t="str">
        <x:v>推荐</x:v>
      </x:c>
      <x:c r="E16" s="559" t="str">
        <x:v>克</x:v>
      </x:c>
      <x:c r="F16" s="559" t="str">
        <x:v>净重</x:v>
      </x:c>
      <x:c r="G16" s="559" t="str">
        <x:v>系统主数据已有时可留空</x:v>
      </x:c>
      <x:c r="H16" s="559" t="str">
        <x:v>射胶量与用料证据</x:v>
      </x:c>
    </x:row>
    <x:row r="17" ht="38" customHeight="1">
      <x:c r="A17" s="559" t="n">
        <x:v>14</x:v>
      </x:c>
      <x:c r="B17" s="559" t="str">
        <x:v>整啤毛重(g)</x:v>
      </x:c>
      <x:c r="C17" s="559" t="str">
        <x:v>whole_shot_gross_weight_g</x:v>
      </x:c>
      <x:c r="D17" s="577" t="str">
        <x:v>推荐</x:v>
      </x:c>
      <x:c r="E17" s="559" t="str">
        <x:v>克</x:v>
      </x:c>
      <x:c r="F17" s="559" t="str">
        <x:v>毛重</x:v>
      </x:c>
      <x:c r="G17" s="559" t="str">
        <x:v>系统主数据已有时可留空</x:v>
      </x:c>
      <x:c r="H17" s="559" t="str">
        <x:v>射胶量与用料证据</x:v>
      </x:c>
    </x:row>
    <x:row r="18" ht="38" customHeight="1">
      <x:c r="A18" s="559" t="n">
        <x:v>15</x:v>
      </x:c>
      <x:c r="B18" s="559" t="str">
        <x:v>标准日产量</x:v>
      </x:c>
      <x:c r="C18" s="559" t="str">
        <x:v>daily_target_quantity</x:v>
      </x:c>
      <x:c r="D18" s="577" t="str">
        <x:v>推荐</x:v>
      </x:c>
      <x:c r="E18" s="559" t="str">
        <x:v>件/日</x:v>
      </x:c>
      <x:c r="F18" s="559" t="str">
        <x:v>计划日目标 / 日产量</x:v>
      </x:c>
      <x:c r="G18" s="559" t="str">
        <x:v>没有可靠数据可留空并在系统补齐</x:v>
      </x:c>
      <x:c r="H18" s="559" t="str">
        <x:v>时长计算</x:v>
      </x:c>
    </x:row>
    <x:row r="19" ht="38" customHeight="1">
      <x:c r="A19" s="559" t="n">
        <x:v>16</x:v>
      </x:c>
      <x:c r="B19" s="559" t="str">
        <x:v>材料</x:v>
      </x:c>
      <x:c r="C19" s="559" t="str">
        <x:v>material_name</x:v>
      </x:c>
      <x:c r="D19" s="577" t="str">
        <x:v>推荐</x:v>
      </x:c>
      <x:c r="E19" s="559" t="str">
        <x:v>文本</x:v>
      </x:c>
      <x:c r="F19" s="559" t="str">
        <x:v>用料 / 材料</x:v>
      </x:c>
      <x:c r="G19" s="559" t="str">
        <x:v>填写材料牌号或标准名称</x:v>
      </x:c>
      <x:c r="H19" s="559" t="str">
        <x:v>材料适配与连续生产</x:v>
      </x:c>
    </x:row>
    <x:row r="20" ht="38" customHeight="1">
      <x:c r="A20" s="559" t="n">
        <x:v>17</x:v>
      </x:c>
      <x:c r="B20" s="559" t="str">
        <x:v>颜色/色号</x:v>
      </x:c>
      <x:c r="C20" s="559" t="str">
        <x:v>color_name</x:v>
      </x:c>
      <x:c r="D20" s="577" t="str">
        <x:v>推荐</x:v>
      </x:c>
      <x:c r="E20" s="559" t="str">
        <x:v>文本</x:v>
      </x:c>
      <x:c r="F20" s="559" t="str">
        <x:v>颜色 + 色粉/色号</x:v>
      </x:c>
      <x:c r="G20" s="559" t="str">
        <x:v>可写“浅蓝 / PMS 2905C”</x:v>
      </x:c>
      <x:c r="H20" s="559" t="str">
        <x:v>同色连续与换色</x:v>
      </x:c>
    </x:row>
    <x:row r="21" ht="38" customHeight="1">
      <x:c r="A21" s="559" t="n">
        <x:v>18</x:v>
      </x:c>
      <x:c r="B21" s="559" t="str">
        <x:v>颜色深浅</x:v>
      </x:c>
      <x:c r="C21" s="559" t="str">
        <x:v>color_depth</x:v>
      </x:c>
      <x:c r="D21" s="577" t="str">
        <x:v>推荐</x:v>
      </x:c>
      <x:c r="E21" s="559" t="str">
        <x:v>浅/中/深</x:v>
      </x:c>
      <x:c r="F21" s="559" t="str">
        <x:v>旧表无独立字段</x:v>
      </x:c>
      <x:c r="G21" s="559" t="str">
        <x:v>不能判断时可留空</x:v>
      </x:c>
      <x:c r="H21" s="559" t="str">
        <x:v>浅色到深色排序</x:v>
      </x:c>
    </x:row>
    <x:row r="22" ht="38" customHeight="1">
      <x:c r="A22" s="559" t="n">
        <x:v>19</x:v>
      </x:c>
      <x:c r="B22" s="559" t="str">
        <x:v>单双臂</x:v>
      </x:c>
      <x:c r="C22" s="559" t="str">
        <x:v>required_arm_type</x:v>
      </x:c>
      <x:c r="D22" s="577" t="str">
        <x:v>推荐</x:v>
      </x:c>
      <x:c r="E22" s="559" t="str">
        <x:v>无要求/单臂/双臂/多臂</x:v>
      </x:c>
      <x:c r="F22" s="559" t="str">
        <x:v>单双臂</x:v>
      </x:c>
      <x:c r="G22" s="559" t="str">
        <x:v>双臂任务必须明确</x:v>
      </x:c>
      <x:c r="H22" s="559" t="str">
        <x:v>机械手硬约束</x:v>
      </x:c>
    </x:row>
    <x:row r="23" ht="38" customHeight="1">
      <x:c r="A23" s="559" t="n">
        <x:v>20</x:v>
      </x:c>
      <x:c r="B23" s="559" t="str">
        <x:v>夹具</x:v>
      </x:c>
      <x:c r="C23" s="559" t="str">
        <x:v>required_fixture_type</x:v>
      </x:c>
      <x:c r="D23" s="577" t="str">
        <x:v>推荐</x:v>
      </x:c>
      <x:c r="E23" s="559" t="str">
        <x:v>枚举/文本</x:v>
      </x:c>
      <x:c r="F23" s="559" t="str">
        <x:v>夹具 / 气剪</x:v>
      </x:c>
      <x:c r="G23" s="559" t="str">
        <x:v>没有要求填无要求或留空</x:v>
      </x:c>
      <x:c r="H23" s="559" t="str">
        <x:v>夹具硬约束</x:v>
      </x:c>
    </x:row>
    <x:row r="24" ht="38" customHeight="1">
      <x:c r="A24" s="559" t="n">
        <x:v>21</x:v>
      </x:c>
      <x:c r="B24" s="559" t="str">
        <x:v>特殊工艺</x:v>
      </x:c>
      <x:c r="C24" s="559" t="str">
        <x:v>process_tags_evidence</x:v>
      </x:c>
      <x:c r="D24" s="577" t="str">
        <x:v>推荐</x:v>
      </x:c>
      <x:c r="E24" s="559" t="str">
        <x:v>用 | 分隔</x:v>
      </x:c>
      <x:c r="F24" s="559" t="str">
        <x:v>机型备注 / 工艺限制</x:v>
      </x:c>
      <x:c r="G24" s="559" t="str">
        <x:v>如 PVC|抽芯|高压；使用字典值</x:v>
      </x:c>
      <x:c r="H24" s="559" t="str">
        <x:v>工艺硬约束</x:v>
      </x:c>
    </x:row>
    <x:row r="25" ht="38" customHeight="1">
      <x:c r="A25" s="559" t="n">
        <x:v>22</x:v>
      </x:c>
      <x:c r="B25" s="559" t="str">
        <x:v>齐料日期</x:v>
      </x:c>
      <x:c r="C25" s="559" t="str">
        <x:v>material_available_date_evidence</x:v>
      </x:c>
      <x:c r="D25" s="577" t="str">
        <x:v>推荐</x:v>
      </x:c>
      <x:c r="E25" s="559" t="str">
        <x:v>yyyy-mm-dd</x:v>
      </x:c>
      <x:c r="F25" s="559" t="str">
        <x:v>料欠 / 已配料</x:v>
      </x:c>
      <x:c r="G25" s="559" t="str">
        <x:v>已齐料可填当天或留空由系统状态决定</x:v>
      </x:c>
      <x:c r="H25" s="559" t="str">
        <x:v>物料可用时间</x:v>
      </x:c>
    </x:row>
    <x:row r="26" ht="38" customHeight="1">
      <x:c r="A26" s="559" t="n">
        <x:v>23</x:v>
      </x:c>
      <x:c r="B26" s="559" t="str">
        <x:v>模具可用日期</x:v>
      </x:c>
      <x:c r="C26" s="559" t="str">
        <x:v>mold_available_date_evidence</x:v>
      </x:c>
      <x:c r="D26" s="577" t="str">
        <x:v>推荐</x:v>
      </x:c>
      <x:c r="E26" s="559" t="str">
        <x:v>yyyy-mm-dd</x:v>
      </x:c>
      <x:c r="F26" s="559" t="str">
        <x:v>模具进度 / 复期</x:v>
      </x:c>
      <x:c r="G26" s="559" t="str">
        <x:v>修模、外发或未回厂时填写</x:v>
      </x:c>
      <x:c r="H26" s="559" t="str">
        <x:v>模具日历</x:v>
      </x:c>
    </x:row>
    <x:row r="27" ht="38" customHeight="1">
      <x:c r="A27" s="559" t="n">
        <x:v>24</x:v>
      </x:c>
      <x:c r="B27" s="559" t="str">
        <x:v>当前机台</x:v>
      </x:c>
      <x:c r="C27" s="559" t="str">
        <x:v>machine_code</x:v>
      </x:c>
      <x:c r="D27" s="573" t="str">
        <x:v>可选</x:v>
      </x:c>
      <x:c r="E27" s="559" t="str">
        <x:v>文本</x:v>
      </x:c>
      <x:c r="F27" s="559" t="str">
        <x:v>机位 / 机号</x:v>
      </x:c>
      <x:c r="G27" s="559" t="str">
        <x:v>空白进入待排池；填写则接管现有队列</x:v>
      </x:c>
      <x:c r="H27" s="559" t="str">
        <x:v>基线机台</x:v>
      </x:c>
    </x:row>
    <x:row r="28" ht="38" customHeight="1">
      <x:c r="A28" s="559" t="n">
        <x:v>25</x:v>
      </x:c>
      <x:c r="B28" s="559" t="str">
        <x:v>执行状态</x:v>
      </x:c>
      <x:c r="C28" s="559" t="str">
        <x:v>BACKLOG/QUEUED/RUNNING/BLOCKED</x:v>
      </x:c>
      <x:c r="D28" s="573" t="str">
        <x:v>可选</x:v>
      </x:c>
      <x:c r="E28" s="559" t="str">
        <x:v>待排/排队/生产中/阻塞</x:v>
      </x:c>
      <x:c r="F28" s="559" t="str">
        <x:v>标记 / 状态</x:v>
      </x:c>
      <x:c r="G28" s="559" t="str">
        <x:v>机台空白默认待排；有机台默认排队</x:v>
      </x:c>
      <x:c r="H28" s="559" t="str">
        <x:v>运行边界</x:v>
      </x:c>
    </x:row>
    <x:row r="29" ht="38" customHeight="1">
      <x:c r="A29" s="559" t="n">
        <x:v>26</x:v>
      </x:c>
      <x:c r="B29" s="559" t="str">
        <x:v>计划开始</x:v>
      </x:c>
      <x:c r="C29" s="559" t="str">
        <x:v>planned_start</x:v>
      </x:c>
      <x:c r="D29" s="573" t="str">
        <x:v>可选</x:v>
      </x:c>
      <x:c r="E29" s="559" t="str">
        <x:v>yyyy-mm-dd hh:mm</x:v>
      </x:c>
      <x:c r="F29" s="559" t="str">
        <x:v>计划生产期 / 计划啤货期</x:v>
      </x:c>
      <x:c r="G29" s="559" t="str">
        <x:v>空白由系统按队列计算</x:v>
      </x:c>
      <x:c r="H29" s="559" t="str">
        <x:v>基线时间</x:v>
      </x:c>
    </x:row>
    <x:row r="30" ht="38" customHeight="1">
      <x:c r="A30" s="559" t="n">
        <x:v>27</x:v>
      </x:c>
      <x:c r="B30" s="559" t="str">
        <x:v>计划完成</x:v>
      </x:c>
      <x:c r="C30" s="559" t="str">
        <x:v>planned_finish</x:v>
      </x:c>
      <x:c r="D30" s="573" t="str">
        <x:v>可选</x:v>
      </x:c>
      <x:c r="E30" s="559" t="str">
        <x:v>yyyy-mm-dd hh:mm</x:v>
      </x:c>
      <x:c r="F30" s="559" t="str">
        <x:v>计划完成期</x:v>
      </x:c>
      <x:c r="G30" s="559" t="str">
        <x:v>空白由系统按产能计算</x:v>
      </x:c>
      <x:c r="H30" s="559" t="str">
        <x:v>基线时间</x:v>
      </x:c>
    </x:row>
    <x:row r="31" ht="38" customHeight="1">
      <x:c r="A31" s="559" t="n">
        <x:v>28</x:v>
      </x:c>
      <x:c r="B31" s="559" t="str">
        <x:v>锁定</x:v>
      </x:c>
      <x:c r="C31" s="559" t="str">
        <x:v>locked</x:v>
      </x:c>
      <x:c r="D31" s="573" t="str">
        <x:v>可选</x:v>
      </x:c>
      <x:c r="E31" s="559" t="str">
        <x:v>否/是</x:v>
      </x:c>
      <x:c r="F31" s="559" t="str">
        <x:v>旧表无统一字段</x:v>
      </x:c>
      <x:c r="G31" s="559" t="str">
        <x:v>生产中任务建议填是</x:v>
      </x:c>
      <x:c r="H31" s="559" t="str">
        <x:v>防止自动移动</x:v>
      </x:c>
    </x:row>
    <x:row r="32" ht="38" customHeight="1">
      <x:c r="A32" s="559" t="n">
        <x:v>29</x:v>
      </x:c>
      <x:c r="B32" s="559" t="str">
        <x:v>备注</x:v>
      </x:c>
      <x:c r="C32" s="559" t="str">
        <x:v>remark</x:v>
      </x:c>
      <x:c r="D32" s="573" t="str">
        <x:v>可选</x:v>
      </x:c>
      <x:c r="E32" s="559" t="str">
        <x:v>文本</x:v>
      </x:c>
      <x:c r="F32" s="559" t="str">
        <x:v>备注 / 标记</x:v>
      </x:c>
      <x:c r="G32" s="559" t="str">
        <x:v>只写无法结构化的业务说明</x:v>
      </x:c>
      <x:c r="H32" s="559" t="str">
        <x:v>人工说明</x:v>
      </x:c>
    </x:row>
    <x:row r="33" ht="38" customHeight="1">
      <x:c r="A33" s="559" t="n">
        <x:v>30</x:v>
      </x:c>
      <x:c r="B33" s="559" t="str">
        <x:v>填表检查（自动）</x:v>
      </x:c>
      <x:c r="C33" s="559" t="str">
        <x:v>Excel 提示；后端重新校验</x:v>
      </x:c>
      <x:c r="D33" s="565" t="str">
        <x:v>自动</x:v>
      </x:c>
      <x:c r="E33" s="559" t="str">
        <x:v>文本</x:v>
      </x:c>
      <x:c r="F33" s="559" t="str">
        <x:v>无</x:v>
      </x:c>
      <x:c r="G33" s="559" t="str">
        <x:v>不要手填</x:v>
      </x:c>
      <x:c r="H33" s="559" t="str">
        <x:v>快速发现明显错误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7535244162848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6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  <x:col min="9" max="9" width="11" hidden="0" customWidth="1"/>
    <x:col min="10" max="10" width="13" hidden="0" customWidth="1"/>
    <x:col min="11" max="11" width="10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14" hidden="0" customWidth="1"/>
    <x:col min="17" max="17" width="18" hidden="0" customWidth="1"/>
    <x:col min="18" max="18" width="10" hidden="0" customWidth="1"/>
    <x:col min="19" max="19" width="10" hidden="0" customWidth="1"/>
    <x:col min="20" max="20" width="12" hidden="0" customWidth="1"/>
    <x:col min="21" max="21" width="20" hidden="0" customWidth="1"/>
    <x:col min="22" max="22" width="13" hidden="0" customWidth="1"/>
    <x:col min="23" max="23" width="13" hidden="0" customWidth="1"/>
    <x:col min="24" max="24" width="12" hidden="0" customWidth="1"/>
    <x:col min="25" max="25" width="11" hidden="0" customWidth="1"/>
    <x:col min="26" max="26" width="18" hidden="0" customWidth="1"/>
    <x:col min="27" max="27" width="18" hidden="0" customWidth="1"/>
    <x:col min="28" max="28" width="9" hidden="0" customWidth="1"/>
    <x:col min="29" max="29" width="26" hidden="0" customWidth="1"/>
    <x:col min="30" max="30" width="22" hidden="0" customWidth="1"/>
  </x:cols>
  <x:sheetData>
    <x:row r="1" ht="32" customHeight="1">
      <x:c r="A1" s="544" t="str">
        <x:v>填写示例（仅示范，不要把本页导入系统）</x:v>
      </x:c>
      <x:c r="B1" s="544"/>
      <x:c r="C1" s="544"/>
      <x:c r="D1" s="544"/>
      <x:c r="E1" s="544"/>
      <x:c r="F1" s="544"/>
      <x:c r="G1" s="544"/>
      <x:c r="H1" s="544"/>
      <x:c r="I1" s="544"/>
      <x:c r="J1" s="544"/>
      <x:c r="K1" s="544"/>
      <x:c r="L1" s="544"/>
      <x:c r="M1" s="544"/>
      <x:c r="N1" s="544"/>
      <x:c r="O1" s="544"/>
      <x:c r="P1" s="544"/>
      <x:c r="Q1" s="544"/>
      <x:c r="R1" s="544"/>
      <x:c r="S1" s="544"/>
      <x:c r="T1" s="544"/>
      <x:c r="U1" s="544"/>
      <x:c r="V1" s="544"/>
      <x:c r="W1" s="544"/>
      <x:c r="X1" s="544"/>
      <x:c r="Y1" s="544"/>
      <x:c r="Z1" s="544"/>
      <x:c r="AA1" s="544"/>
      <x:c r="AB1" s="544"/>
      <x:c r="AC1" s="544"/>
      <x:c r="AD1" s="544"/>
    </x:row>
    <x:row r="2">
      <x:c r="A2" s="216" t="str">
        <x:v>示例同时展示：生产中且锁定、同机台后续排队、机台留空进入待排池。真实导入只读取“计划导入”Sheet。</x:v>
      </x:c>
      <x:c r="B2" s="216"/>
      <x:c r="C2" s="216"/>
      <x:c r="D2" s="216"/>
      <x:c r="E2" s="216"/>
      <x:c r="F2" s="216"/>
      <x:c r="G2" s="216"/>
      <x:c r="H2" s="216"/>
      <x:c r="I2" s="216"/>
      <x:c r="J2" s="216"/>
      <x:c r="K2" s="216"/>
      <x:c r="L2" s="216"/>
      <x:c r="M2" s="216"/>
      <x:c r="N2" s="216"/>
      <x:c r="O2" s="216"/>
      <x:c r="P2" s="216"/>
      <x:c r="Q2" s="216"/>
      <x:c r="R2" s="216"/>
      <x:c r="S2" s="216"/>
      <x:c r="T2" s="216"/>
      <x:c r="U2" s="216"/>
      <x:c r="V2" s="216"/>
      <x:c r="W2" s="216"/>
      <x:c r="X2" s="216"/>
      <x:c r="Y2" s="216"/>
      <x:c r="Z2" s="216"/>
      <x:c r="AA2" s="216"/>
      <x:c r="AB2" s="216"/>
      <x:c r="AC2" s="216"/>
      <x:c r="AD2" s="216"/>
    </x:row>
    <x:row r="5" ht="40" customHeight="1">
      <x:c r="A5" s="164" t="str">
        <x:v>行号（自动）</x:v>
      </x:c>
      <x:c r="B5" s="164" t="str">
        <x:v>单号*</x:v>
      </x:c>
      <x:c r="C5" s="164" t="str">
        <x:v>货号</x:v>
      </x:c>
      <x:c r="D5" s="164" t="str">
        <x:v>工模编号*</x:v>
      </x:c>
      <x:c r="E5" s="164" t="str">
        <x:v>产品名称*</x:v>
      </x:c>
      <x:c r="F5" s="164" t="str">
        <x:v>仓库</x:v>
      </x:c>
      <x:c r="G5" s="164" t="str">
        <x:v>订单数量*</x:v>
      </x:c>
      <x:c r="H5" s="164" t="str">
        <x:v>已完成数量</x:v>
      </x:c>
      <x:c r="I5" s="164" t="str">
        <x:v>欠数（自动）</x:v>
      </x:c>
      <x:c r="J5" s="164" t="str">
        <x:v>交货完成期*</x:v>
      </x:c>
      <x:c r="K5" s="164" t="str">
        <x:v>优先级</x:v>
      </x:c>
      <x:c r="L5" s="164" t="str">
        <x:v>模具安数</x:v>
      </x:c>
      <x:c r="M5" s="164" t="str">
        <x:v>整啤净重(g)</x:v>
      </x:c>
      <x:c r="N5" s="164" t="str">
        <x:v>整啤毛重(g)</x:v>
      </x:c>
      <x:c r="O5" s="164" t="str">
        <x:v>标准日产量</x:v>
      </x:c>
      <x:c r="P5" s="164" t="str">
        <x:v>材料</x:v>
      </x:c>
      <x:c r="Q5" s="164" t="str">
        <x:v>颜色/色号</x:v>
      </x:c>
      <x:c r="R5" s="164" t="str">
        <x:v>颜色深浅</x:v>
      </x:c>
      <x:c r="S5" s="164" t="str">
        <x:v>单双臂</x:v>
      </x:c>
      <x:c r="T5" s="164" t="str">
        <x:v>夹具</x:v>
      </x:c>
      <x:c r="U5" s="164" t="str">
        <x:v>特殊工艺</x:v>
      </x:c>
      <x:c r="V5" s="164" t="str">
        <x:v>齐料日期</x:v>
      </x:c>
      <x:c r="W5" s="164" t="str">
        <x:v>模具可用日期</x:v>
      </x:c>
      <x:c r="X5" s="164" t="str">
        <x:v>当前机台</x:v>
      </x:c>
      <x:c r="Y5" s="164" t="str">
        <x:v>执行状态</x:v>
      </x:c>
      <x:c r="Z5" s="164" t="str">
        <x:v>计划开始</x:v>
      </x:c>
      <x:c r="AA5" s="164" t="str">
        <x:v>计划完成</x:v>
      </x:c>
      <x:c r="AB5" s="164" t="str">
        <x:v>锁定</x:v>
      </x:c>
      <x:c r="AC5" s="164" t="str">
        <x:v>备注</x:v>
      </x:c>
      <x:c r="AD5" s="164" t="str">
        <x:v>填表检查（自动）</x:v>
      </x:c>
    </x:row>
    <x:row r="6" ht="32" customHeight="1">
      <x:c r="A6" s="580" t="n">
        <x:f>IF(B6="","",ROW()-5)</x:f>
        <x:v>1</x:v>
      </x:c>
      <x:c r="B6" s="588" t="str">
        <x:v>SO-DEMO-003</x:v>
      </x:c>
      <x:c r="C6" s="590" t="str">
        <x:v>ITEM-C</x:v>
      </x:c>
      <x:c r="D6" s="588" t="str">
        <x:v>M-014A-003</x:v>
      </x:c>
      <x:c r="E6" s="582" t="str">
        <x:v>黑色底座</x:v>
      </x:c>
      <x:c r="F6" s="590" t="str">
        <x:v>A仓</x:v>
      </x:c>
      <x:c r="G6" s="594" t="n">
        <x:v>50000</x:v>
      </x:c>
      <x:c r="H6" s="596" t="n">
        <x:v>12000</x:v>
      </x:c>
      <x:c r="I6" s="598" t="n">
        <x:f>IF(G6="","",MAX(G6-H6,0))</x:f>
        <x:v>38000</x:v>
      </x:c>
      <x:c r="J6" s="602" t="n">
        <x:v>46267</x:v>
      </x:c>
      <x:c r="K6" s="584" t="str">
        <x:v>急单</x:v>
      </x:c>
      <x:c r="L6" s="600" t="n">
        <x:v>14</x:v>
      </x:c>
      <x:c r="M6" s="600" t="n">
        <x:v>120</x:v>
      </x:c>
      <x:c r="N6" s="600" t="n">
        <x:v>148</x:v>
      </x:c>
      <x:c r="O6" s="600" t="n">
        <x:v>6500</x:v>
      </x:c>
      <x:c r="P6" s="584" t="str">
        <x:v>HIPS</x:v>
      </x:c>
      <x:c r="Q6" s="584" t="str">
        <x:v>黑色 / Black C</x:v>
      </x:c>
      <x:c r="R6" s="584" t="str">
        <x:v>深</x:v>
      </x:c>
      <x:c r="S6" s="584" t="str">
        <x:v>双臂</x:v>
      </x:c>
      <x:c r="T6" s="584" t="str">
        <x:v>吸盘</x:v>
      </x:c>
      <x:c r="U6" s="584" t="str">
        <x:v>高压</x:v>
      </x:c>
      <x:c r="V6" s="604" t="n">
        <x:v>46260</x:v>
      </x:c>
      <x:c r="W6" s="604" t="n">
        <x:v>46260</x:v>
      </x:c>
      <x:c r="X6" s="592" t="str">
        <x:v>A-12</x:v>
      </x:c>
      <x:c r="Y6" s="586" t="str">
        <x:v>生产中</x:v>
      </x:c>
      <x:c r="Z6" s="606" t="n">
        <x:v>46260.333333333336</x:v>
      </x:c>
      <x:c r="AA6" s="606" t="n">
        <x:v>46266.833333333336</x:v>
      </x:c>
      <x:c r="AB6" s="586" t="str">
        <x:v>是</x:v>
      </x:c>
      <x:c r="AC6" s="432" t="str">
        <x:v>当前正在生产，保留位置</x:v>
      </x:c>
      <x:c r="AD6" s="580" t="str">
        <x:f>IF(COUNTA(B6:H6)+COUNTA(J6:AC6)=0,"",IF(OR(B6="",D6="",E6="",G6="",J6=""),"缺少必填项",IF(H6&gt;G6,"完成数大于订单数",IF(AND(X6="",OR(Y6="排队",Y6="生产中",Y6="阻塞",Z6&lt;&gt;"",AA6&lt;&gt;"",AB6="是")),"已有排期字段缺少机台",IF(AND(X6&lt;&gt;"",Y6="待排"),"已填机台但状态为待排",IF(AND(Y6="生产中",AB6&lt;&gt;"是"),"需确认：生产中未锁定","可导入"))))))</x:f>
        <x:v>可导入</x:v>
      </x:c>
    </x:row>
    <x:row r="7" ht="32" customHeight="1">
      <x:c r="A7" s="580" t="n">
        <x:f>IF(B7="","",ROW()-5)</x:f>
        <x:v>2</x:v>
      </x:c>
      <x:c r="B7" s="588" t="str">
        <x:v>SO-DEMO-002</x:v>
      </x:c>
      <x:c r="C7" s="590" t="str">
        <x:v>ITEM-B</x:v>
      </x:c>
      <x:c r="D7" s="588" t="str">
        <x:v>M-014A-002</x:v>
      </x:c>
      <x:c r="E7" s="582" t="str">
        <x:v>深蓝上壳</x:v>
      </x:c>
      <x:c r="F7" s="590" t="str">
        <x:v>A仓</x:v>
      </x:c>
      <x:c r="G7" s="594" t="n">
        <x:v>26000</x:v>
      </x:c>
      <x:c r="H7" s="596" t="n">
        <x:v>0</x:v>
      </x:c>
      <x:c r="I7" s="598" t="n">
        <x:f>IF(G7="","",MAX(G7-H7,0))</x:f>
        <x:v>26000</x:v>
      </x:c>
      <x:c r="J7" s="602" t="n">
        <x:v>46271</x:v>
      </x:c>
      <x:c r="K7" s="584" t="str">
        <x:v>普通</x:v>
      </x:c>
      <x:c r="L7" s="600" t="n">
        <x:v>14</x:v>
      </x:c>
      <x:c r="M7" s="600" t="n">
        <x:v>95</x:v>
      </x:c>
      <x:c r="N7" s="600" t="n">
        <x:v>118</x:v>
      </x:c>
      <x:c r="O7" s="600" t="n">
        <x:v>5200</x:v>
      </x:c>
      <x:c r="P7" s="584" t="str">
        <x:v>ABS</x:v>
      </x:c>
      <x:c r="Q7" s="584" t="str">
        <x:v>深蓝 / PMS 2945C</x:v>
      </x:c>
      <x:c r="R7" s="584" t="str">
        <x:v>深</x:v>
      </x:c>
      <x:c r="S7" s="584" t="str">
        <x:v>双臂</x:v>
      </x:c>
      <x:c r="T7" s="584" t="str">
        <x:v>吸盘</x:v>
      </x:c>
      <x:c r="U7" s="584" t="str"/>
      <x:c r="V7" s="604" t="n">
        <x:v>46261</x:v>
      </x:c>
      <x:c r="W7" s="604" t="n">
        <x:v>46261</x:v>
      </x:c>
      <x:c r="X7" s="592" t="str">
        <x:v>A-12</x:v>
      </x:c>
      <x:c r="Y7" s="586" t="str">
        <x:v>排队</x:v>
      </x:c>
      <x:c r="Z7" s="606"/>
      <x:c r="AA7" s="606"/>
      <x:c r="AB7" s="586" t="str">
        <x:v>否</x:v>
      </x:c>
      <x:c r="AC7" s="432" t="str">
        <x:v>同机台排在上一任务之后</x:v>
      </x:c>
      <x:c r="AD7" s="580" t="str">
        <x:f>IF(COUNTA(B7:H7)+COUNTA(J7:AC7)=0,"",IF(OR(B7="",D7="",E7="",G7="",J7=""),"缺少必填项",IF(H7&gt;G7,"完成数大于订单数",IF(AND(X7="",OR(Y7="排队",Y7="生产中",Y7="阻塞",Z7&lt;&gt;"",AA7&lt;&gt;"",AB7="是")),"已有排期字段缺少机台",IF(AND(X7&lt;&gt;"",Y7="待排"),"已填机台但状态为待排",IF(AND(Y7="生产中",AB7&lt;&gt;"是"),"需确认：生产中未锁定","可导入"))))))</x:f>
        <x:v>可导入</x:v>
      </x:c>
    </x:row>
    <x:row r="8" ht="32" customHeight="1">
      <x:c r="A8" s="580" t="n">
        <x:f>IF(B8="","",ROW()-5)</x:f>
        <x:v>3</x:v>
      </x:c>
      <x:c r="B8" s="588" t="str">
        <x:v>SO-DEMO-001</x:v>
      </x:c>
      <x:c r="C8" s="590" t="str">
        <x:v>ITEM-A</x:v>
      </x:c>
      <x:c r="D8" s="588" t="str">
        <x:v>M-007A-001</x:v>
      </x:c>
      <x:c r="E8" s="582" t="str">
        <x:v>浅蓝外壳</x:v>
      </x:c>
      <x:c r="F8" s="590" t="str">
        <x:v>B仓</x:v>
      </x:c>
      <x:c r="G8" s="594" t="n">
        <x:v>30000</x:v>
      </x:c>
      <x:c r="H8" s="596" t="n">
        <x:v>0</x:v>
      </x:c>
      <x:c r="I8" s="598" t="n">
        <x:f>IF(G8="","",MAX(G8-H8,0))</x:f>
        <x:v>30000</x:v>
      </x:c>
      <x:c r="J8" s="602" t="n">
        <x:v>46270</x:v>
      </x:c>
      <x:c r="K8" s="584" t="str">
        <x:v>特急</x:v>
      </x:c>
      <x:c r="L8" s="600" t="n">
        <x:v>7</x:v>
      </x:c>
      <x:c r="M8" s="600" t="n">
        <x:v>85</x:v>
      </x:c>
      <x:c r="N8" s="600" t="n">
        <x:v>102</x:v>
      </x:c>
      <x:c r="O8" s="600" t="n">
        <x:v>5000</x:v>
      </x:c>
      <x:c r="P8" s="584" t="str">
        <x:v>ABS</x:v>
      </x:c>
      <x:c r="Q8" s="584" t="str">
        <x:v>浅蓝 / PMS 2905C</x:v>
      </x:c>
      <x:c r="R8" s="584" t="str">
        <x:v>浅</x:v>
      </x:c>
      <x:c r="S8" s="584" t="str">
        <x:v>双臂</x:v>
      </x:c>
      <x:c r="T8" s="584" t="str">
        <x:v>气剪</x:v>
      </x:c>
      <x:c r="U8" s="584" t="str">
        <x:v>透明料</x:v>
      </x:c>
      <x:c r="V8" s="604" t="n">
        <x:v>46261</x:v>
      </x:c>
      <x:c r="W8" s="604" t="n">
        <x:v>46260</x:v>
      </x:c>
      <x:c r="X8" s="592" t="str"/>
      <x:c r="Y8" s="586" t="str">
        <x:v>待排</x:v>
      </x:c>
      <x:c r="Z8" s="606"/>
      <x:c r="AA8" s="606"/>
      <x:c r="AB8" s="586" t="str">
        <x:v>否</x:v>
      </x:c>
      <x:c r="AC8" s="432" t="str">
        <x:v>新订单，由系统推荐机台</x:v>
      </x:c>
      <x:c r="AD8" s="580" t="str">
        <x:f>IF(COUNTA(B8:H8)+COUNTA(J8:AC8)=0,"",IF(OR(B8="",D8="",E8="",G8="",J8=""),"缺少必填项",IF(H8&gt;G8,"完成数大于订单数",IF(AND(X8="",OR(Y8="排队",Y8="生产中",Y8="阻塞",Z8&lt;&gt;"",AA8&lt;&gt;"",AB8="是")),"已有排期字段缺少机台",IF(AND(X8&lt;&gt;"",Y8="待排"),"已填机台但状态为待排",IF(AND(Y8="生产中",AB8&lt;&gt;"是"),"需确认：生产中未锁定","可导入"))))))</x:f>
        <x:v>可导入</x:v>
      </x:c>
    </x:row>
  </x:sheetData>
  <x:mergeCells>
    <x:mergeCell ref="A1:AD1"/>
    <x:mergeCell ref="A2:A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4" hidden="0" customWidth="1"/>
    <x:col min="5" max="5" width="18" hidden="0" customWidth="1"/>
    <x:col min="6" max="6" width="4" hidden="0" customWidth="1"/>
    <x:col min="7" max="7" width="14" hidden="0" customWidth="1"/>
    <x:col min="8" max="8" width="16" hidden="0" customWidth="1"/>
    <x:col min="9" max="9" width="4" hidden="0" customWidth="1"/>
    <x:col min="10" max="10" width="14" hidden="0" customWidth="1"/>
    <x:col min="11" max="11" width="24" hidden="0" customWidth="1"/>
    <x:col min="12" max="12" width="4" hidden="0" customWidth="1"/>
    <x:col min="13" max="13" width="14" hidden="0" customWidth="1"/>
    <x:col min="14" max="14" width="18" hidden="0" customWidth="1"/>
    <x:col min="15" max="15" width="4" hidden="0" customWidth="1"/>
    <x:col min="16" max="16" width="14" hidden="0" customWidth="1"/>
    <x:col min="17" max="17" width="16" hidden="0" customWidth="1"/>
  </x:cols>
  <x:sheetData>
    <x:row r="1" ht="32" customHeight="1">
      <x:c r="A1" s="544" t="str">
        <x:v>枚举字典与填写口径</x:v>
      </x:c>
      <x:c r="B1" s="544"/>
      <x:c r="C1" s="544"/>
      <x:c r="D1" s="544"/>
      <x:c r="E1" s="544"/>
      <x:c r="F1" s="544"/>
      <x:c r="G1" s="544"/>
      <x:c r="H1" s="544"/>
      <x:c r="I1" s="544"/>
      <x:c r="J1" s="544"/>
      <x:c r="K1" s="544"/>
      <x:c r="L1" s="544"/>
      <x:c r="M1" s="544"/>
      <x:c r="N1" s="544"/>
      <x:c r="O1" s="544"/>
      <x:c r="P1" s="544"/>
      <x:c r="Q1" s="544"/>
    </x:row>
    <x:row r="3">
      <x:c r="A3" s="551" t="str">
        <x:v>优先级</x:v>
      </x:c>
      <x:c r="B3" s="551" t="str">
        <x:v>系统值</x:v>
      </x:c>
      <x:c r="D3" s="551" t="str">
        <x:v>执行状态</x:v>
      </x:c>
      <x:c r="E3" s="551" t="str">
        <x:v>系统语义</x:v>
      </x:c>
      <x:c r="G3" s="551" t="str">
        <x:v>单双臂</x:v>
      </x:c>
      <x:c r="H3" s="551" t="str">
        <x:v>系统语义</x:v>
      </x:c>
      <x:c r="J3" s="551" t="str">
        <x:v>夹具</x:v>
      </x:c>
      <x:c r="K3" s="551" t="str">
        <x:v>说明</x:v>
      </x:c>
      <x:c r="M3" s="551" t="str">
        <x:v>颜色深浅</x:v>
      </x:c>
      <x:c r="N3" s="551" t="str">
        <x:v>排序语义</x:v>
      </x:c>
      <x:c r="P3" s="551" t="str">
        <x:v>锁定</x:v>
      </x:c>
      <x:c r="Q3" s="551" t="str">
        <x:v>系统值</x:v>
      </x:c>
    </x:row>
    <x:row r="4">
      <x:c r="A4" s="432" t="str">
        <x:v>普通</x:v>
      </x:c>
      <x:c r="B4" s="432" t="str">
        <x:v>NORMAL</x:v>
      </x:c>
      <x:c r="D4" s="432" t="str">
        <x:v>待排</x:v>
      </x:c>
      <x:c r="E4" s="432" t="str">
        <x:v>BACKLOG</x:v>
      </x:c>
      <x:c r="G4" s="432" t="str">
        <x:v>无要求</x:v>
      </x:c>
      <x:c r="H4" s="432" t="str">
        <x:v>NONE</x:v>
      </x:c>
      <x:c r="J4" s="432" t="str">
        <x:v>无要求</x:v>
      </x:c>
      <x:c r="K4" s="432" t="str">
        <x:v>不限制</x:v>
      </x:c>
      <x:c r="M4" s="432" t="str">
        <x:v>浅</x:v>
      </x:c>
      <x:c r="N4" s="432" t="str">
        <x:v>优先</x:v>
      </x:c>
      <x:c r="P4" s="432" t="str">
        <x:v>否</x:v>
      </x:c>
      <x:c r="Q4" s="432" t="str">
        <x:v>false</x:v>
      </x:c>
    </x:row>
    <x:row r="5">
      <x:c r="A5" s="432" t="str">
        <x:v>急单</x:v>
      </x:c>
      <x:c r="B5" s="432" t="str">
        <x:v>URGENT</x:v>
      </x:c>
      <x:c r="D5" s="432" t="str">
        <x:v>排队</x:v>
      </x:c>
      <x:c r="E5" s="432" t="str">
        <x:v>QUEUED</x:v>
      </x:c>
      <x:c r="G5" s="432" t="str">
        <x:v>单臂</x:v>
      </x:c>
      <x:c r="H5" s="432" t="str">
        <x:v>SINGLE</x:v>
      </x:c>
      <x:c r="J5" s="432" t="str">
        <x:v>气剪</x:v>
      </x:c>
      <x:c r="K5" s="432" t="str">
        <x:v>需要气剪能力</x:v>
      </x:c>
      <x:c r="M5" s="432" t="str">
        <x:v>中</x:v>
      </x:c>
      <x:c r="N5" s="432" t="str">
        <x:v>中间</x:v>
      </x:c>
      <x:c r="P5" s="432" t="str">
        <x:v>是</x:v>
      </x:c>
      <x:c r="Q5" s="432" t="str">
        <x:v>true</x:v>
      </x:c>
    </x:row>
    <x:row r="6">
      <x:c r="A6" s="432" t="str">
        <x:v>特急</x:v>
      </x:c>
      <x:c r="B6" s="432" t="str">
        <x:v>CRITICAL</x:v>
      </x:c>
      <x:c r="D6" s="432" t="str">
        <x:v>生产中</x:v>
      </x:c>
      <x:c r="E6" s="432" t="str">
        <x:v>RUNNING</x:v>
      </x:c>
      <x:c r="G6" s="432" t="str">
        <x:v>双臂</x:v>
      </x:c>
      <x:c r="H6" s="432" t="str">
        <x:v>DOUBLE</x:v>
      </x:c>
      <x:c r="J6" s="432" t="str">
        <x:v>夹子</x:v>
      </x:c>
      <x:c r="K6" s="432" t="str">
        <x:v>需要夹子</x:v>
      </x:c>
      <x:c r="M6" s="432" t="str">
        <x:v>深</x:v>
      </x:c>
      <x:c r="N6" s="432" t="str">
        <x:v>靠后</x:v>
      </x:c>
    </x:row>
    <x:row r="7">
      <x:c r="A7" s="432" t="str">
        <x:v>空白</x:v>
      </x:c>
      <x:c r="B7" s="432" t="str">
        <x:v>NORMAL</x:v>
      </x:c>
      <x:c r="D7" s="432" t="str">
        <x:v>阻塞</x:v>
      </x:c>
      <x:c r="E7" s="432" t="str">
        <x:v>BLOCKED</x:v>
      </x:c>
      <x:c r="G7" s="432" t="str">
        <x:v>多臂</x:v>
      </x:c>
      <x:c r="H7" s="432" t="str">
        <x:v>MULTI</x:v>
      </x:c>
      <x:c r="J7" s="432" t="str">
        <x:v>吸盘</x:v>
      </x:c>
      <x:c r="K7" s="432" t="str">
        <x:v>需要吸盘</x:v>
      </x:c>
    </x:row>
    <x:row r="8">
      <x:c r="J8" s="432" t="str">
        <x:v>斗盘</x:v>
      </x:c>
      <x:c r="K8" s="432" t="str">
        <x:v>需要斗盘</x:v>
      </x:c>
    </x:row>
    <x:row r="9">
      <x:c r="J9" s="432" t="str">
        <x:v>其他</x:v>
      </x:c>
      <x:c r="K9" s="432" t="str">
        <x:v>在备注中补充</x:v>
      </x:c>
    </x:row>
    <x:row r="12">
      <x:c r="A12" s="551" t="str">
        <x:v>特殊工艺标签</x:v>
      </x:c>
      <x:c r="B12" s="551" t="str">
        <x:v>示例</x:v>
      </x:c>
      <x:c r="C12" s="551" t="str">
        <x:v>说明</x:v>
      </x:c>
    </x:row>
    <x:row r="13">
      <x:c r="A13" s="432" t="str">
        <x:v>PVC</x:v>
      </x:c>
      <x:c r="B13" s="432" t="str">
        <x:v>PVC</x:v>
      </x:c>
      <x:c r="C13" s="432" t="str">
        <x:v>只能使用允许 PVC 的机台</x:v>
      </x:c>
    </x:row>
    <x:row r="14">
      <x:c r="A14" s="432" t="str">
        <x:v>PC螺杆</x:v>
      </x:c>
      <x:c r="B14" s="432" t="str">
        <x:v>PC螺杆</x:v>
      </x:c>
      <x:c r="C14" s="432" t="str">
        <x:v>需要对应螺杆能力</x:v>
      </x:c>
    </x:row>
    <x:row r="15">
      <x:c r="A15" s="432" t="str">
        <x:v>抽芯</x:v>
      </x:c>
      <x:c r="B15" s="432" t="str">
        <x:v>抽芯</x:v>
      </x:c>
      <x:c r="C15" s="432" t="str">
        <x:v>需要抽芯能力</x:v>
      </x:c>
    </x:row>
    <x:row r="16">
      <x:c r="A16" s="432" t="str">
        <x:v>高压</x:v>
      </x:c>
      <x:c r="B16" s="432" t="str">
        <x:v>高压</x:v>
      </x:c>
      <x:c r="C16" s="432" t="str">
        <x:v>需要高压能力</x:v>
      </x:c>
    </x:row>
    <x:row r="17">
      <x:c r="A17" s="432" t="str">
        <x:v>透明料</x:v>
      </x:c>
      <x:c r="B17" s="432" t="str">
        <x:v>透明料</x:v>
      </x:c>
      <x:c r="C17" s="432" t="str">
        <x:v>需要透明料适配</x:v>
      </x:c>
    </x:row>
    <x:row r="18">
      <x:c r="A18" s="432" t="str">
        <x:v>双色</x:v>
      </x:c>
      <x:c r="B18" s="432" t="str">
        <x:v>双色</x:v>
      </x:c>
      <x:c r="C18" s="432" t="str">
        <x:v>需要双色机</x:v>
      </x:c>
    </x:row>
    <x:row r="19">
      <x:c r="A19" s="432" t="str">
        <x:v>立式</x:v>
      </x:c>
      <x:c r="B19" s="432" t="str">
        <x:v>立式</x:v>
      </x:c>
      <x:c r="C19" s="432" t="str">
        <x:v>需要立式机</x:v>
      </x:c>
    </x:row>
    <x:row r="20">
      <x:c r="A20" s="432" t="str">
        <x:v>热流道</x:v>
      </x:c>
      <x:c r="B20" s="432" t="str">
        <x:v>热流道</x:v>
      </x:c>
      <x:c r="C20" s="432" t="str">
        <x:v>需要热流道适配</x:v>
      </x:c>
    </x:row>
    <x:row r="21">
      <x:c r="A21" s="432" t="str">
        <x:v>放件</x:v>
      </x:c>
      <x:c r="B21" s="432" t="str">
        <x:v>放件</x:v>
      </x:c>
      <x:c r="C21" s="432" t="str">
        <x:v>需要人工/半自动放件</x:v>
      </x:c>
    </x:row>
    <x:row r="22">
      <x:c r="A22" s="432" t="str">
        <x:v>复模</x:v>
      </x:c>
      <x:c r="B22" s="432" t="str">
        <x:v>复模</x:v>
      </x:c>
      <x:c r="C22" s="432" t="str">
        <x:v>需要复模处理</x:v>
      </x:c>
    </x:row>
    <x:row r="23">
      <x:c r="A23" s="432" t="str">
        <x:v>多标签</x:v>
      </x:c>
      <x:c r="B23" s="432" t="str">
        <x:v>PVC|抽芯</x:v>
      </x:c>
      <x:c r="C23" s="432" t="str">
        <x:v>多个标签用 | 分隔</x:v>
      </x:c>
    </x:row>
  </x:sheetData>
  <x:mergeCells>
    <x:mergeCell ref="A1:Q1"/>
  </x:mergeCells>
  <x:pageMargins left="0.7" right="0.7" top="0.75" bottom="0.75" header="0.3" footer="0.3"/>
</x:worksheet>
</file>